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 Tables" sheetId="2" state="visible" r:id="rId4"/>
    <sheet name="Transformed Data" sheetId="3" state="visible" r:id="rId5"/>
    <sheet name="Cleaned Data" sheetId="4" state="visible" r:id="rId6"/>
    <sheet name="Cleaning Log" sheetId="5" state="visible" r:id="rId7"/>
    <sheet name="Raw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<sst xmlns="http://schemas.openxmlformats.org/spreadsheetml/2006/main" count="4798" uniqueCount="1610">
  <si>
    <t xml:space="preserve">Indian Gaming Platform — Player &amp; Transaction Analytics Dashboard</t>
  </si>
  <si>
    <t xml:space="preserve">FILTERS   —   choose a value, or leave "All" to include every session</t>
  </si>
  <si>
    <t xml:space="preserve">Region</t>
  </si>
  <si>
    <t xml:space="preserve">Platform</t>
  </si>
  <si>
    <t xml:space="preserve">Game Name</t>
  </si>
  <si>
    <t xml:space="preserve">Purchase Type</t>
  </si>
  <si>
    <t xml:space="preserve">Player Type</t>
  </si>
  <si>
    <t xml:space="preserve">Year-Month</t>
  </si>
  <si>
    <t xml:space="preserve">All</t>
  </si>
  <si>
    <t xml:space="preserve">Total Sessions</t>
  </si>
  <si>
    <t xml:space="preserve">Distinct Players</t>
  </si>
  <si>
    <t xml:space="preserve">Total Revenue</t>
  </si>
  <si>
    <t xml:space="preserve">ARPU</t>
  </si>
  <si>
    <t xml:space="preserve">Suspicious Sessions</t>
  </si>
  <si>
    <t xml:space="preserve">Success Rate %</t>
  </si>
  <si>
    <t xml:space="preserve">Player Engagement Analysis</t>
  </si>
  <si>
    <t xml:space="preserve">Monetization Insights</t>
  </si>
  <si>
    <t xml:space="preserve">Platform, Region &amp; Suspicious Behavior Overview</t>
  </si>
  <si>
    <t xml:space="preserve">Note: dropdown filters drive the live KPI strip above using formulas, keeping this a portable, plain .xlsx file. Charts read from the fixed Summary Tables. For native click-to-filter Slicers linked to every chart, load Transformed Data into a real Excel PivotTable (Insert &gt; PivotTable) inside Excel itself — Slicers cannot be authored outside the Excel application.</t>
  </si>
  <si>
    <t xml:space="preserve">Summary Tables — pivot-style aggregations feeding the Dashboard</t>
  </si>
  <si>
    <t xml:space="preserve">Built with SUMIFS / COUNTIFS / SUMPRODUCT against Transformed Data (native Excel PivotTables were not used so the workbook stays a plain, portable .xlsx — see README for why).</t>
  </si>
  <si>
    <t xml:space="preserve">1. Monthly Active Players &amp; Sessions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</si>
  <si>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</si>
  <si>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</si>
  <si>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</si>
  <si>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</si>
  <si>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</si>
  <si>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</si>
  <si>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</si>
  <si>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2. Session Count by Engagement Level</t>
  </si>
  <si>
    <t xml:space="preserve">Engagement Level</t>
  </si>
  <si>
    <t xml:space="preserve">Session Count</t>
  </si>
  <si>
    <t xml:space="preserve">% of Sessions</t>
  </si>
  <si>
    <t xml:space="preserve">Low</t>
  </si>
  <si>
    <t xml:space="preserve">Medium</t>
  </si>
  <si>
    <t xml:space="preserve">High</t>
  </si>
  <si>
    <t xml:space="preserve">3. Made Purchase vs Did Not</t>
  </si>
  <si>
    <t xml:space="preserve">Made Purchase</t>
  </si>
  <si>
    <t xml:space="preserve">Yes</t>
  </si>
  <si>
    <t xml:space="preserve">No</t>
  </si>
  <si>
    <t xml:space="preserve">4. Monthly Purchases Trend (Made Purchase: Yes vs No)</t>
  </si>
  <si>
    <t xml:space="preserve">Purchased (Yes)</t>
  </si>
  <si>
    <t xml:space="preserve">Did Not Purchase (No)</t>
  </si>
  <si>
    <t xml:space="preserve">5. Suspicious Activity by Engagement Level</t>
  </si>
  <si>
    <t xml:space="preserve">Normal Sessions</t>
  </si>
  <si>
    <t xml:space="preserve">6. Suspicious Sessions Over Time</t>
  </si>
  <si>
    <t xml:space="preserve">Suspicious Rate %</t>
  </si>
  <si>
    <t xml:space="preserve">7. Platform Performance (Revenue, ARPU, Success Rate)</t>
  </si>
  <si>
    <t xml:space="preserve">Sessions</t>
  </si>
  <si>
    <t xml:space="preserve">Session Success Rate %</t>
  </si>
  <si>
    <t xml:space="preserve">Mobile</t>
  </si>
  <si>
    <t xml:space="preserve">PC</t>
  </si>
  <si>
    <t xml:space="preserve">Console</t>
  </si>
  <si>
    <t xml:space="preserve">8. Region Performance</t>
  </si>
  <si>
    <t xml:space="preserve">Avg Duration (min)</t>
  </si>
  <si>
    <t xml:space="preserve">Central</t>
  </si>
  <si>
    <t xml:space="preserve">East</t>
  </si>
  <si>
    <t xml:space="preserve">North</t>
  </si>
  <si>
    <t xml:space="preserve">North-East</t>
  </si>
  <si>
    <t xml:space="preserve">South</t>
  </si>
  <si>
    <t xml:space="preserve">West</t>
  </si>
  <si>
    <t xml:space="preserve">9. Session Status Breakdown</t>
  </si>
  <si>
    <t xml:space="preserve">Session Status</t>
  </si>
  <si>
    <t xml:space="preserve">Count</t>
  </si>
  <si>
    <t xml:space="preserve">Completed</t>
  </si>
  <si>
    <t xml:space="preserve">Crashed</t>
  </si>
  <si>
    <t xml:space="preserve">Exited Early</t>
  </si>
  <si>
    <t xml:space="preserve">Incomplete</t>
  </si>
  <si>
    <t xml:space="preserve">10. Free vs Paid Player Type</t>
  </si>
  <si>
    <t xml:space="preserve">Free</t>
  </si>
  <si>
    <t xml:space="preserve">Paid</t>
  </si>
  <si>
    <t xml:space="preserve">Transformed Data — Cleaned Data + derived analysis columns (Step 3)</t>
  </si>
  <si>
    <t xml:space="preserve">New columns use the exact formulas specified in the project brief. Feeds the Summary Tables and Dashboard.</t>
  </si>
  <si>
    <t xml:space="preserve">Session ID</t>
  </si>
  <si>
    <t xml:space="preserve">Player ID</t>
  </si>
  <si>
    <t xml:space="preserve">Player Name</t>
  </si>
  <si>
    <t xml:space="preserve">Session Date</t>
  </si>
  <si>
    <t xml:space="preserve">Session Duration (min)</t>
  </si>
  <si>
    <t xml:space="preserve">In-Game Purchase ($)</t>
  </si>
  <si>
    <t xml:space="preserve">Level Reached</t>
  </si>
  <si>
    <t xml:space="preserve">Is Suspicious</t>
  </si>
  <si>
    <t xml:space="preserve">Suspicious Flag</t>
  </si>
  <si>
    <t xml:space="preserve">Cleaned Data — standardized, QA-checked (see Cleaning Log)</t>
  </si>
  <si>
    <t xml:space="preserve">Every cell links back to Raw Data; the only change applied is Purchase Type blanks -&gt; "None" for zero-purchase sessions.</t>
  </si>
  <si>
    <t xml:space="preserve">Step 2: Data Cleaning &amp; Preprocessing — QA Log</t>
  </si>
  <si>
    <t xml:space="preserve">All checks run live against Raw Data (500 sessions). Formulas recalculate if the raw data changes.</t>
  </si>
  <si>
    <t xml:space="preserve">Check</t>
  </si>
  <si>
    <t xml:space="preserve">Method</t>
  </si>
  <si>
    <t xml:space="preserve">Result</t>
  </si>
  <si>
    <t xml:space="preserve">Status</t>
  </si>
  <si>
    <t xml:space="preserve">1. Duplicate Session IDs</t>
  </si>
  <si>
    <t xml:space="preserve">2. Missing values — Session Date</t>
  </si>
  <si>
    <t xml:space="preserve">3. Missing values — Session Duration</t>
  </si>
  <si>
    <t xml:space="preserve">4. Missing values — In-Game Purchase</t>
  </si>
  <si>
    <t xml:space="preserve">5. Missing values — Platform</t>
  </si>
  <si>
    <t xml:space="preserve">6. Negative Session Duration</t>
  </si>
  <si>
    <t xml:space="preserve">7. Negative In-Game Purchase</t>
  </si>
  <si>
    <t xml:space="preserve">8. Unrealistic Session Duration (&gt;200 min)</t>
  </si>
  <si>
    <t xml:space="preserve">9. Unrealistic Purchase (&gt;$100)</t>
  </si>
  <si>
    <t xml:space="preserve">10. Session Date outside Jan-2024 to Jun-2025</t>
  </si>
  <si>
    <t xml:space="preserve">11. Text formatting variants (Game/Platform/Region/Status/Player Type/Is Suspicious)</t>
  </si>
  <si>
    <t xml:space="preserve">12. Is Suspicious flag matches AND rule (duration&gt;150 AND purchase&gt;40) — as written in project brief</t>
  </si>
  <si>
    <t xml:space="preserve">13. Is Suspicious flag matches OR rule (duration&gt;150 OR purchase&gt;40)</t>
  </si>
  <si>
    <t xml:space="preserve">Findings &amp; Actions Taken</t>
  </si>
  <si>
    <t xml:space="preserve">Duplicates / missing / negative / unrealistic values / out-of-range dates / text-format variants</t>
  </si>
  <si>
    <t xml:space="preserve">None found. All checks above return PASS — the raw dataset is already clean on these dimensions.</t>
  </si>
  <si>
    <t xml:space="preserve">Purchase Type blank for $0 purchases (396 of 500 rows)</t>
  </si>
  <si>
    <t xml:space="preserve">Not a data error — a session with no purchase legitimately has no Purchase Type. Standardized the blank to the label "None" in Cleaned Data for clarity in pivots/filters.</t>
  </si>
  <si>
    <t xml:space="preserve">Is Suspicious logic mismatch</t>
  </si>
  <si>
    <t xml:space="preserve">The brief's documented rule (duration&gt;150 min AND purchase&gt;$40) does NOT reproduce the actual Is Suspicious flag (100 of 500 rows differ — see Check 12). The flag instead matches an OR rule: duration&gt;150 min OR purchase&gt;$40 (0 mismatches — Check 13). Recommendation: correct the documented business rule to OR before this logic is reused elsewhere; the existing Is Suspicious column itself was trusted as-is for all downstream analysis.</t>
  </si>
  <si>
    <t xml:space="preserve">Player ID linked to more than one Player Name</t>
  </si>
  <si>
    <t xml:space="preserve">11 of 489 unique players (~2.2%) have 2 different names recorded across their sessions. Left as-is (ambiguous which name is authoritative) but flagged here for the source system owner to investigate — could indicate shared accounts or a display-name change mid-dataset.</t>
  </si>
  <si>
    <t xml:space="preserve">Raw Data — Indian Gaming Platform Dataset (as supplied, unmodified)</t>
  </si>
  <si>
    <t xml:space="preserve">S00001</t>
  </si>
  <si>
    <t xml:space="preserve">P3652</t>
  </si>
  <si>
    <t xml:space="preserve">harrisrichard</t>
  </si>
  <si>
    <t xml:space="preserve">BattleZone</t>
  </si>
  <si>
    <t xml:space="preserve">S00002</t>
  </si>
  <si>
    <t xml:space="preserve">P9981</t>
  </si>
  <si>
    <t xml:space="preserve">wlee</t>
  </si>
  <si>
    <t xml:space="preserve">Zombie Rush</t>
  </si>
  <si>
    <t xml:space="preserve">Boosters</t>
  </si>
  <si>
    <t xml:space="preserve">S00003</t>
  </si>
  <si>
    <t xml:space="preserve">P5280</t>
  </si>
  <si>
    <t xml:space="preserve">katie47</t>
  </si>
  <si>
    <t xml:space="preserve">SpeedX</t>
  </si>
  <si>
    <t xml:space="preserve">Subscriptions</t>
  </si>
  <si>
    <t xml:space="preserve">S00004</t>
  </si>
  <si>
    <t xml:space="preserve">P2930</t>
  </si>
  <si>
    <t xml:space="preserve">isaac85</t>
  </si>
  <si>
    <t xml:space="preserve">Clash of Realms</t>
  </si>
  <si>
    <t xml:space="preserve">S00005</t>
  </si>
  <si>
    <t xml:space="preserve">P7925</t>
  </si>
  <si>
    <t xml:space="preserve">ballarddouglas</t>
  </si>
  <si>
    <t xml:space="preserve">S00006</t>
  </si>
  <si>
    <t xml:space="preserve">P9919</t>
  </si>
  <si>
    <t xml:space="preserve">lrichardson</t>
  </si>
  <si>
    <t xml:space="preserve">S00007</t>
  </si>
  <si>
    <t xml:space="preserve">P7231</t>
  </si>
  <si>
    <t xml:space="preserve">holmesbruce</t>
  </si>
  <si>
    <t xml:space="preserve">Battle Pass</t>
  </si>
  <si>
    <t xml:space="preserve">S00008</t>
  </si>
  <si>
    <t xml:space="preserve">P5965</t>
  </si>
  <si>
    <t xml:space="preserve">lhansen</t>
  </si>
  <si>
    <t xml:space="preserve">S00009</t>
  </si>
  <si>
    <t xml:space="preserve">P3834</t>
  </si>
  <si>
    <t xml:space="preserve">alexis47</t>
  </si>
  <si>
    <t xml:space="preserve">S00010</t>
  </si>
  <si>
    <t xml:space="preserve">P4220</t>
  </si>
  <si>
    <t xml:space="preserve">ryanmarshall</t>
  </si>
  <si>
    <t xml:space="preserve">S00011</t>
  </si>
  <si>
    <t xml:space="preserve">P1038</t>
  </si>
  <si>
    <t xml:space="preserve">alexandriaparrish</t>
  </si>
  <si>
    <t xml:space="preserve">S00012</t>
  </si>
  <si>
    <t xml:space="preserve">P7407</t>
  </si>
  <si>
    <t xml:space="preserve">jacobhaynes</t>
  </si>
  <si>
    <t xml:space="preserve">S00013</t>
  </si>
  <si>
    <t xml:space="preserve">P4776</t>
  </si>
  <si>
    <t xml:space="preserve">xjoseph</t>
  </si>
  <si>
    <t xml:space="preserve">S00014</t>
  </si>
  <si>
    <t xml:space="preserve">P6935</t>
  </si>
  <si>
    <t xml:space="preserve">yjohnson</t>
  </si>
  <si>
    <t xml:space="preserve">S00015</t>
  </si>
  <si>
    <t xml:space="preserve">P9150</t>
  </si>
  <si>
    <t xml:space="preserve">lesliemiller</t>
  </si>
  <si>
    <t xml:space="preserve">Empire Wars</t>
  </si>
  <si>
    <t xml:space="preserve">S00016</t>
  </si>
  <si>
    <t xml:space="preserve">P9796</t>
  </si>
  <si>
    <t xml:space="preserve">raynatalie</t>
  </si>
  <si>
    <t xml:space="preserve">S00017</t>
  </si>
  <si>
    <t xml:space="preserve">P5317</t>
  </si>
  <si>
    <t xml:space="preserve">xtaylor</t>
  </si>
  <si>
    <t xml:space="preserve">S00018</t>
  </si>
  <si>
    <t xml:space="preserve">P5320</t>
  </si>
  <si>
    <t xml:space="preserve">aguilarjennifer</t>
  </si>
  <si>
    <t xml:space="preserve">S00019</t>
  </si>
  <si>
    <t xml:space="preserve">P8261</t>
  </si>
  <si>
    <t xml:space="preserve">lmeza</t>
  </si>
  <si>
    <t xml:space="preserve">S00020</t>
  </si>
  <si>
    <t xml:space="preserve">P6549</t>
  </si>
  <si>
    <t xml:space="preserve">michael06</t>
  </si>
  <si>
    <t xml:space="preserve">S00021</t>
  </si>
  <si>
    <t xml:space="preserve">P1758</t>
  </si>
  <si>
    <t xml:space="preserve">lawsonderrick</t>
  </si>
  <si>
    <t xml:space="preserve">S00022</t>
  </si>
  <si>
    <t xml:space="preserve">P5785</t>
  </si>
  <si>
    <t xml:space="preserve">icrawford</t>
  </si>
  <si>
    <t xml:space="preserve">S00023</t>
  </si>
  <si>
    <t xml:space="preserve">P4722</t>
  </si>
  <si>
    <t xml:space="preserve">david54</t>
  </si>
  <si>
    <t xml:space="preserve">S00024</t>
  </si>
  <si>
    <t xml:space="preserve">P8146</t>
  </si>
  <si>
    <t xml:space="preserve">rcraig</t>
  </si>
  <si>
    <t xml:space="preserve">S00025</t>
  </si>
  <si>
    <t xml:space="preserve">P2146</t>
  </si>
  <si>
    <t xml:space="preserve">kvasquez</t>
  </si>
  <si>
    <t xml:space="preserve">S00026</t>
  </si>
  <si>
    <t xml:space="preserve">P3548</t>
  </si>
  <si>
    <t xml:space="preserve">erica07</t>
  </si>
  <si>
    <t xml:space="preserve">S00027</t>
  </si>
  <si>
    <t xml:space="preserve">P2609</t>
  </si>
  <si>
    <t xml:space="preserve">owensoscar</t>
  </si>
  <si>
    <t xml:space="preserve">S00028</t>
  </si>
  <si>
    <t xml:space="preserve">P4851</t>
  </si>
  <si>
    <t xml:space="preserve">wlawson</t>
  </si>
  <si>
    <t xml:space="preserve">S00029</t>
  </si>
  <si>
    <t xml:space="preserve">P5046</t>
  </si>
  <si>
    <t xml:space="preserve">kevinruiz</t>
  </si>
  <si>
    <t xml:space="preserve">S00030</t>
  </si>
  <si>
    <t xml:space="preserve">P4408</t>
  </si>
  <si>
    <t xml:space="preserve">dlee</t>
  </si>
  <si>
    <t xml:space="preserve">S00031</t>
  </si>
  <si>
    <t xml:space="preserve">P3683</t>
  </si>
  <si>
    <t xml:space="preserve">rebekah64</t>
  </si>
  <si>
    <t xml:space="preserve">S00032</t>
  </si>
  <si>
    <t xml:space="preserve">P6285</t>
  </si>
  <si>
    <t xml:space="preserve">katherinejohnston</t>
  </si>
  <si>
    <t xml:space="preserve">S00033</t>
  </si>
  <si>
    <t xml:space="preserve">P4554</t>
  </si>
  <si>
    <t xml:space="preserve">odavis</t>
  </si>
  <si>
    <t xml:space="preserve">S00034</t>
  </si>
  <si>
    <t xml:space="preserve">P6724</t>
  </si>
  <si>
    <t xml:space="preserve">tylermiller</t>
  </si>
  <si>
    <t xml:space="preserve">S00035</t>
  </si>
  <si>
    <t xml:space="preserve">P2965</t>
  </si>
  <si>
    <t xml:space="preserve">sonya77</t>
  </si>
  <si>
    <t xml:space="preserve">S00036</t>
  </si>
  <si>
    <t xml:space="preserve">P4961</t>
  </si>
  <si>
    <t xml:space="preserve">sandyherman</t>
  </si>
  <si>
    <t xml:space="preserve">S00037</t>
  </si>
  <si>
    <t xml:space="preserve">P2861</t>
  </si>
  <si>
    <t xml:space="preserve">leahlee</t>
  </si>
  <si>
    <t xml:space="preserve">S00038</t>
  </si>
  <si>
    <t xml:space="preserve">P7945</t>
  </si>
  <si>
    <t xml:space="preserve">richardhooper</t>
  </si>
  <si>
    <t xml:space="preserve">S00039</t>
  </si>
  <si>
    <t xml:space="preserve">P3668</t>
  </si>
  <si>
    <t xml:space="preserve">jenniferwilcox</t>
  </si>
  <si>
    <t xml:space="preserve">S00040</t>
  </si>
  <si>
    <t xml:space="preserve">P3875</t>
  </si>
  <si>
    <t xml:space="preserve">bruce09</t>
  </si>
  <si>
    <t xml:space="preserve">Skins</t>
  </si>
  <si>
    <t xml:space="preserve">S00041</t>
  </si>
  <si>
    <t xml:space="preserve">P2707</t>
  </si>
  <si>
    <t xml:space="preserve">tpark</t>
  </si>
  <si>
    <t xml:space="preserve">S00042</t>
  </si>
  <si>
    <t xml:space="preserve">P2683</t>
  </si>
  <si>
    <t xml:space="preserve">csanchez</t>
  </si>
  <si>
    <t xml:space="preserve">S00043</t>
  </si>
  <si>
    <t xml:space="preserve">P2171</t>
  </si>
  <si>
    <t xml:space="preserve">nnguyen</t>
  </si>
  <si>
    <t xml:space="preserve">S00044</t>
  </si>
  <si>
    <t xml:space="preserve">P5497</t>
  </si>
  <si>
    <t xml:space="preserve">vmooney</t>
  </si>
  <si>
    <t xml:space="preserve">S00045</t>
  </si>
  <si>
    <t xml:space="preserve">P7820</t>
  </si>
  <si>
    <t xml:space="preserve">jennifer87</t>
  </si>
  <si>
    <t xml:space="preserve">S00046</t>
  </si>
  <si>
    <t xml:space="preserve">P5339</t>
  </si>
  <si>
    <t xml:space="preserve">jcarter</t>
  </si>
  <si>
    <t xml:space="preserve">S00047</t>
  </si>
  <si>
    <t xml:space="preserve">P2125</t>
  </si>
  <si>
    <t xml:space="preserve">jlane</t>
  </si>
  <si>
    <t xml:space="preserve">S00048</t>
  </si>
  <si>
    <t xml:space="preserve">P1178</t>
  </si>
  <si>
    <t xml:space="preserve">nathan33</t>
  </si>
  <si>
    <t xml:space="preserve">S00049</t>
  </si>
  <si>
    <t xml:space="preserve">P2502</t>
  </si>
  <si>
    <t xml:space="preserve">owensjoseph</t>
  </si>
  <si>
    <t xml:space="preserve">S00050</t>
  </si>
  <si>
    <t xml:space="preserve">P5155</t>
  </si>
  <si>
    <t xml:space="preserve">griffinsarah</t>
  </si>
  <si>
    <t xml:space="preserve">S00051</t>
  </si>
  <si>
    <t xml:space="preserve">P3174</t>
  </si>
  <si>
    <t xml:space="preserve">petersonlacey</t>
  </si>
  <si>
    <t xml:space="preserve">S00052</t>
  </si>
  <si>
    <t xml:space="preserve">P8266</t>
  </si>
  <si>
    <t xml:space="preserve">cynthiapoole</t>
  </si>
  <si>
    <t xml:space="preserve">S00053</t>
  </si>
  <si>
    <t xml:space="preserve">P9579</t>
  </si>
  <si>
    <t xml:space="preserve">richardsjessica</t>
  </si>
  <si>
    <t xml:space="preserve">S00054</t>
  </si>
  <si>
    <t xml:space="preserve">P5714</t>
  </si>
  <si>
    <t xml:space="preserve">fforbes</t>
  </si>
  <si>
    <t xml:space="preserve">S00055</t>
  </si>
  <si>
    <t xml:space="preserve">P4102</t>
  </si>
  <si>
    <t xml:space="preserve">odonnelljennifer</t>
  </si>
  <si>
    <t xml:space="preserve">S00056</t>
  </si>
  <si>
    <t xml:space="preserve">P1285</t>
  </si>
  <si>
    <t xml:space="preserve">amylong</t>
  </si>
  <si>
    <t xml:space="preserve">S00057</t>
  </si>
  <si>
    <t xml:space="preserve">P7588</t>
  </si>
  <si>
    <t xml:space="preserve">usnyder</t>
  </si>
  <si>
    <t xml:space="preserve">S00058</t>
  </si>
  <si>
    <t xml:space="preserve">P9514</t>
  </si>
  <si>
    <t xml:space="preserve">dianaburgess</t>
  </si>
  <si>
    <t xml:space="preserve">S00059</t>
  </si>
  <si>
    <t xml:space="preserve">P1110</t>
  </si>
  <si>
    <t xml:space="preserve">joseph32</t>
  </si>
  <si>
    <t xml:space="preserve">S00060</t>
  </si>
  <si>
    <t xml:space="preserve">P2205</t>
  </si>
  <si>
    <t xml:space="preserve">fstewart</t>
  </si>
  <si>
    <t xml:space="preserve">S00061</t>
  </si>
  <si>
    <t xml:space="preserve">P7473</t>
  </si>
  <si>
    <t xml:space="preserve">sholmes</t>
  </si>
  <si>
    <t xml:space="preserve">S00062</t>
  </si>
  <si>
    <t xml:space="preserve">P1805</t>
  </si>
  <si>
    <t xml:space="preserve">charlesjohnson</t>
  </si>
  <si>
    <t xml:space="preserve">S00063</t>
  </si>
  <si>
    <t xml:space="preserve">P3641</t>
  </si>
  <si>
    <t xml:space="preserve">davischristopher</t>
  </si>
  <si>
    <t xml:space="preserve">S00064</t>
  </si>
  <si>
    <t xml:space="preserve">P6094</t>
  </si>
  <si>
    <t xml:space="preserve">jenniferarnold</t>
  </si>
  <si>
    <t xml:space="preserve">S00065</t>
  </si>
  <si>
    <t xml:space="preserve">P5717</t>
  </si>
  <si>
    <t xml:space="preserve">palmerashley</t>
  </si>
  <si>
    <t xml:space="preserve">S00066</t>
  </si>
  <si>
    <t xml:space="preserve">P2499</t>
  </si>
  <si>
    <t xml:space="preserve">mbowen</t>
  </si>
  <si>
    <t xml:space="preserve">S00067</t>
  </si>
  <si>
    <t xml:space="preserve">P9667</t>
  </si>
  <si>
    <t xml:space="preserve">harrisonsteven</t>
  </si>
  <si>
    <t xml:space="preserve">S00068</t>
  </si>
  <si>
    <t xml:space="preserve">P9995</t>
  </si>
  <si>
    <t xml:space="preserve">tinapreston</t>
  </si>
  <si>
    <t xml:space="preserve">S00069</t>
  </si>
  <si>
    <t xml:space="preserve">P8527</t>
  </si>
  <si>
    <t xml:space="preserve">claudiasilva</t>
  </si>
  <si>
    <t xml:space="preserve">S00070</t>
  </si>
  <si>
    <t xml:space="preserve">P6322</t>
  </si>
  <si>
    <t xml:space="preserve">noah21</t>
  </si>
  <si>
    <t xml:space="preserve">S00071</t>
  </si>
  <si>
    <t xml:space="preserve">P8019</t>
  </si>
  <si>
    <t xml:space="preserve">nwatkins</t>
  </si>
  <si>
    <t xml:space="preserve">S00072</t>
  </si>
  <si>
    <t xml:space="preserve">P3539</t>
  </si>
  <si>
    <t xml:space="preserve">martinderrick</t>
  </si>
  <si>
    <t xml:space="preserve">S00073</t>
  </si>
  <si>
    <t xml:space="preserve">P8666</t>
  </si>
  <si>
    <t xml:space="preserve">craiggail</t>
  </si>
  <si>
    <t xml:space="preserve">S00074</t>
  </si>
  <si>
    <t xml:space="preserve">P8845</t>
  </si>
  <si>
    <t xml:space="preserve">connerkevin</t>
  </si>
  <si>
    <t xml:space="preserve">S00075</t>
  </si>
  <si>
    <t xml:space="preserve">P3222</t>
  </si>
  <si>
    <t xml:space="preserve">fmayer</t>
  </si>
  <si>
    <t xml:space="preserve">S00076</t>
  </si>
  <si>
    <t xml:space="preserve">P1269</t>
  </si>
  <si>
    <t xml:space="preserve">bryantdawn</t>
  </si>
  <si>
    <t xml:space="preserve">S00077</t>
  </si>
  <si>
    <t xml:space="preserve">P6534</t>
  </si>
  <si>
    <t xml:space="preserve">lindsay74</t>
  </si>
  <si>
    <t xml:space="preserve">S00078</t>
  </si>
  <si>
    <t xml:space="preserve">P1662</t>
  </si>
  <si>
    <t xml:space="preserve">ehill</t>
  </si>
  <si>
    <t xml:space="preserve">S00079</t>
  </si>
  <si>
    <t xml:space="preserve">P9765</t>
  </si>
  <si>
    <t xml:space="preserve">hannah41</t>
  </si>
  <si>
    <t xml:space="preserve">S00080</t>
  </si>
  <si>
    <t xml:space="preserve">P2463</t>
  </si>
  <si>
    <t xml:space="preserve">bentonashley</t>
  </si>
  <si>
    <t xml:space="preserve">S00081</t>
  </si>
  <si>
    <t xml:space="preserve">P3235</t>
  </si>
  <si>
    <t xml:space="preserve">kellyhill</t>
  </si>
  <si>
    <t xml:space="preserve">S00082</t>
  </si>
  <si>
    <t xml:space="preserve">P7193</t>
  </si>
  <si>
    <t xml:space="preserve">tlloyd</t>
  </si>
  <si>
    <t xml:space="preserve">S00083</t>
  </si>
  <si>
    <t xml:space="preserve">P1366</t>
  </si>
  <si>
    <t xml:space="preserve">robinatkinson</t>
  </si>
  <si>
    <t xml:space="preserve">S00084</t>
  </si>
  <si>
    <t xml:space="preserve">P3144</t>
  </si>
  <si>
    <t xml:space="preserve">karen96</t>
  </si>
  <si>
    <t xml:space="preserve">S00085</t>
  </si>
  <si>
    <t xml:space="preserve">P2977</t>
  </si>
  <si>
    <t xml:space="preserve">mark79</t>
  </si>
  <si>
    <t xml:space="preserve">S00086</t>
  </si>
  <si>
    <t xml:space="preserve">P8703</t>
  </si>
  <si>
    <t xml:space="preserve">wayne88</t>
  </si>
  <si>
    <t xml:space="preserve">S00087</t>
  </si>
  <si>
    <t xml:space="preserve">P9792</t>
  </si>
  <si>
    <t xml:space="preserve">jack75</t>
  </si>
  <si>
    <t xml:space="preserve">S00088</t>
  </si>
  <si>
    <t xml:space="preserve">P5000</t>
  </si>
  <si>
    <t xml:space="preserve">shenderson</t>
  </si>
  <si>
    <t xml:space="preserve">S00089</t>
  </si>
  <si>
    <t xml:space="preserve">P5536</t>
  </si>
  <si>
    <t xml:space="preserve">manderson</t>
  </si>
  <si>
    <t xml:space="preserve">S00090</t>
  </si>
  <si>
    <t xml:space="preserve">P3420</t>
  </si>
  <si>
    <t xml:space="preserve">boylejeffrey</t>
  </si>
  <si>
    <t xml:space="preserve">S00091</t>
  </si>
  <si>
    <t xml:space="preserve">P6128</t>
  </si>
  <si>
    <t xml:space="preserve">justinvargas</t>
  </si>
  <si>
    <t xml:space="preserve">S00092</t>
  </si>
  <si>
    <t xml:space="preserve">smullins</t>
  </si>
  <si>
    <t xml:space="preserve">S00093</t>
  </si>
  <si>
    <t xml:space="preserve">P5817</t>
  </si>
  <si>
    <t xml:space="preserve">cynthiasimmons</t>
  </si>
  <si>
    <t xml:space="preserve">S00094</t>
  </si>
  <si>
    <t xml:space="preserve">P6677</t>
  </si>
  <si>
    <t xml:space="preserve">qwatson</t>
  </si>
  <si>
    <t xml:space="preserve">S00095</t>
  </si>
  <si>
    <t xml:space="preserve">P5248</t>
  </si>
  <si>
    <t xml:space="preserve">xreed</t>
  </si>
  <si>
    <t xml:space="preserve">S00096</t>
  </si>
  <si>
    <t xml:space="preserve">P7669</t>
  </si>
  <si>
    <t xml:space="preserve">melanie00</t>
  </si>
  <si>
    <t xml:space="preserve">S00097</t>
  </si>
  <si>
    <t xml:space="preserve">P1126</t>
  </si>
  <si>
    <t xml:space="preserve">richardward</t>
  </si>
  <si>
    <t xml:space="preserve">S00098</t>
  </si>
  <si>
    <t xml:space="preserve">P8252</t>
  </si>
  <si>
    <t xml:space="preserve">riggsbarbara</t>
  </si>
  <si>
    <t xml:space="preserve">S00099</t>
  </si>
  <si>
    <t xml:space="preserve">P9800</t>
  </si>
  <si>
    <t xml:space="preserve">sroach</t>
  </si>
  <si>
    <t xml:space="preserve">S00100</t>
  </si>
  <si>
    <t xml:space="preserve">P5367</t>
  </si>
  <si>
    <t xml:space="preserve">jeffreyluna</t>
  </si>
  <si>
    <t xml:space="preserve">S00101</t>
  </si>
  <si>
    <t xml:space="preserve">P6401</t>
  </si>
  <si>
    <t xml:space="preserve">chavezmelissa</t>
  </si>
  <si>
    <t xml:space="preserve">S00102</t>
  </si>
  <si>
    <t xml:space="preserve">P1736</t>
  </si>
  <si>
    <t xml:space="preserve">qserrano</t>
  </si>
  <si>
    <t xml:space="preserve">S00103</t>
  </si>
  <si>
    <t xml:space="preserve">P5013</t>
  </si>
  <si>
    <t xml:space="preserve">angelabutler</t>
  </si>
  <si>
    <t xml:space="preserve">S00104</t>
  </si>
  <si>
    <t xml:space="preserve">P9492</t>
  </si>
  <si>
    <t xml:space="preserve">ggriffith</t>
  </si>
  <si>
    <t xml:space="preserve">S00105</t>
  </si>
  <si>
    <t xml:space="preserve">P2590</t>
  </si>
  <si>
    <t xml:space="preserve">chrisperkins</t>
  </si>
  <si>
    <t xml:space="preserve">S00106</t>
  </si>
  <si>
    <t xml:space="preserve">P8823</t>
  </si>
  <si>
    <t xml:space="preserve">blakewallace</t>
  </si>
  <si>
    <t xml:space="preserve">S00107</t>
  </si>
  <si>
    <t xml:space="preserve">P1933</t>
  </si>
  <si>
    <t xml:space="preserve">ismith</t>
  </si>
  <si>
    <t xml:space="preserve">S00108</t>
  </si>
  <si>
    <t xml:space="preserve">amydunn</t>
  </si>
  <si>
    <t xml:space="preserve">S00109</t>
  </si>
  <si>
    <t xml:space="preserve">P2082</t>
  </si>
  <si>
    <t xml:space="preserve">awise</t>
  </si>
  <si>
    <t xml:space="preserve">S00110</t>
  </si>
  <si>
    <t xml:space="preserve">P9730</t>
  </si>
  <si>
    <t xml:space="preserve">jennifer33</t>
  </si>
  <si>
    <t xml:space="preserve">S00111</t>
  </si>
  <si>
    <t xml:space="preserve">P1583</t>
  </si>
  <si>
    <t xml:space="preserve">heatherpayne</t>
  </si>
  <si>
    <t xml:space="preserve">S00112</t>
  </si>
  <si>
    <t xml:space="preserve">P3011</t>
  </si>
  <si>
    <t xml:space="preserve">keithmaddox</t>
  </si>
  <si>
    <t xml:space="preserve">S00113</t>
  </si>
  <si>
    <t xml:space="preserve">P7599</t>
  </si>
  <si>
    <t xml:space="preserve">fuentesmelanie</t>
  </si>
  <si>
    <t xml:space="preserve">S00114</t>
  </si>
  <si>
    <t xml:space="preserve">P2615</t>
  </si>
  <si>
    <t xml:space="preserve">melissa89</t>
  </si>
  <si>
    <t xml:space="preserve">S00115</t>
  </si>
  <si>
    <t xml:space="preserve">P5890</t>
  </si>
  <si>
    <t xml:space="preserve">jill75</t>
  </si>
  <si>
    <t xml:space="preserve">S00116</t>
  </si>
  <si>
    <t xml:space="preserve">P7715</t>
  </si>
  <si>
    <t xml:space="preserve">vhart</t>
  </si>
  <si>
    <t xml:space="preserve">S00117</t>
  </si>
  <si>
    <t xml:space="preserve">P4728</t>
  </si>
  <si>
    <t xml:space="preserve">marilynharrison</t>
  </si>
  <si>
    <t xml:space="preserve">S00118</t>
  </si>
  <si>
    <t xml:space="preserve">P8621</t>
  </si>
  <si>
    <t xml:space="preserve">davisamy</t>
  </si>
  <si>
    <t xml:space="preserve">S00119</t>
  </si>
  <si>
    <t xml:space="preserve">P4118</t>
  </si>
  <si>
    <t xml:space="preserve">dorseyemily</t>
  </si>
  <si>
    <t xml:space="preserve">S00120</t>
  </si>
  <si>
    <t xml:space="preserve">P1199</t>
  </si>
  <si>
    <t xml:space="preserve">garymeyers</t>
  </si>
  <si>
    <t xml:space="preserve">S00121</t>
  </si>
  <si>
    <t xml:space="preserve">P7130</t>
  </si>
  <si>
    <t xml:space="preserve">elee</t>
  </si>
  <si>
    <t xml:space="preserve">S00122</t>
  </si>
  <si>
    <t xml:space="preserve">P1992</t>
  </si>
  <si>
    <t xml:space="preserve">jennifer29</t>
  </si>
  <si>
    <t xml:space="preserve">S00123</t>
  </si>
  <si>
    <t xml:space="preserve">P2064</t>
  </si>
  <si>
    <t xml:space="preserve">davidkelley</t>
  </si>
  <si>
    <t xml:space="preserve">S00124</t>
  </si>
  <si>
    <t xml:space="preserve">P9571</t>
  </si>
  <si>
    <t xml:space="preserve">haroldsawyer</t>
  </si>
  <si>
    <t xml:space="preserve">S00125</t>
  </si>
  <si>
    <t xml:space="preserve">P9017</t>
  </si>
  <si>
    <t xml:space="preserve">albertkelly</t>
  </si>
  <si>
    <t xml:space="preserve">S00126</t>
  </si>
  <si>
    <t xml:space="preserve">P8062</t>
  </si>
  <si>
    <t xml:space="preserve">chambersnicole</t>
  </si>
  <si>
    <t xml:space="preserve">S00127</t>
  </si>
  <si>
    <t xml:space="preserve">P6411</t>
  </si>
  <si>
    <t xml:space="preserve">jacobsonmichael</t>
  </si>
  <si>
    <t xml:space="preserve">S00128</t>
  </si>
  <si>
    <t xml:space="preserve">P4959</t>
  </si>
  <si>
    <t xml:space="preserve">robert48</t>
  </si>
  <si>
    <t xml:space="preserve">S00129</t>
  </si>
  <si>
    <t xml:space="preserve">P8564</t>
  </si>
  <si>
    <t xml:space="preserve">wyattsanchez</t>
  </si>
  <si>
    <t xml:space="preserve">S00130</t>
  </si>
  <si>
    <t xml:space="preserve">P9652</t>
  </si>
  <si>
    <t xml:space="preserve">vedwards</t>
  </si>
  <si>
    <t xml:space="preserve">S00131</t>
  </si>
  <si>
    <t xml:space="preserve">P6617</t>
  </si>
  <si>
    <t xml:space="preserve">figueroadoris</t>
  </si>
  <si>
    <t xml:space="preserve">S00132</t>
  </si>
  <si>
    <t xml:space="preserve">P2180</t>
  </si>
  <si>
    <t xml:space="preserve">briansteele</t>
  </si>
  <si>
    <t xml:space="preserve">S00133</t>
  </si>
  <si>
    <t xml:space="preserve">P2956</t>
  </si>
  <si>
    <t xml:space="preserve">huangdana</t>
  </si>
  <si>
    <t xml:space="preserve">S00134</t>
  </si>
  <si>
    <t xml:space="preserve">P3200</t>
  </si>
  <si>
    <t xml:space="preserve">robert23</t>
  </si>
  <si>
    <t xml:space="preserve">S00135</t>
  </si>
  <si>
    <t xml:space="preserve">P9368</t>
  </si>
  <si>
    <t xml:space="preserve">thomasmonica</t>
  </si>
  <si>
    <t xml:space="preserve">S00136</t>
  </si>
  <si>
    <t xml:space="preserve">P7857</t>
  </si>
  <si>
    <t xml:space="preserve">griffithbilly</t>
  </si>
  <si>
    <t xml:space="preserve">S00137</t>
  </si>
  <si>
    <t xml:space="preserve">P4039</t>
  </si>
  <si>
    <t xml:space="preserve">alanguerrero</t>
  </si>
  <si>
    <t xml:space="preserve">S00138</t>
  </si>
  <si>
    <t xml:space="preserve">timothy18</t>
  </si>
  <si>
    <t xml:space="preserve">S00139</t>
  </si>
  <si>
    <t xml:space="preserve">P4544</t>
  </si>
  <si>
    <t xml:space="preserve">martinrobert</t>
  </si>
  <si>
    <t xml:space="preserve">S00140</t>
  </si>
  <si>
    <t xml:space="preserve">P4842</t>
  </si>
  <si>
    <t xml:space="preserve">deckeramanda</t>
  </si>
  <si>
    <t xml:space="preserve">S00141</t>
  </si>
  <si>
    <t xml:space="preserve">P2727</t>
  </si>
  <si>
    <t xml:space="preserve">allison25</t>
  </si>
  <si>
    <t xml:space="preserve">S00142</t>
  </si>
  <si>
    <t xml:space="preserve">P7235</t>
  </si>
  <si>
    <t xml:space="preserve">reedchad</t>
  </si>
  <si>
    <t xml:space="preserve">S00143</t>
  </si>
  <si>
    <t xml:space="preserve">P8203</t>
  </si>
  <si>
    <t xml:space="preserve">kennedyjacob</t>
  </si>
  <si>
    <t xml:space="preserve">S00144</t>
  </si>
  <si>
    <t xml:space="preserve">P2317</t>
  </si>
  <si>
    <t xml:space="preserve">robertohobbs</t>
  </si>
  <si>
    <t xml:space="preserve">S00145</t>
  </si>
  <si>
    <t xml:space="preserve">P1686</t>
  </si>
  <si>
    <t xml:space="preserve">michellemurphy</t>
  </si>
  <si>
    <t xml:space="preserve">S00146</t>
  </si>
  <si>
    <t xml:space="preserve">P3775</t>
  </si>
  <si>
    <t xml:space="preserve">castillowilliam</t>
  </si>
  <si>
    <t xml:space="preserve">S00147</t>
  </si>
  <si>
    <t xml:space="preserve">P2026</t>
  </si>
  <si>
    <t xml:space="preserve">manuel15</t>
  </si>
  <si>
    <t xml:space="preserve">S00148</t>
  </si>
  <si>
    <t xml:space="preserve">P6441</t>
  </si>
  <si>
    <t xml:space="preserve">melissa77</t>
  </si>
  <si>
    <t xml:space="preserve">S00149</t>
  </si>
  <si>
    <t xml:space="preserve">P2573</t>
  </si>
  <si>
    <t xml:space="preserve">pkim</t>
  </si>
  <si>
    <t xml:space="preserve">S00150</t>
  </si>
  <si>
    <t xml:space="preserve">P2593</t>
  </si>
  <si>
    <t xml:space="preserve">erinjones</t>
  </si>
  <si>
    <t xml:space="preserve">S00151</t>
  </si>
  <si>
    <t xml:space="preserve">P5644</t>
  </si>
  <si>
    <t xml:space="preserve">harrispamela</t>
  </si>
  <si>
    <t xml:space="preserve">S00152</t>
  </si>
  <si>
    <t xml:space="preserve">P5906</t>
  </si>
  <si>
    <t xml:space="preserve">onoble</t>
  </si>
  <si>
    <t xml:space="preserve">S00153</t>
  </si>
  <si>
    <t xml:space="preserve">P4716</t>
  </si>
  <si>
    <t xml:space="preserve">jamie88</t>
  </si>
  <si>
    <t xml:space="preserve">S00154</t>
  </si>
  <si>
    <t xml:space="preserve">P8055</t>
  </si>
  <si>
    <t xml:space="preserve">davidsingleton</t>
  </si>
  <si>
    <t xml:space="preserve">S00155</t>
  </si>
  <si>
    <t xml:space="preserve">P2328</t>
  </si>
  <si>
    <t xml:space="preserve">byrdevelyn</t>
  </si>
  <si>
    <t xml:space="preserve">S00156</t>
  </si>
  <si>
    <t xml:space="preserve">P2755</t>
  </si>
  <si>
    <t xml:space="preserve">ivan06</t>
  </si>
  <si>
    <t xml:space="preserve">S00157</t>
  </si>
  <si>
    <t xml:space="preserve">P5941</t>
  </si>
  <si>
    <t xml:space="preserve">gabriellogan</t>
  </si>
  <si>
    <t xml:space="preserve">S00158</t>
  </si>
  <si>
    <t xml:space="preserve">P4783</t>
  </si>
  <si>
    <t xml:space="preserve">gsmith</t>
  </si>
  <si>
    <t xml:space="preserve">S00159</t>
  </si>
  <si>
    <t xml:space="preserve">P7795</t>
  </si>
  <si>
    <t xml:space="preserve">morrismelissa</t>
  </si>
  <si>
    <t xml:space="preserve">S00160</t>
  </si>
  <si>
    <t xml:space="preserve">P5207</t>
  </si>
  <si>
    <t xml:space="preserve">courtneycarr</t>
  </si>
  <si>
    <t xml:space="preserve">S00161</t>
  </si>
  <si>
    <t xml:space="preserve">P7830</t>
  </si>
  <si>
    <t xml:space="preserve">thomasowens</t>
  </si>
  <si>
    <t xml:space="preserve">S00162</t>
  </si>
  <si>
    <t xml:space="preserve">P9575</t>
  </si>
  <si>
    <t xml:space="preserve">robertsoncynthia</t>
  </si>
  <si>
    <t xml:space="preserve">S00163</t>
  </si>
  <si>
    <t xml:space="preserve">P8379</t>
  </si>
  <si>
    <t xml:space="preserve">uhudson</t>
  </si>
  <si>
    <t xml:space="preserve">S00164</t>
  </si>
  <si>
    <t xml:space="preserve">P4355</t>
  </si>
  <si>
    <t xml:space="preserve">victoriastone</t>
  </si>
  <si>
    <t xml:space="preserve">S00165</t>
  </si>
  <si>
    <t xml:space="preserve">P6225</t>
  </si>
  <si>
    <t xml:space="preserve">adam91</t>
  </si>
  <si>
    <t xml:space="preserve">S00166</t>
  </si>
  <si>
    <t xml:space="preserve">P9011</t>
  </si>
  <si>
    <t xml:space="preserve">robertroberts</t>
  </si>
  <si>
    <t xml:space="preserve">S00167</t>
  </si>
  <si>
    <t xml:space="preserve">P4379</t>
  </si>
  <si>
    <t xml:space="preserve">walkerdeborah</t>
  </si>
  <si>
    <t xml:space="preserve">S00168</t>
  </si>
  <si>
    <t xml:space="preserve">P6734</t>
  </si>
  <si>
    <t xml:space="preserve">whitemary</t>
  </si>
  <si>
    <t xml:space="preserve">S00169</t>
  </si>
  <si>
    <t xml:space="preserve">P1828</t>
  </si>
  <si>
    <t xml:space="preserve">fray</t>
  </si>
  <si>
    <t xml:space="preserve">S00170</t>
  </si>
  <si>
    <t xml:space="preserve">P1330</t>
  </si>
  <si>
    <t xml:space="preserve">weaverdaniel</t>
  </si>
  <si>
    <t xml:space="preserve">S00171</t>
  </si>
  <si>
    <t xml:space="preserve">P4426</t>
  </si>
  <si>
    <t xml:space="preserve">joe22</t>
  </si>
  <si>
    <t xml:space="preserve">S00172</t>
  </si>
  <si>
    <t xml:space="preserve">P7943</t>
  </si>
  <si>
    <t xml:space="preserve">vaughnlori</t>
  </si>
  <si>
    <t xml:space="preserve">S00173</t>
  </si>
  <si>
    <t xml:space="preserve">P7565</t>
  </si>
  <si>
    <t xml:space="preserve">ambersmith</t>
  </si>
  <si>
    <t xml:space="preserve">S00174</t>
  </si>
  <si>
    <t xml:space="preserve">P4796</t>
  </si>
  <si>
    <t xml:space="preserve">okoch</t>
  </si>
  <si>
    <t xml:space="preserve">S00175</t>
  </si>
  <si>
    <t xml:space="preserve">P6406</t>
  </si>
  <si>
    <t xml:space="preserve">shannonevans</t>
  </si>
  <si>
    <t xml:space="preserve">S00176</t>
  </si>
  <si>
    <t xml:space="preserve">P3229</t>
  </si>
  <si>
    <t xml:space="preserve">gina94</t>
  </si>
  <si>
    <t xml:space="preserve">S00177</t>
  </si>
  <si>
    <t xml:space="preserve">P4485</t>
  </si>
  <si>
    <t xml:space="preserve">iyoung</t>
  </si>
  <si>
    <t xml:space="preserve">S00178</t>
  </si>
  <si>
    <t xml:space="preserve">P4333</t>
  </si>
  <si>
    <t xml:space="preserve">matthewcasey</t>
  </si>
  <si>
    <t xml:space="preserve">S00179</t>
  </si>
  <si>
    <t xml:space="preserve">P3013</t>
  </si>
  <si>
    <t xml:space="preserve">smayo</t>
  </si>
  <si>
    <t xml:space="preserve">S00180</t>
  </si>
  <si>
    <t xml:space="preserve">P9205</t>
  </si>
  <si>
    <t xml:space="preserve">douglas13</t>
  </si>
  <si>
    <t xml:space="preserve">S00181</t>
  </si>
  <si>
    <t xml:space="preserve">P2490</t>
  </si>
  <si>
    <t xml:space="preserve">bakerjohn</t>
  </si>
  <si>
    <t xml:space="preserve">S00182</t>
  </si>
  <si>
    <t xml:space="preserve">P3609</t>
  </si>
  <si>
    <t xml:space="preserve">brianlopez</t>
  </si>
  <si>
    <t xml:space="preserve">S00183</t>
  </si>
  <si>
    <t xml:space="preserve">P2506</t>
  </si>
  <si>
    <t xml:space="preserve">troberts</t>
  </si>
  <si>
    <t xml:space="preserve">S00184</t>
  </si>
  <si>
    <t xml:space="preserve">P6474</t>
  </si>
  <si>
    <t xml:space="preserve">robertmassey</t>
  </si>
  <si>
    <t xml:space="preserve">S00185</t>
  </si>
  <si>
    <t xml:space="preserve">P5211</t>
  </si>
  <si>
    <t xml:space="preserve">ynovak</t>
  </si>
  <si>
    <t xml:space="preserve">S00186</t>
  </si>
  <si>
    <t xml:space="preserve">P7900</t>
  </si>
  <si>
    <t xml:space="preserve">colinmartinez</t>
  </si>
  <si>
    <t xml:space="preserve">S00187</t>
  </si>
  <si>
    <t xml:space="preserve">P6989</t>
  </si>
  <si>
    <t xml:space="preserve">schultzkatherine</t>
  </si>
  <si>
    <t xml:space="preserve">S00188</t>
  </si>
  <si>
    <t xml:space="preserve">romerostephanie</t>
  </si>
  <si>
    <t xml:space="preserve">S00189</t>
  </si>
  <si>
    <t xml:space="preserve">P4279</t>
  </si>
  <si>
    <t xml:space="preserve">otaylor</t>
  </si>
  <si>
    <t xml:space="preserve">S00190</t>
  </si>
  <si>
    <t xml:space="preserve">P5227</t>
  </si>
  <si>
    <t xml:space="preserve">snguyen</t>
  </si>
  <si>
    <t xml:space="preserve">S00191</t>
  </si>
  <si>
    <t xml:space="preserve">christine87</t>
  </si>
  <si>
    <t xml:space="preserve">S00192</t>
  </si>
  <si>
    <t xml:space="preserve">P2833</t>
  </si>
  <si>
    <t xml:space="preserve">kerry23</t>
  </si>
  <si>
    <t xml:space="preserve">S00193</t>
  </si>
  <si>
    <t xml:space="preserve">P3866</t>
  </si>
  <si>
    <t xml:space="preserve">natashamartin</t>
  </si>
  <si>
    <t xml:space="preserve">S00194</t>
  </si>
  <si>
    <t xml:space="preserve">P9566</t>
  </si>
  <si>
    <t xml:space="preserve">rileyjason</t>
  </si>
  <si>
    <t xml:space="preserve">S00195</t>
  </si>
  <si>
    <t xml:space="preserve">P1819</t>
  </si>
  <si>
    <t xml:space="preserve">garciadanielle</t>
  </si>
  <si>
    <t xml:space="preserve">S00196</t>
  </si>
  <si>
    <t xml:space="preserve">P5750</t>
  </si>
  <si>
    <t xml:space="preserve">walterkayla</t>
  </si>
  <si>
    <t xml:space="preserve">S00197</t>
  </si>
  <si>
    <t xml:space="preserve">P8044</t>
  </si>
  <si>
    <t xml:space="preserve">henryrosales</t>
  </si>
  <si>
    <t xml:space="preserve">S00198</t>
  </si>
  <si>
    <t xml:space="preserve">P7656</t>
  </si>
  <si>
    <t xml:space="preserve">nrichmond</t>
  </si>
  <si>
    <t xml:space="preserve">S00199</t>
  </si>
  <si>
    <t xml:space="preserve">P9860</t>
  </si>
  <si>
    <t xml:space="preserve">andrewbrown</t>
  </si>
  <si>
    <t xml:space="preserve">S00200</t>
  </si>
  <si>
    <t xml:space="preserve">P7486</t>
  </si>
  <si>
    <t xml:space="preserve">qmills</t>
  </si>
  <si>
    <t xml:space="preserve">S00201</t>
  </si>
  <si>
    <t xml:space="preserve">P5966</t>
  </si>
  <si>
    <t xml:space="preserve">qcarrillo</t>
  </si>
  <si>
    <t xml:space="preserve">S00202</t>
  </si>
  <si>
    <t xml:space="preserve">P8953</t>
  </si>
  <si>
    <t xml:space="preserve">mcdanielautumn</t>
  </si>
  <si>
    <t xml:space="preserve">S00203</t>
  </si>
  <si>
    <t xml:space="preserve">P5877</t>
  </si>
  <si>
    <t xml:space="preserve">jperkins</t>
  </si>
  <si>
    <t xml:space="preserve">S00204</t>
  </si>
  <si>
    <t xml:space="preserve">P7851</t>
  </si>
  <si>
    <t xml:space="preserve">hernandezmichael</t>
  </si>
  <si>
    <t xml:space="preserve">S00205</t>
  </si>
  <si>
    <t xml:space="preserve">P8927</t>
  </si>
  <si>
    <t xml:space="preserve">xpadilla</t>
  </si>
  <si>
    <t xml:space="preserve">S00206</t>
  </si>
  <si>
    <t xml:space="preserve">P3345</t>
  </si>
  <si>
    <t xml:space="preserve">wjohnson</t>
  </si>
  <si>
    <t xml:space="preserve">S00207</t>
  </si>
  <si>
    <t xml:space="preserve">P1709</t>
  </si>
  <si>
    <t xml:space="preserve">darren53</t>
  </si>
  <si>
    <t xml:space="preserve">S00208</t>
  </si>
  <si>
    <t xml:space="preserve">P3727</t>
  </si>
  <si>
    <t xml:space="preserve">nathanielchavez</t>
  </si>
  <si>
    <t xml:space="preserve">S00209</t>
  </si>
  <si>
    <t xml:space="preserve">P6903</t>
  </si>
  <si>
    <t xml:space="preserve">selliott</t>
  </si>
  <si>
    <t xml:space="preserve">S00210</t>
  </si>
  <si>
    <t xml:space="preserve">P9657</t>
  </si>
  <si>
    <t xml:space="preserve">elowe</t>
  </si>
  <si>
    <t xml:space="preserve">S00211</t>
  </si>
  <si>
    <t xml:space="preserve">P6523</t>
  </si>
  <si>
    <t xml:space="preserve">edwardsjohn</t>
  </si>
  <si>
    <t xml:space="preserve">S00212</t>
  </si>
  <si>
    <t xml:space="preserve">P4216</t>
  </si>
  <si>
    <t xml:space="preserve">sheilawatkins</t>
  </si>
  <si>
    <t xml:space="preserve">S00213</t>
  </si>
  <si>
    <t xml:space="preserve">P5442</t>
  </si>
  <si>
    <t xml:space="preserve">nicholas77</t>
  </si>
  <si>
    <t xml:space="preserve">S00214</t>
  </si>
  <si>
    <t xml:space="preserve">P5369</t>
  </si>
  <si>
    <t xml:space="preserve">alexandermoore</t>
  </si>
  <si>
    <t xml:space="preserve">S00215</t>
  </si>
  <si>
    <t xml:space="preserve">P2904</t>
  </si>
  <si>
    <t xml:space="preserve">william77</t>
  </si>
  <si>
    <t xml:space="preserve">S00216</t>
  </si>
  <si>
    <t xml:space="preserve">P2461</t>
  </si>
  <si>
    <t xml:space="preserve">michelle54</t>
  </si>
  <si>
    <t xml:space="preserve">S00217</t>
  </si>
  <si>
    <t xml:space="preserve">P3087</t>
  </si>
  <si>
    <t xml:space="preserve">quinncaroline</t>
  </si>
  <si>
    <t xml:space="preserve">S00218</t>
  </si>
  <si>
    <t xml:space="preserve">P1617</t>
  </si>
  <si>
    <t xml:space="preserve">hlucas</t>
  </si>
  <si>
    <t xml:space="preserve">S00219</t>
  </si>
  <si>
    <t xml:space="preserve">P3673</t>
  </si>
  <si>
    <t xml:space="preserve">davisdevin</t>
  </si>
  <si>
    <t xml:space="preserve">S00220</t>
  </si>
  <si>
    <t xml:space="preserve">P7757</t>
  </si>
  <si>
    <t xml:space="preserve">tonyachristensen</t>
  </si>
  <si>
    <t xml:space="preserve">S00221</t>
  </si>
  <si>
    <t xml:space="preserve">P1073</t>
  </si>
  <si>
    <t xml:space="preserve">shawna86</t>
  </si>
  <si>
    <t xml:space="preserve">S00222</t>
  </si>
  <si>
    <t xml:space="preserve">P9392</t>
  </si>
  <si>
    <t xml:space="preserve">scott81</t>
  </si>
  <si>
    <t xml:space="preserve">S00223</t>
  </si>
  <si>
    <t xml:space="preserve">P8292</t>
  </si>
  <si>
    <t xml:space="preserve">kellyrichardson</t>
  </si>
  <si>
    <t xml:space="preserve">S00224</t>
  </si>
  <si>
    <t xml:space="preserve">P4744</t>
  </si>
  <si>
    <t xml:space="preserve">jeansmall</t>
  </si>
  <si>
    <t xml:space="preserve">S00225</t>
  </si>
  <si>
    <t xml:space="preserve">P1940</t>
  </si>
  <si>
    <t xml:space="preserve">richard18</t>
  </si>
  <si>
    <t xml:space="preserve">S00226</t>
  </si>
  <si>
    <t xml:space="preserve">P7147</t>
  </si>
  <si>
    <t xml:space="preserve">jayroberts</t>
  </si>
  <si>
    <t xml:space="preserve">S00227</t>
  </si>
  <si>
    <t xml:space="preserve">P9650</t>
  </si>
  <si>
    <t xml:space="preserve">lpowers</t>
  </si>
  <si>
    <t xml:space="preserve">S00228</t>
  </si>
  <si>
    <t xml:space="preserve">P4765</t>
  </si>
  <si>
    <t xml:space="preserve">thomas60</t>
  </si>
  <si>
    <t xml:space="preserve">S00229</t>
  </si>
  <si>
    <t xml:space="preserve">P1732</t>
  </si>
  <si>
    <t xml:space="preserve">zjames</t>
  </si>
  <si>
    <t xml:space="preserve">S00230</t>
  </si>
  <si>
    <t xml:space="preserve">P7236</t>
  </si>
  <si>
    <t xml:space="preserve">zhopkins</t>
  </si>
  <si>
    <t xml:space="preserve">S00231</t>
  </si>
  <si>
    <t xml:space="preserve">P9363</t>
  </si>
  <si>
    <t xml:space="preserve">melissa94</t>
  </si>
  <si>
    <t xml:space="preserve">S00232</t>
  </si>
  <si>
    <t xml:space="preserve">P8348</t>
  </si>
  <si>
    <t xml:space="preserve">pottsdavid</t>
  </si>
  <si>
    <t xml:space="preserve">S00233</t>
  </si>
  <si>
    <t xml:space="preserve">P8315</t>
  </si>
  <si>
    <t xml:space="preserve">zmartin</t>
  </si>
  <si>
    <t xml:space="preserve">S00234</t>
  </si>
  <si>
    <t xml:space="preserve">P4086</t>
  </si>
  <si>
    <t xml:space="preserve">joseph76</t>
  </si>
  <si>
    <t xml:space="preserve">S00235</t>
  </si>
  <si>
    <t xml:space="preserve">P5994</t>
  </si>
  <si>
    <t xml:space="preserve">deannanewman</t>
  </si>
  <si>
    <t xml:space="preserve">S00236</t>
  </si>
  <si>
    <t xml:space="preserve">P5794</t>
  </si>
  <si>
    <t xml:space="preserve">rodriguezkathleen</t>
  </si>
  <si>
    <t xml:space="preserve">S00237</t>
  </si>
  <si>
    <t xml:space="preserve">P4427</t>
  </si>
  <si>
    <t xml:space="preserve">nelsonbrandon</t>
  </si>
  <si>
    <t xml:space="preserve">S00238</t>
  </si>
  <si>
    <t xml:space="preserve">P4599</t>
  </si>
  <si>
    <t xml:space="preserve">wrightjulia</t>
  </si>
  <si>
    <t xml:space="preserve">S00239</t>
  </si>
  <si>
    <t xml:space="preserve">P3944</t>
  </si>
  <si>
    <t xml:space="preserve">zthomas</t>
  </si>
  <si>
    <t xml:space="preserve">S00240</t>
  </si>
  <si>
    <t xml:space="preserve">P9467</t>
  </si>
  <si>
    <t xml:space="preserve">fmay</t>
  </si>
  <si>
    <t xml:space="preserve">S00241</t>
  </si>
  <si>
    <t xml:space="preserve">P9330</t>
  </si>
  <si>
    <t xml:space="preserve">susan69</t>
  </si>
  <si>
    <t xml:space="preserve">S00242</t>
  </si>
  <si>
    <t xml:space="preserve">P7057</t>
  </si>
  <si>
    <t xml:space="preserve">anthony60</t>
  </si>
  <si>
    <t xml:space="preserve">S00243</t>
  </si>
  <si>
    <t xml:space="preserve">P5909</t>
  </si>
  <si>
    <t xml:space="preserve">mercedesyoung</t>
  </si>
  <si>
    <t xml:space="preserve">S00244</t>
  </si>
  <si>
    <t xml:space="preserve">P8810</t>
  </si>
  <si>
    <t xml:space="preserve">tracy64</t>
  </si>
  <si>
    <t xml:space="preserve">S00245</t>
  </si>
  <si>
    <t xml:space="preserve">P8881</t>
  </si>
  <si>
    <t xml:space="preserve">carpenterjohn</t>
  </si>
  <si>
    <t xml:space="preserve">S00246</t>
  </si>
  <si>
    <t xml:space="preserve">P4807</t>
  </si>
  <si>
    <t xml:space="preserve">alexwilson</t>
  </si>
  <si>
    <t xml:space="preserve">S00247</t>
  </si>
  <si>
    <t xml:space="preserve">P3394</t>
  </si>
  <si>
    <t xml:space="preserve">moyerdanny</t>
  </si>
  <si>
    <t xml:space="preserve">S00248</t>
  </si>
  <si>
    <t xml:space="preserve">P2659</t>
  </si>
  <si>
    <t xml:space="preserve">joshuasmith</t>
  </si>
  <si>
    <t xml:space="preserve">S00249</t>
  </si>
  <si>
    <t xml:space="preserve">P3780</t>
  </si>
  <si>
    <t xml:space="preserve">zacharygonzales</t>
  </si>
  <si>
    <t xml:space="preserve">S00250</t>
  </si>
  <si>
    <t xml:space="preserve">P2357</t>
  </si>
  <si>
    <t xml:space="preserve">coxlauren</t>
  </si>
  <si>
    <t xml:space="preserve">S00251</t>
  </si>
  <si>
    <t xml:space="preserve">P6820</t>
  </si>
  <si>
    <t xml:space="preserve">espinozajennifer</t>
  </si>
  <si>
    <t xml:space="preserve">S00252</t>
  </si>
  <si>
    <t xml:space="preserve">P7067</t>
  </si>
  <si>
    <t xml:space="preserve">jackbarnes</t>
  </si>
  <si>
    <t xml:space="preserve">S00253</t>
  </si>
  <si>
    <t xml:space="preserve">P6499</t>
  </si>
  <si>
    <t xml:space="preserve">juanjones</t>
  </si>
  <si>
    <t xml:space="preserve">S00254</t>
  </si>
  <si>
    <t xml:space="preserve">P5142</t>
  </si>
  <si>
    <t xml:space="preserve">georgewarren</t>
  </si>
  <si>
    <t xml:space="preserve">S00255</t>
  </si>
  <si>
    <t xml:space="preserve">P4616</t>
  </si>
  <si>
    <t xml:space="preserve">danieldonaldson</t>
  </si>
  <si>
    <t xml:space="preserve">S00256</t>
  </si>
  <si>
    <t xml:space="preserve">P7433</t>
  </si>
  <si>
    <t xml:space="preserve">wsanders</t>
  </si>
  <si>
    <t xml:space="preserve">S00257</t>
  </si>
  <si>
    <t xml:space="preserve">P8958</t>
  </si>
  <si>
    <t xml:space="preserve">dunnmelissa</t>
  </si>
  <si>
    <t xml:space="preserve">S00258</t>
  </si>
  <si>
    <t xml:space="preserve">P1212</t>
  </si>
  <si>
    <t xml:space="preserve">hporter</t>
  </si>
  <si>
    <t xml:space="preserve">S00259</t>
  </si>
  <si>
    <t xml:space="preserve">P8750</t>
  </si>
  <si>
    <t xml:space="preserve">garciaisabel</t>
  </si>
  <si>
    <t xml:space="preserve">S00260</t>
  </si>
  <si>
    <t xml:space="preserve">rsuarez</t>
  </si>
  <si>
    <t xml:space="preserve">S00261</t>
  </si>
  <si>
    <t xml:space="preserve">P7483</t>
  </si>
  <si>
    <t xml:space="preserve">murrayaaron</t>
  </si>
  <si>
    <t xml:space="preserve">S00262</t>
  </si>
  <si>
    <t xml:space="preserve">P3905</t>
  </si>
  <si>
    <t xml:space="preserve">stephen73</t>
  </si>
  <si>
    <t xml:space="preserve">S00263</t>
  </si>
  <si>
    <t xml:space="preserve">iadkins</t>
  </si>
  <si>
    <t xml:space="preserve">S00264</t>
  </si>
  <si>
    <t xml:space="preserve">P6567</t>
  </si>
  <si>
    <t xml:space="preserve">smithshawn</t>
  </si>
  <si>
    <t xml:space="preserve">S00265</t>
  </si>
  <si>
    <t xml:space="preserve">P2068</t>
  </si>
  <si>
    <t xml:space="preserve">vanessasmith</t>
  </si>
  <si>
    <t xml:space="preserve">S00266</t>
  </si>
  <si>
    <t xml:space="preserve">P4801</t>
  </si>
  <si>
    <t xml:space="preserve">annaroy</t>
  </si>
  <si>
    <t xml:space="preserve">S00267</t>
  </si>
  <si>
    <t xml:space="preserve">P9642</t>
  </si>
  <si>
    <t xml:space="preserve">dfloyd</t>
  </si>
  <si>
    <t xml:space="preserve">S00268</t>
  </si>
  <si>
    <t xml:space="preserve">P4625</t>
  </si>
  <si>
    <t xml:space="preserve">maryrodriguez</t>
  </si>
  <si>
    <t xml:space="preserve">S00269</t>
  </si>
  <si>
    <t xml:space="preserve">P3615</t>
  </si>
  <si>
    <t xml:space="preserve">tamarafowler</t>
  </si>
  <si>
    <t xml:space="preserve">S00270</t>
  </si>
  <si>
    <t xml:space="preserve">P9094</t>
  </si>
  <si>
    <t xml:space="preserve">nsmith</t>
  </si>
  <si>
    <t xml:space="preserve">S00271</t>
  </si>
  <si>
    <t xml:space="preserve">P7072</t>
  </si>
  <si>
    <t xml:space="preserve">matthew23</t>
  </si>
  <si>
    <t xml:space="preserve">S00272</t>
  </si>
  <si>
    <t xml:space="preserve">P4911</t>
  </si>
  <si>
    <t xml:space="preserve">mmorgan</t>
  </si>
  <si>
    <t xml:space="preserve">S00273</t>
  </si>
  <si>
    <t xml:space="preserve">P5122</t>
  </si>
  <si>
    <t xml:space="preserve">ronaldkennedy</t>
  </si>
  <si>
    <t xml:space="preserve">S00274</t>
  </si>
  <si>
    <t xml:space="preserve">P4950</t>
  </si>
  <si>
    <t xml:space="preserve">megan08</t>
  </si>
  <si>
    <t xml:space="preserve">S00275</t>
  </si>
  <si>
    <t xml:space="preserve">P7472</t>
  </si>
  <si>
    <t xml:space="preserve">kcook</t>
  </si>
  <si>
    <t xml:space="preserve">S00276</t>
  </si>
  <si>
    <t xml:space="preserve">P2232</t>
  </si>
  <si>
    <t xml:space="preserve">donovantrevor</t>
  </si>
  <si>
    <t xml:space="preserve">S00277</t>
  </si>
  <si>
    <t xml:space="preserve">P8649</t>
  </si>
  <si>
    <t xml:space="preserve">melanie33</t>
  </si>
  <si>
    <t xml:space="preserve">S00278</t>
  </si>
  <si>
    <t xml:space="preserve">P7465</t>
  </si>
  <si>
    <t xml:space="preserve">foxdawn</t>
  </si>
  <si>
    <t xml:space="preserve">S00279</t>
  </si>
  <si>
    <t xml:space="preserve">P8384</t>
  </si>
  <si>
    <t xml:space="preserve">walkernathan</t>
  </si>
  <si>
    <t xml:space="preserve">S00280</t>
  </si>
  <si>
    <t xml:space="preserve">P9835</t>
  </si>
  <si>
    <t xml:space="preserve">leslie88</t>
  </si>
  <si>
    <t xml:space="preserve">S00281</t>
  </si>
  <si>
    <t xml:space="preserve">P5712</t>
  </si>
  <si>
    <t xml:space="preserve">brandon14</t>
  </si>
  <si>
    <t xml:space="preserve">S00282</t>
  </si>
  <si>
    <t xml:space="preserve">P7701</t>
  </si>
  <si>
    <t xml:space="preserve">carmenbutler</t>
  </si>
  <si>
    <t xml:space="preserve">S00283</t>
  </si>
  <si>
    <t xml:space="preserve">P7004</t>
  </si>
  <si>
    <t xml:space="preserve">monicaharris</t>
  </si>
  <si>
    <t xml:space="preserve">S00284</t>
  </si>
  <si>
    <t xml:space="preserve">P4597</t>
  </si>
  <si>
    <t xml:space="preserve">john69</t>
  </si>
  <si>
    <t xml:space="preserve">S00285</t>
  </si>
  <si>
    <t xml:space="preserve">P3464</t>
  </si>
  <si>
    <t xml:space="preserve">ryan43</t>
  </si>
  <si>
    <t xml:space="preserve">S00286</t>
  </si>
  <si>
    <t xml:space="preserve">P1653</t>
  </si>
  <si>
    <t xml:space="preserve">jeffreybaker</t>
  </si>
  <si>
    <t xml:space="preserve">S00287</t>
  </si>
  <si>
    <t xml:space="preserve">P8328</t>
  </si>
  <si>
    <t xml:space="preserve">floresnatalie</t>
  </si>
  <si>
    <t xml:space="preserve">S00288</t>
  </si>
  <si>
    <t xml:space="preserve">P8167</t>
  </si>
  <si>
    <t xml:space="preserve">tyler13</t>
  </si>
  <si>
    <t xml:space="preserve">S00289</t>
  </si>
  <si>
    <t xml:space="preserve">P6334</t>
  </si>
  <si>
    <t xml:space="preserve">erictrujillo</t>
  </si>
  <si>
    <t xml:space="preserve">S00290</t>
  </si>
  <si>
    <t xml:space="preserve">P4420</t>
  </si>
  <si>
    <t xml:space="preserve">wanda82</t>
  </si>
  <si>
    <t xml:space="preserve">S00291</t>
  </si>
  <si>
    <t xml:space="preserve">P6223</t>
  </si>
  <si>
    <t xml:space="preserve">raymondjenna</t>
  </si>
  <si>
    <t xml:space="preserve">S00292</t>
  </si>
  <si>
    <t xml:space="preserve">P2113</t>
  </si>
  <si>
    <t xml:space="preserve">cassandrarice</t>
  </si>
  <si>
    <t xml:space="preserve">S00293</t>
  </si>
  <si>
    <t xml:space="preserve">P6122</t>
  </si>
  <si>
    <t xml:space="preserve">browndenise</t>
  </si>
  <si>
    <t xml:space="preserve">S00294</t>
  </si>
  <si>
    <t xml:space="preserve">P2984</t>
  </si>
  <si>
    <t xml:space="preserve">jenniferrollins</t>
  </si>
  <si>
    <t xml:space="preserve">S00295</t>
  </si>
  <si>
    <t xml:space="preserve">P8996</t>
  </si>
  <si>
    <t xml:space="preserve">sbrown</t>
  </si>
  <si>
    <t xml:space="preserve">S00296</t>
  </si>
  <si>
    <t xml:space="preserve">P1051</t>
  </si>
  <si>
    <t xml:space="preserve">kevin42</t>
  </si>
  <si>
    <t xml:space="preserve">S00297</t>
  </si>
  <si>
    <t xml:space="preserve">P2001</t>
  </si>
  <si>
    <t xml:space="preserve">yrichardson</t>
  </si>
  <si>
    <t xml:space="preserve">S00298</t>
  </si>
  <si>
    <t xml:space="preserve">P1898</t>
  </si>
  <si>
    <t xml:space="preserve">yperez</t>
  </si>
  <si>
    <t xml:space="preserve">S00299</t>
  </si>
  <si>
    <t xml:space="preserve">P2792</t>
  </si>
  <si>
    <t xml:space="preserve">rileyjohn</t>
  </si>
  <si>
    <t xml:space="preserve">S00300</t>
  </si>
  <si>
    <t xml:space="preserve">P8477</t>
  </si>
  <si>
    <t xml:space="preserve">smallalice</t>
  </si>
  <si>
    <t xml:space="preserve">S00301</t>
  </si>
  <si>
    <t xml:space="preserve">P1529</t>
  </si>
  <si>
    <t xml:space="preserve">nicole11</t>
  </si>
  <si>
    <t xml:space="preserve">S00302</t>
  </si>
  <si>
    <t xml:space="preserve">P5078</t>
  </si>
  <si>
    <t xml:space="preserve">elizabeth99</t>
  </si>
  <si>
    <t xml:space="preserve">S00303</t>
  </si>
  <si>
    <t xml:space="preserve">P8482</t>
  </si>
  <si>
    <t xml:space="preserve">hornjoshua</t>
  </si>
  <si>
    <t xml:space="preserve">S00304</t>
  </si>
  <si>
    <t xml:space="preserve">P1757</t>
  </si>
  <si>
    <t xml:space="preserve">thomas29</t>
  </si>
  <si>
    <t xml:space="preserve">S00305</t>
  </si>
  <si>
    <t xml:space="preserve">P2330</t>
  </si>
  <si>
    <t xml:space="preserve">davidmendoza</t>
  </si>
  <si>
    <t xml:space="preserve">S00306</t>
  </si>
  <si>
    <t xml:space="preserve">P2906</t>
  </si>
  <si>
    <t xml:space="preserve">jacob24</t>
  </si>
  <si>
    <t xml:space="preserve">S00307</t>
  </si>
  <si>
    <t xml:space="preserve">P9068</t>
  </si>
  <si>
    <t xml:space="preserve">nthompson</t>
  </si>
  <si>
    <t xml:space="preserve">S00308</t>
  </si>
  <si>
    <t xml:space="preserve">P6026</t>
  </si>
  <si>
    <t xml:space="preserve">ogarcia</t>
  </si>
  <si>
    <t xml:space="preserve">S00309</t>
  </si>
  <si>
    <t xml:space="preserve">P8611</t>
  </si>
  <si>
    <t xml:space="preserve">cheyennebenton</t>
  </si>
  <si>
    <t xml:space="preserve">S00310</t>
  </si>
  <si>
    <t xml:space="preserve">P5092</t>
  </si>
  <si>
    <t xml:space="preserve">owenssherry</t>
  </si>
  <si>
    <t xml:space="preserve">S00311</t>
  </si>
  <si>
    <t xml:space="preserve">P6038</t>
  </si>
  <si>
    <t xml:space="preserve">tbarker</t>
  </si>
  <si>
    <t xml:space="preserve">S00312</t>
  </si>
  <si>
    <t xml:space="preserve">P5060</t>
  </si>
  <si>
    <t xml:space="preserve">fmason</t>
  </si>
  <si>
    <t xml:space="preserve">S00313</t>
  </si>
  <si>
    <t xml:space="preserve">P9354</t>
  </si>
  <si>
    <t xml:space="preserve">jameswanda</t>
  </si>
  <si>
    <t xml:space="preserve">S00314</t>
  </si>
  <si>
    <t xml:space="preserve">P6556</t>
  </si>
  <si>
    <t xml:space="preserve">dennis63</t>
  </si>
  <si>
    <t xml:space="preserve">S00315</t>
  </si>
  <si>
    <t xml:space="preserve">P6685</t>
  </si>
  <si>
    <t xml:space="preserve">coreyperez</t>
  </si>
  <si>
    <t xml:space="preserve">S00316</t>
  </si>
  <si>
    <t xml:space="preserve">P3050</t>
  </si>
  <si>
    <t xml:space="preserve">gonzalezcindy</t>
  </si>
  <si>
    <t xml:space="preserve">S00317</t>
  </si>
  <si>
    <t xml:space="preserve">P2939</t>
  </si>
  <si>
    <t xml:space="preserve">millersarah</t>
  </si>
  <si>
    <t xml:space="preserve">S00318</t>
  </si>
  <si>
    <t xml:space="preserve">P4946</t>
  </si>
  <si>
    <t xml:space="preserve">thompsontodd</t>
  </si>
  <si>
    <t xml:space="preserve">S00319</t>
  </si>
  <si>
    <t xml:space="preserve">P2067</t>
  </si>
  <si>
    <t xml:space="preserve">waltersnicholas</t>
  </si>
  <si>
    <t xml:space="preserve">S00320</t>
  </si>
  <si>
    <t xml:space="preserve">P1338</t>
  </si>
  <si>
    <t xml:space="preserve">hharris</t>
  </si>
  <si>
    <t xml:space="preserve">S00321</t>
  </si>
  <si>
    <t xml:space="preserve">P3964</t>
  </si>
  <si>
    <t xml:space="preserve">kristopheralvarez</t>
  </si>
  <si>
    <t xml:space="preserve">S00322</t>
  </si>
  <si>
    <t xml:space="preserve">P6010</t>
  </si>
  <si>
    <t xml:space="preserve">emilyking</t>
  </si>
  <si>
    <t xml:space="preserve">S00323</t>
  </si>
  <si>
    <t xml:space="preserve">P7890</t>
  </si>
  <si>
    <t xml:space="preserve">bobbyanderson</t>
  </si>
  <si>
    <t xml:space="preserve">S00324</t>
  </si>
  <si>
    <t xml:space="preserve">P5731</t>
  </si>
  <si>
    <t xml:space="preserve">erinhansen</t>
  </si>
  <si>
    <t xml:space="preserve">S00325</t>
  </si>
  <si>
    <t xml:space="preserve">P2254</t>
  </si>
  <si>
    <t xml:space="preserve">gerald82</t>
  </si>
  <si>
    <t xml:space="preserve">S00326</t>
  </si>
  <si>
    <t xml:space="preserve">P2231</t>
  </si>
  <si>
    <t xml:space="preserve">jeffreyjimenez</t>
  </si>
  <si>
    <t xml:space="preserve">S00327</t>
  </si>
  <si>
    <t xml:space="preserve">P2736</t>
  </si>
  <si>
    <t xml:space="preserve">lcase</t>
  </si>
  <si>
    <t xml:space="preserve">S00328</t>
  </si>
  <si>
    <t xml:space="preserve">P3118</t>
  </si>
  <si>
    <t xml:space="preserve">jonathan53</t>
  </si>
  <si>
    <t xml:space="preserve">S00329</t>
  </si>
  <si>
    <t xml:space="preserve">P3169</t>
  </si>
  <si>
    <t xml:space="preserve">ethankaufman</t>
  </si>
  <si>
    <t xml:space="preserve">S00330</t>
  </si>
  <si>
    <t xml:space="preserve">P6447</t>
  </si>
  <si>
    <t xml:space="preserve">jessica34</t>
  </si>
  <si>
    <t xml:space="preserve">S00331</t>
  </si>
  <si>
    <t xml:space="preserve">P1496</t>
  </si>
  <si>
    <t xml:space="preserve">newtonjose</t>
  </si>
  <si>
    <t xml:space="preserve">S00332</t>
  </si>
  <si>
    <t xml:space="preserve">P4764</t>
  </si>
  <si>
    <t xml:space="preserve">johnsonjulie</t>
  </si>
  <si>
    <t xml:space="preserve">S00333</t>
  </si>
  <si>
    <t xml:space="preserve">P8963</t>
  </si>
  <si>
    <t xml:space="preserve">justin27</t>
  </si>
  <si>
    <t xml:space="preserve">S00334</t>
  </si>
  <si>
    <t xml:space="preserve">P1470</t>
  </si>
  <si>
    <t xml:space="preserve">jonesjames</t>
  </si>
  <si>
    <t xml:space="preserve">S00335</t>
  </si>
  <si>
    <t xml:space="preserve">P5228</t>
  </si>
  <si>
    <t xml:space="preserve">melissa44</t>
  </si>
  <si>
    <t xml:space="preserve">S00336</t>
  </si>
  <si>
    <t xml:space="preserve">P4680</t>
  </si>
  <si>
    <t xml:space="preserve">jack69</t>
  </si>
  <si>
    <t xml:space="preserve">S00337</t>
  </si>
  <si>
    <t xml:space="preserve">P2974</t>
  </si>
  <si>
    <t xml:space="preserve">maciasronald</t>
  </si>
  <si>
    <t xml:space="preserve">S00338</t>
  </si>
  <si>
    <t xml:space="preserve">P9449</t>
  </si>
  <si>
    <t xml:space="preserve">douglasluke</t>
  </si>
  <si>
    <t xml:space="preserve">S00339</t>
  </si>
  <si>
    <t xml:space="preserve">P1806</t>
  </si>
  <si>
    <t xml:space="preserve">michael88</t>
  </si>
  <si>
    <t xml:space="preserve">S00340</t>
  </si>
  <si>
    <t xml:space="preserve">P6015</t>
  </si>
  <si>
    <t xml:space="preserve">terrychristina</t>
  </si>
  <si>
    <t xml:space="preserve">S00341</t>
  </si>
  <si>
    <t xml:space="preserve">P7017</t>
  </si>
  <si>
    <t xml:space="preserve">smartin</t>
  </si>
  <si>
    <t xml:space="preserve">S00342</t>
  </si>
  <si>
    <t xml:space="preserve">P9340</t>
  </si>
  <si>
    <t xml:space="preserve">davisheather</t>
  </si>
  <si>
    <t xml:space="preserve">S00343</t>
  </si>
  <si>
    <t xml:space="preserve">P6916</t>
  </si>
  <si>
    <t xml:space="preserve">amber18</t>
  </si>
  <si>
    <t xml:space="preserve">S00344</t>
  </si>
  <si>
    <t xml:space="preserve">P9975</t>
  </si>
  <si>
    <t xml:space="preserve">hollyjenkins</t>
  </si>
  <si>
    <t xml:space="preserve">S00345</t>
  </si>
  <si>
    <t xml:space="preserve">P6815</t>
  </si>
  <si>
    <t xml:space="preserve">parkerpatricia</t>
  </si>
  <si>
    <t xml:space="preserve">S00346</t>
  </si>
  <si>
    <t xml:space="preserve">P4525</t>
  </si>
  <si>
    <t xml:space="preserve">kellergregory</t>
  </si>
  <si>
    <t xml:space="preserve">S00347</t>
  </si>
  <si>
    <t xml:space="preserve">P8336</t>
  </si>
  <si>
    <t xml:space="preserve">michellewilliams</t>
  </si>
  <si>
    <t xml:space="preserve">S00348</t>
  </si>
  <si>
    <t xml:space="preserve">P6418</t>
  </si>
  <si>
    <t xml:space="preserve">ericmoore</t>
  </si>
  <si>
    <t xml:space="preserve">S00349</t>
  </si>
  <si>
    <t xml:space="preserve">P9419</t>
  </si>
  <si>
    <t xml:space="preserve">angelaramsey</t>
  </si>
  <si>
    <t xml:space="preserve">S00350</t>
  </si>
  <si>
    <t xml:space="preserve">P9081</t>
  </si>
  <si>
    <t xml:space="preserve">brooke04</t>
  </si>
  <si>
    <t xml:space="preserve">S00351</t>
  </si>
  <si>
    <t xml:space="preserve">P7887</t>
  </si>
  <si>
    <t xml:space="preserve">nicholas09</t>
  </si>
  <si>
    <t xml:space="preserve">S00352</t>
  </si>
  <si>
    <t xml:space="preserve">P8561</t>
  </si>
  <si>
    <t xml:space="preserve">boonekristen</t>
  </si>
  <si>
    <t xml:space="preserve">S00353</t>
  </si>
  <si>
    <t xml:space="preserve">P2482</t>
  </si>
  <si>
    <t xml:space="preserve">udavis</t>
  </si>
  <si>
    <t xml:space="preserve">S00354</t>
  </si>
  <si>
    <t xml:space="preserve">P4996</t>
  </si>
  <si>
    <t xml:space="preserve">jmcknight</t>
  </si>
  <si>
    <t xml:space="preserve">S00355</t>
  </si>
  <si>
    <t xml:space="preserve">P2102</t>
  </si>
  <si>
    <t xml:space="preserve">sarahlawrence</t>
  </si>
  <si>
    <t xml:space="preserve">S00356</t>
  </si>
  <si>
    <t xml:space="preserve">P9101</t>
  </si>
  <si>
    <t xml:space="preserve">hardychristopher</t>
  </si>
  <si>
    <t xml:space="preserve">S00357</t>
  </si>
  <si>
    <t xml:space="preserve">P7149</t>
  </si>
  <si>
    <t xml:space="preserve">sara36</t>
  </si>
  <si>
    <t xml:space="preserve">S00358</t>
  </si>
  <si>
    <t xml:space="preserve">P1901</t>
  </si>
  <si>
    <t xml:space="preserve">leestewart</t>
  </si>
  <si>
    <t xml:space="preserve">S00359</t>
  </si>
  <si>
    <t xml:space="preserve">P8092</t>
  </si>
  <si>
    <t xml:space="preserve">lisacoffey</t>
  </si>
  <si>
    <t xml:space="preserve">S00360</t>
  </si>
  <si>
    <t xml:space="preserve">P9731</t>
  </si>
  <si>
    <t xml:space="preserve">popelance</t>
  </si>
  <si>
    <t xml:space="preserve">S00361</t>
  </si>
  <si>
    <t xml:space="preserve">P8648</t>
  </si>
  <si>
    <t xml:space="preserve">mfarley</t>
  </si>
  <si>
    <t xml:space="preserve">S00362</t>
  </si>
  <si>
    <t xml:space="preserve">P3956</t>
  </si>
  <si>
    <t xml:space="preserve">ruizkimberly</t>
  </si>
  <si>
    <t xml:space="preserve">S00363</t>
  </si>
  <si>
    <t xml:space="preserve">P8050</t>
  </si>
  <si>
    <t xml:space="preserve">andersonwilliam</t>
  </si>
  <si>
    <t xml:space="preserve">S00364</t>
  </si>
  <si>
    <t xml:space="preserve">P9065</t>
  </si>
  <si>
    <t xml:space="preserve">andrewtran</t>
  </si>
  <si>
    <t xml:space="preserve">S00365</t>
  </si>
  <si>
    <t xml:space="preserve">P1888</t>
  </si>
  <si>
    <t xml:space="preserve">lynchtina</t>
  </si>
  <si>
    <t xml:space="preserve">S00366</t>
  </si>
  <si>
    <t xml:space="preserve">P8007</t>
  </si>
  <si>
    <t xml:space="preserve">kelly45</t>
  </si>
  <si>
    <t xml:space="preserve">S00367</t>
  </si>
  <si>
    <t xml:space="preserve">P7375</t>
  </si>
  <si>
    <t xml:space="preserve">morrisryan</t>
  </si>
  <si>
    <t xml:space="preserve">S00368</t>
  </si>
  <si>
    <t xml:space="preserve">P4682</t>
  </si>
  <si>
    <t xml:space="preserve">aryan</t>
  </si>
  <si>
    <t xml:space="preserve">S00369</t>
  </si>
  <si>
    <t xml:space="preserve">P6367</t>
  </si>
  <si>
    <t xml:space="preserve">S00370</t>
  </si>
  <si>
    <t xml:space="preserve">P1693</t>
  </si>
  <si>
    <t xml:space="preserve">huntlawrence</t>
  </si>
  <si>
    <t xml:space="preserve">S00371</t>
  </si>
  <si>
    <t xml:space="preserve">P6086</t>
  </si>
  <si>
    <t xml:space="preserve">parkzachary</t>
  </si>
  <si>
    <t xml:space="preserve">S00372</t>
  </si>
  <si>
    <t xml:space="preserve">P1855</t>
  </si>
  <si>
    <t xml:space="preserve">amandarogers</t>
  </si>
  <si>
    <t xml:space="preserve">S00373</t>
  </si>
  <si>
    <t xml:space="preserve">P9993</t>
  </si>
  <si>
    <t xml:space="preserve">bharris</t>
  </si>
  <si>
    <t xml:space="preserve">S00374</t>
  </si>
  <si>
    <t xml:space="preserve">P1603</t>
  </si>
  <si>
    <t xml:space="preserve">rojasjennifer</t>
  </si>
  <si>
    <t xml:space="preserve">S00375</t>
  </si>
  <si>
    <t xml:space="preserve">P5838</t>
  </si>
  <si>
    <t xml:space="preserve">christopher10</t>
  </si>
  <si>
    <t xml:space="preserve">S00376</t>
  </si>
  <si>
    <t xml:space="preserve">P4545</t>
  </si>
  <si>
    <t xml:space="preserve">monique85</t>
  </si>
  <si>
    <t xml:space="preserve">S00377</t>
  </si>
  <si>
    <t xml:space="preserve">P7247</t>
  </si>
  <si>
    <t xml:space="preserve">hhuff</t>
  </si>
  <si>
    <t xml:space="preserve">S00378</t>
  </si>
  <si>
    <t xml:space="preserve">P2591</t>
  </si>
  <si>
    <t xml:space="preserve">caitlingonzales</t>
  </si>
  <si>
    <t xml:space="preserve">S00379</t>
  </si>
  <si>
    <t xml:space="preserve">P1302</t>
  </si>
  <si>
    <t xml:space="preserve">tdavis</t>
  </si>
  <si>
    <t xml:space="preserve">S00380</t>
  </si>
  <si>
    <t xml:space="preserve">P7023</t>
  </si>
  <si>
    <t xml:space="preserve">jessicacisneros</t>
  </si>
  <si>
    <t xml:space="preserve">S00381</t>
  </si>
  <si>
    <t xml:space="preserve">P3795</t>
  </si>
  <si>
    <t xml:space="preserve">shelbyvalencia</t>
  </si>
  <si>
    <t xml:space="preserve">S00382</t>
  </si>
  <si>
    <t xml:space="preserve">P6609</t>
  </si>
  <si>
    <t xml:space="preserve">jonathan22</t>
  </si>
  <si>
    <t xml:space="preserve">S00383</t>
  </si>
  <si>
    <t xml:space="preserve">P8505</t>
  </si>
  <si>
    <t xml:space="preserve">derrickbuck</t>
  </si>
  <si>
    <t xml:space="preserve">S00384</t>
  </si>
  <si>
    <t xml:space="preserve">P6967</t>
  </si>
  <si>
    <t xml:space="preserve">zvargas</t>
  </si>
  <si>
    <t xml:space="preserve">S00385</t>
  </si>
  <si>
    <t xml:space="preserve">rsutton</t>
  </si>
  <si>
    <t xml:space="preserve">S00386</t>
  </si>
  <si>
    <t xml:space="preserve">P5885</t>
  </si>
  <si>
    <t xml:space="preserve">olopez</t>
  </si>
  <si>
    <t xml:space="preserve">S00387</t>
  </si>
  <si>
    <t xml:space="preserve">P2635</t>
  </si>
  <si>
    <t xml:space="preserve">carol86</t>
  </si>
  <si>
    <t xml:space="preserve">S00388</t>
  </si>
  <si>
    <t xml:space="preserve">P6440</t>
  </si>
  <si>
    <t xml:space="preserve">lisabarber</t>
  </si>
  <si>
    <t xml:space="preserve">S00389</t>
  </si>
  <si>
    <t xml:space="preserve">P4758</t>
  </si>
  <si>
    <t xml:space="preserve">howardsamantha</t>
  </si>
  <si>
    <t xml:space="preserve">S00390</t>
  </si>
  <si>
    <t xml:space="preserve">P9103</t>
  </si>
  <si>
    <t xml:space="preserve">lance41</t>
  </si>
  <si>
    <t xml:space="preserve">S00391</t>
  </si>
  <si>
    <t xml:space="preserve">P1344</t>
  </si>
  <si>
    <t xml:space="preserve">williamsonkirsten</t>
  </si>
  <si>
    <t xml:space="preserve">S00392</t>
  </si>
  <si>
    <t xml:space="preserve">P2684</t>
  </si>
  <si>
    <t xml:space="preserve">bellraymond</t>
  </si>
  <si>
    <t xml:space="preserve">S00393</t>
  </si>
  <si>
    <t xml:space="preserve">P1494</t>
  </si>
  <si>
    <t xml:space="preserve">steven30</t>
  </si>
  <si>
    <t xml:space="preserve">S00394</t>
  </si>
  <si>
    <t xml:space="preserve">P6548</t>
  </si>
  <si>
    <t xml:space="preserve">hillchristopher</t>
  </si>
  <si>
    <t xml:space="preserve">S00395</t>
  </si>
  <si>
    <t xml:space="preserve">P8926</t>
  </si>
  <si>
    <t xml:space="preserve">ftyler</t>
  </si>
  <si>
    <t xml:space="preserve">S00396</t>
  </si>
  <si>
    <t xml:space="preserve">P2202</t>
  </si>
  <si>
    <t xml:space="preserve">soliskyle</t>
  </si>
  <si>
    <t xml:space="preserve">S00397</t>
  </si>
  <si>
    <t xml:space="preserve">P9321</t>
  </si>
  <si>
    <t xml:space="preserve">angelicawillis</t>
  </si>
  <si>
    <t xml:space="preserve">S00398</t>
  </si>
  <si>
    <t xml:space="preserve">P6922</t>
  </si>
  <si>
    <t xml:space="preserve">aprince</t>
  </si>
  <si>
    <t xml:space="preserve">S00399</t>
  </si>
  <si>
    <t xml:space="preserve">P6788</t>
  </si>
  <si>
    <t xml:space="preserve">dylanblack</t>
  </si>
  <si>
    <t xml:space="preserve">S00400</t>
  </si>
  <si>
    <t xml:space="preserve">P1936</t>
  </si>
  <si>
    <t xml:space="preserve">hoodchristopher</t>
  </si>
  <si>
    <t xml:space="preserve">S00401</t>
  </si>
  <si>
    <t xml:space="preserve">P3613</t>
  </si>
  <si>
    <t xml:space="preserve">sandraclark</t>
  </si>
  <si>
    <t xml:space="preserve">S00402</t>
  </si>
  <si>
    <t xml:space="preserve">P1659</t>
  </si>
  <si>
    <t xml:space="preserve">ffitzpatrick</t>
  </si>
  <si>
    <t xml:space="preserve">S00403</t>
  </si>
  <si>
    <t xml:space="preserve">P8982</t>
  </si>
  <si>
    <t xml:space="preserve">dominiquejohnson</t>
  </si>
  <si>
    <t xml:space="preserve">S00404</t>
  </si>
  <si>
    <t xml:space="preserve">P4516</t>
  </si>
  <si>
    <t xml:space="preserve">sellersgregory</t>
  </si>
  <si>
    <t xml:space="preserve">S00405</t>
  </si>
  <si>
    <t xml:space="preserve">P6700</t>
  </si>
  <si>
    <t xml:space="preserve">armstrongmary</t>
  </si>
  <si>
    <t xml:space="preserve">S00406</t>
  </si>
  <si>
    <t xml:space="preserve">P3545</t>
  </si>
  <si>
    <t xml:space="preserve">barnettdonna</t>
  </si>
  <si>
    <t xml:space="preserve">S00407</t>
  </si>
  <si>
    <t xml:space="preserve">P8156</t>
  </si>
  <si>
    <t xml:space="preserve">melissaphillips</t>
  </si>
  <si>
    <t xml:space="preserve">S00408</t>
  </si>
  <si>
    <t xml:space="preserve">P9402</t>
  </si>
  <si>
    <t xml:space="preserve">hoffmandaniel</t>
  </si>
  <si>
    <t xml:space="preserve">S00409</t>
  </si>
  <si>
    <t xml:space="preserve">P2227</t>
  </si>
  <si>
    <t xml:space="preserve">thomascorey</t>
  </si>
  <si>
    <t xml:space="preserve">S00410</t>
  </si>
  <si>
    <t xml:space="preserve">P2497</t>
  </si>
  <si>
    <t xml:space="preserve">thomas01</t>
  </si>
  <si>
    <t xml:space="preserve">S00411</t>
  </si>
  <si>
    <t xml:space="preserve">P3311</t>
  </si>
  <si>
    <t xml:space="preserve">riddleaaron</t>
  </si>
  <si>
    <t xml:space="preserve">S00412</t>
  </si>
  <si>
    <t xml:space="preserve">P4171</t>
  </si>
  <si>
    <t xml:space="preserve">tdean</t>
  </si>
  <si>
    <t xml:space="preserve">S00413</t>
  </si>
  <si>
    <t xml:space="preserve">P5355</t>
  </si>
  <si>
    <t xml:space="preserve">bruce10</t>
  </si>
  <si>
    <t xml:space="preserve">S00414</t>
  </si>
  <si>
    <t xml:space="preserve">P4285</t>
  </si>
  <si>
    <t xml:space="preserve">annettejackson</t>
  </si>
  <si>
    <t xml:space="preserve">S00415</t>
  </si>
  <si>
    <t xml:space="preserve">P6369</t>
  </si>
  <si>
    <t xml:space="preserve">kingtroy</t>
  </si>
  <si>
    <t xml:space="preserve">S00416</t>
  </si>
  <si>
    <t xml:space="preserve">P1436</t>
  </si>
  <si>
    <t xml:space="preserve">coxanthony</t>
  </si>
  <si>
    <t xml:space="preserve">S00417</t>
  </si>
  <si>
    <t xml:space="preserve">P5233</t>
  </si>
  <si>
    <t xml:space="preserve">paige96</t>
  </si>
  <si>
    <t xml:space="preserve">S00418</t>
  </si>
  <si>
    <t xml:space="preserve">P5382</t>
  </si>
  <si>
    <t xml:space="preserve">sabrina44</t>
  </si>
  <si>
    <t xml:space="preserve">S00419</t>
  </si>
  <si>
    <t xml:space="preserve">P1065</t>
  </si>
  <si>
    <t xml:space="preserve">neilmorrison</t>
  </si>
  <si>
    <t xml:space="preserve">S00420</t>
  </si>
  <si>
    <t xml:space="preserve">P8628</t>
  </si>
  <si>
    <t xml:space="preserve">russochelsey</t>
  </si>
  <si>
    <t xml:space="preserve">S00421</t>
  </si>
  <si>
    <t xml:space="preserve">P9217</t>
  </si>
  <si>
    <t xml:space="preserve">pwright</t>
  </si>
  <si>
    <t xml:space="preserve">S00422</t>
  </si>
  <si>
    <t xml:space="preserve">P9334</t>
  </si>
  <si>
    <t xml:space="preserve">samantha20</t>
  </si>
  <si>
    <t xml:space="preserve">S00423</t>
  </si>
  <si>
    <t xml:space="preserve">P8641</t>
  </si>
  <si>
    <t xml:space="preserve">johnsonandrea</t>
  </si>
  <si>
    <t xml:space="preserve">S00424</t>
  </si>
  <si>
    <t xml:space="preserve">P8632</t>
  </si>
  <si>
    <t xml:space="preserve">nramos</t>
  </si>
  <si>
    <t xml:space="preserve">S00425</t>
  </si>
  <si>
    <t xml:space="preserve">P6749</t>
  </si>
  <si>
    <t xml:space="preserve">pmoore</t>
  </si>
  <si>
    <t xml:space="preserve">S00426</t>
  </si>
  <si>
    <t xml:space="preserve">P8176</t>
  </si>
  <si>
    <t xml:space="preserve">enielsen</t>
  </si>
  <si>
    <t xml:space="preserve">S00427</t>
  </si>
  <si>
    <t xml:space="preserve">P9104</t>
  </si>
  <si>
    <t xml:space="preserve">melissa17</t>
  </si>
  <si>
    <t xml:space="preserve">S00428</t>
  </si>
  <si>
    <t xml:space="preserve">P5582</t>
  </si>
  <si>
    <t xml:space="preserve">jennifer94</t>
  </si>
  <si>
    <t xml:space="preserve">S00429</t>
  </si>
  <si>
    <t xml:space="preserve">P4908</t>
  </si>
  <si>
    <t xml:space="preserve">twashington</t>
  </si>
  <si>
    <t xml:space="preserve">S00430</t>
  </si>
  <si>
    <t xml:space="preserve">P8542</t>
  </si>
  <si>
    <t xml:space="preserve">brian05</t>
  </si>
  <si>
    <t xml:space="preserve">S00431</t>
  </si>
  <si>
    <t xml:space="preserve">P7163</t>
  </si>
  <si>
    <t xml:space="preserve">emilynelson</t>
  </si>
  <si>
    <t xml:space="preserve">S00432</t>
  </si>
  <si>
    <t xml:space="preserve">P2427</t>
  </si>
  <si>
    <t xml:space="preserve">kacosta</t>
  </si>
  <si>
    <t xml:space="preserve">S00433</t>
  </si>
  <si>
    <t xml:space="preserve">P1911</t>
  </si>
  <si>
    <t xml:space="preserve">yvette50</t>
  </si>
  <si>
    <t xml:space="preserve">S00434</t>
  </si>
  <si>
    <t xml:space="preserve">P2246</t>
  </si>
  <si>
    <t xml:space="preserve">lisajames</t>
  </si>
  <si>
    <t xml:space="preserve">S00435</t>
  </si>
  <si>
    <t xml:space="preserve">P2996</t>
  </si>
  <si>
    <t xml:space="preserve">linda22</t>
  </si>
  <si>
    <t xml:space="preserve">S00436</t>
  </si>
  <si>
    <t xml:space="preserve">P9175</t>
  </si>
  <si>
    <t xml:space="preserve">gregbaker</t>
  </si>
  <si>
    <t xml:space="preserve">S00437</t>
  </si>
  <si>
    <t xml:space="preserve">P1726</t>
  </si>
  <si>
    <t xml:space="preserve">sheila89</t>
  </si>
  <si>
    <t xml:space="preserve">S00438</t>
  </si>
  <si>
    <t xml:space="preserve">P1604</t>
  </si>
  <si>
    <t xml:space="preserve">pweaver</t>
  </si>
  <si>
    <t xml:space="preserve">S00439</t>
  </si>
  <si>
    <t xml:space="preserve">P4812</t>
  </si>
  <si>
    <t xml:space="preserve">thomas99</t>
  </si>
  <si>
    <t xml:space="preserve">S00440</t>
  </si>
  <si>
    <t xml:space="preserve">P5667</t>
  </si>
  <si>
    <t xml:space="preserve">victoria39</t>
  </si>
  <si>
    <t xml:space="preserve">S00441</t>
  </si>
  <si>
    <t xml:space="preserve">P4138</t>
  </si>
  <si>
    <t xml:space="preserve">ecooley</t>
  </si>
  <si>
    <t xml:space="preserve">S00442</t>
  </si>
  <si>
    <t xml:space="preserve">P9949</t>
  </si>
  <si>
    <t xml:space="preserve">brenda52</t>
  </si>
  <si>
    <t xml:space="preserve">S00443</t>
  </si>
  <si>
    <t xml:space="preserve">P9493</t>
  </si>
  <si>
    <t xml:space="preserve">zmendoza</t>
  </si>
  <si>
    <t xml:space="preserve">S00444</t>
  </si>
  <si>
    <t xml:space="preserve">P8787</t>
  </si>
  <si>
    <t xml:space="preserve">jamesbarber</t>
  </si>
  <si>
    <t xml:space="preserve">S00445</t>
  </si>
  <si>
    <t xml:space="preserve">P6434</t>
  </si>
  <si>
    <t xml:space="preserve">caitlinmiller</t>
  </si>
  <si>
    <t xml:space="preserve">S00446</t>
  </si>
  <si>
    <t xml:space="preserve">P7453</t>
  </si>
  <si>
    <t xml:space="preserve">davidhunt</t>
  </si>
  <si>
    <t xml:space="preserve">S00447</t>
  </si>
  <si>
    <t xml:space="preserve">P1920</t>
  </si>
  <si>
    <t xml:space="preserve">fsteele</t>
  </si>
  <si>
    <t xml:space="preserve">S00448</t>
  </si>
  <si>
    <t xml:space="preserve">keithunderwood</t>
  </si>
  <si>
    <t xml:space="preserve">S00449</t>
  </si>
  <si>
    <t xml:space="preserve">P5705</t>
  </si>
  <si>
    <t xml:space="preserve">hernandezcatherine</t>
  </si>
  <si>
    <t xml:space="preserve">S00450</t>
  </si>
  <si>
    <t xml:space="preserve">P3198</t>
  </si>
  <si>
    <t xml:space="preserve">bherrera</t>
  </si>
  <si>
    <t xml:space="preserve">S00451</t>
  </si>
  <si>
    <t xml:space="preserve">P5894</t>
  </si>
  <si>
    <t xml:space="preserve">chendavid</t>
  </si>
  <si>
    <t xml:space="preserve">S00452</t>
  </si>
  <si>
    <t xml:space="preserve">P9365</t>
  </si>
  <si>
    <t xml:space="preserve">rware</t>
  </si>
  <si>
    <t xml:space="preserve">S00453</t>
  </si>
  <si>
    <t xml:space="preserve">P7874</t>
  </si>
  <si>
    <t xml:space="preserve">gloriajohnson</t>
  </si>
  <si>
    <t xml:space="preserve">S00454</t>
  </si>
  <si>
    <t xml:space="preserve">P4547</t>
  </si>
  <si>
    <t xml:space="preserve">allenvictor</t>
  </si>
  <si>
    <t xml:space="preserve">S00455</t>
  </si>
  <si>
    <t xml:space="preserve">P4283</t>
  </si>
  <si>
    <t xml:space="preserve">sheiladavis</t>
  </si>
  <si>
    <t xml:space="preserve">S00456</t>
  </si>
  <si>
    <t xml:space="preserve">tgill</t>
  </si>
  <si>
    <t xml:space="preserve">S00457</t>
  </si>
  <si>
    <t xml:space="preserve">P5820</t>
  </si>
  <si>
    <t xml:space="preserve">lindagalloway</t>
  </si>
  <si>
    <t xml:space="preserve">S00458</t>
  </si>
  <si>
    <t xml:space="preserve">P8552</t>
  </si>
  <si>
    <t xml:space="preserve">jbriggs</t>
  </si>
  <si>
    <t xml:space="preserve">S00459</t>
  </si>
  <si>
    <t xml:space="preserve">P5695</t>
  </si>
  <si>
    <t xml:space="preserve">danielleonard</t>
  </si>
  <si>
    <t xml:space="preserve">S00460</t>
  </si>
  <si>
    <t xml:space="preserve">P6581</t>
  </si>
  <si>
    <t xml:space="preserve">ramirezandrea</t>
  </si>
  <si>
    <t xml:space="preserve">S00461</t>
  </si>
  <si>
    <t xml:space="preserve">P4636</t>
  </si>
  <si>
    <t xml:space="preserve">jeffreyjohnson</t>
  </si>
  <si>
    <t xml:space="preserve">S00462</t>
  </si>
  <si>
    <t xml:space="preserve">P2853</t>
  </si>
  <si>
    <t xml:space="preserve">dannyforbes</t>
  </si>
  <si>
    <t xml:space="preserve">S00463</t>
  </si>
  <si>
    <t xml:space="preserve">P3252</t>
  </si>
  <si>
    <t xml:space="preserve">wallacedebra</t>
  </si>
  <si>
    <t xml:space="preserve">S00464</t>
  </si>
  <si>
    <t xml:space="preserve">P2743</t>
  </si>
  <si>
    <t xml:space="preserve">jennifersmith</t>
  </si>
  <si>
    <t xml:space="preserve">S00465</t>
  </si>
  <si>
    <t xml:space="preserve">P1878</t>
  </si>
  <si>
    <t xml:space="preserve">steven19</t>
  </si>
  <si>
    <t xml:space="preserve">S00466</t>
  </si>
  <si>
    <t xml:space="preserve">P1450</t>
  </si>
  <si>
    <t xml:space="preserve">jacob95</t>
  </si>
  <si>
    <t xml:space="preserve">S00467</t>
  </si>
  <si>
    <t xml:space="preserve">P3228</t>
  </si>
  <si>
    <t xml:space="preserve">mlewis</t>
  </si>
  <si>
    <t xml:space="preserve">S00468</t>
  </si>
  <si>
    <t xml:space="preserve">P9747</t>
  </si>
  <si>
    <t xml:space="preserve">charles59</t>
  </si>
  <si>
    <t xml:space="preserve">S00469</t>
  </si>
  <si>
    <t xml:space="preserve">P2925</t>
  </si>
  <si>
    <t xml:space="preserve">kgonzalez</t>
  </si>
  <si>
    <t xml:space="preserve">S00470</t>
  </si>
  <si>
    <t xml:space="preserve">P9769</t>
  </si>
  <si>
    <t xml:space="preserve">marcus01</t>
  </si>
  <si>
    <t xml:space="preserve">S00471</t>
  </si>
  <si>
    <t xml:space="preserve">leonwells</t>
  </si>
  <si>
    <t xml:space="preserve">S00472</t>
  </si>
  <si>
    <t xml:space="preserve">P7312</t>
  </si>
  <si>
    <t xml:space="preserve">erika85</t>
  </si>
  <si>
    <t xml:space="preserve">S00473</t>
  </si>
  <si>
    <t xml:space="preserve">P3023</t>
  </si>
  <si>
    <t xml:space="preserve">jonathonmayer</t>
  </si>
  <si>
    <t xml:space="preserve">S00474</t>
  </si>
  <si>
    <t xml:space="preserve">P4635</t>
  </si>
  <si>
    <t xml:space="preserve">nicholas43</t>
  </si>
  <si>
    <t xml:space="preserve">S00475</t>
  </si>
  <si>
    <t xml:space="preserve">P8912</t>
  </si>
  <si>
    <t xml:space="preserve">paula25</t>
  </si>
  <si>
    <t xml:space="preserve">S00476</t>
  </si>
  <si>
    <t xml:space="preserve">P9766</t>
  </si>
  <si>
    <t xml:space="preserve">smithcarrie</t>
  </si>
  <si>
    <t xml:space="preserve">S00477</t>
  </si>
  <si>
    <t xml:space="preserve">P2059</t>
  </si>
  <si>
    <t xml:space="preserve">valenzuelakim</t>
  </si>
  <si>
    <t xml:space="preserve">S00478</t>
  </si>
  <si>
    <t xml:space="preserve">P3378</t>
  </si>
  <si>
    <t xml:space="preserve">adamsbarbara</t>
  </si>
  <si>
    <t xml:space="preserve">S00479</t>
  </si>
  <si>
    <t xml:space="preserve">P5699</t>
  </si>
  <si>
    <t xml:space="preserve">cathy10</t>
  </si>
  <si>
    <t xml:space="preserve">S00480</t>
  </si>
  <si>
    <t xml:space="preserve">P7340</t>
  </si>
  <si>
    <t xml:space="preserve">rogersmary</t>
  </si>
  <si>
    <t xml:space="preserve">S00481</t>
  </si>
  <si>
    <t xml:space="preserve">P5458</t>
  </si>
  <si>
    <t xml:space="preserve">georgejones</t>
  </si>
  <si>
    <t xml:space="preserve">S00482</t>
  </si>
  <si>
    <t xml:space="preserve">P6129</t>
  </si>
  <si>
    <t xml:space="preserve">donna27</t>
  </si>
  <si>
    <t xml:space="preserve">S00483</t>
  </si>
  <si>
    <t xml:space="preserve">P6524</t>
  </si>
  <si>
    <t xml:space="preserve">jhayes</t>
  </si>
  <si>
    <t xml:space="preserve">S00484</t>
  </si>
  <si>
    <t xml:space="preserve">P3747</t>
  </si>
  <si>
    <t xml:space="preserve">neallisa</t>
  </si>
  <si>
    <t xml:space="preserve">S00485</t>
  </si>
  <si>
    <t xml:space="preserve">P3923</t>
  </si>
  <si>
    <t xml:space="preserve">evanskristen</t>
  </si>
  <si>
    <t xml:space="preserve">S00486</t>
  </si>
  <si>
    <t xml:space="preserve">P1788</t>
  </si>
  <si>
    <t xml:space="preserve">bhenson</t>
  </si>
  <si>
    <t xml:space="preserve">S00487</t>
  </si>
  <si>
    <t xml:space="preserve">P2044</t>
  </si>
  <si>
    <t xml:space="preserve">hgardner</t>
  </si>
  <si>
    <t xml:space="preserve">S00488</t>
  </si>
  <si>
    <t xml:space="preserve">P1977</t>
  </si>
  <si>
    <t xml:space="preserve">mckinneychristopher</t>
  </si>
  <si>
    <t xml:space="preserve">S00489</t>
  </si>
  <si>
    <t xml:space="preserve">P1280</t>
  </si>
  <si>
    <t xml:space="preserve">elizabeth71</t>
  </si>
  <si>
    <t xml:space="preserve">S00490</t>
  </si>
  <si>
    <t xml:space="preserve">P9973</t>
  </si>
  <si>
    <t xml:space="preserve">ilambert</t>
  </si>
  <si>
    <t xml:space="preserve">S00491</t>
  </si>
  <si>
    <t xml:space="preserve">P8692</t>
  </si>
  <si>
    <t xml:space="preserve">millerdonald</t>
  </si>
  <si>
    <t xml:space="preserve">S00492</t>
  </si>
  <si>
    <t xml:space="preserve">P6606</t>
  </si>
  <si>
    <t xml:space="preserve">krogers</t>
  </si>
  <si>
    <t xml:space="preserve">S00493</t>
  </si>
  <si>
    <t xml:space="preserve">P2133</t>
  </si>
  <si>
    <t xml:space="preserve">scott72</t>
  </si>
  <si>
    <t xml:space="preserve">S00494</t>
  </si>
  <si>
    <t xml:space="preserve">P3534</t>
  </si>
  <si>
    <t xml:space="preserve">simsalexis</t>
  </si>
  <si>
    <t xml:space="preserve">S00495</t>
  </si>
  <si>
    <t xml:space="preserve">P7831</t>
  </si>
  <si>
    <t xml:space="preserve">kingsandra</t>
  </si>
  <si>
    <t xml:space="preserve">S00496</t>
  </si>
  <si>
    <t xml:space="preserve">P2872</t>
  </si>
  <si>
    <t xml:space="preserve">april12</t>
  </si>
  <si>
    <t xml:space="preserve">S00497</t>
  </si>
  <si>
    <t xml:space="preserve">P1457</t>
  </si>
  <si>
    <t xml:space="preserve">turnersusan</t>
  </si>
  <si>
    <t xml:space="preserve">S00498</t>
  </si>
  <si>
    <t xml:space="preserve">P6771</t>
  </si>
  <si>
    <t xml:space="preserve">kenneth92</t>
  </si>
  <si>
    <t xml:space="preserve">S00499</t>
  </si>
  <si>
    <t xml:space="preserve">P1107</t>
  </si>
  <si>
    <t xml:space="preserve">victoria57</t>
  </si>
  <si>
    <t xml:space="preserve">S00500</t>
  </si>
  <si>
    <t xml:space="preserve">P4402</t>
  </si>
  <si>
    <t xml:space="preserve">fnolan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</si>
</sst>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\$#,##0.00"/>
    <numFmt numFmtId="168" formatCode="0.0%"/>
    <numFmt numFmtId="169" formatCode="General"/>
    <numFmt numFmtId="170" formatCode="0.0"/>
    <numFmt numFmtId="171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8"/>
      <color rgb="FF444444"/>
      <name val="Consolas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E2EFDA"/>
      </patternFill>
    </fill>
    <fill>
      <patternFill patternType="solid">
        <fgColor rgb="FF2E5395"/>
        <bgColor rgb="FF1F386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D6B656"/>
      </left>
      <right style="medium">
        <color rgb="FFD6B656"/>
      </right>
      <top style="medium">
        <color rgb="FFD6B656"/>
      </top>
      <bottom style="medium">
        <color rgb="FFD6B656"/>
      </bottom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E4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4F81BD"/>
      <rgbColor rgb="FF33CCCC"/>
      <rgbColor rgb="FF9BBB59"/>
      <rgbColor rgb="FFD6B656"/>
      <rgbColor rgb="FFBF8F00"/>
      <rgbColor rgb="FFFF6600"/>
      <rgbColor rgb="FF8064A2"/>
      <rgbColor rgb="FFB3B3B3"/>
      <rgbColor rgb="FF1F3864"/>
      <rgbColor rgb="FF548235"/>
      <rgbColor rgb="FF003300"/>
      <rgbColor rgb="FF666666"/>
      <rgbColor rgb="FF993300"/>
      <rgbColor rgb="FF595959"/>
      <rgbColor rgb="FF2E539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Active Players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Tables'!B5</c:f>
              <c:strCache>
                <c:ptCount val="1"/>
                <c:pt idx="0">
                  <c:v>Distinct Players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Tables'!$A$6:$A$12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'Summary Tables'!$B$6:$B$12</c:f>
              <c:numCache>
                <c:formatCode>General</c:formatCode>
                <c:ptCount val="7"/>
                <c:pt idx="0">
                  <c:v>48</c:v>
                </c:pt>
                <c:pt idx="1">
                  <c:v>95</c:v>
                </c:pt>
                <c:pt idx="2">
                  <c:v>77</c:v>
                </c:pt>
                <c:pt idx="3">
                  <c:v>66</c:v>
                </c:pt>
                <c:pt idx="4">
                  <c:v>75</c:v>
                </c:pt>
                <c:pt idx="5">
                  <c:v>101</c:v>
                </c:pt>
                <c:pt idx="6">
                  <c:v>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210105"/>
        <c:axId val="28863525"/>
      </c:lineChart>
      <c:catAx>
        <c:axId val="762101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63525"/>
        <c:crosses val="autoZero"/>
        <c:auto val="1"/>
        <c:lblAlgn val="ctr"/>
        <c:lblOffset val="100"/>
        <c:noMultiLvlLbl val="0"/>
      </c:catAx>
      <c:valAx>
        <c:axId val="2886352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101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by Engagement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Tables'!B15</c:f>
              <c:strCache>
                <c:ptCount val="1"/>
                <c:pt idx="0">
                  <c:v>Session 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Tables'!$A$16:$A$18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'Summary Tables'!$B$16:$B$18</c:f>
              <c:numCache>
                <c:formatCode>General</c:formatCode>
                <c:ptCount val="3"/>
                <c:pt idx="0">
                  <c:v>41</c:v>
                </c:pt>
                <c:pt idx="1">
                  <c:v>133</c:v>
                </c:pt>
                <c:pt idx="2">
                  <c:v>326</c:v>
                </c:pt>
              </c:numCache>
            </c:numRef>
          </c:val>
        </c:ser>
        <c:gapWidth val="150"/>
        <c:overlap val="0"/>
        <c:axId val="67520566"/>
        <c:axId val="27757835"/>
      </c:barChart>
      <c:catAx>
        <c:axId val="675205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57835"/>
        <c:crosses val="autoZero"/>
        <c:auto val="1"/>
        <c:lblAlgn val="ctr"/>
        <c:lblOffset val="100"/>
        <c:noMultiLvlLbl val="0"/>
      </c:catAx>
      <c:valAx>
        <c:axId val="277578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205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Made Purchase vs Did Not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Tables'!B21</c:f>
              <c:strCache>
                <c:ptCount val="1"/>
                <c:pt idx="0">
                  <c:v>Session 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'Summary Tables'!$A$22:$A$23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'Summary Tables'!$B$22:$B$23</c:f>
              <c:numCache>
                <c:formatCode>General</c:formatCode>
                <c:ptCount val="2"/>
                <c:pt idx="0">
                  <c:v>104</c:v>
                </c:pt>
                <c:pt idx="1">
                  <c:v>396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Purchase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'Summary Tables'!B26</c:f>
              <c:strCache>
                <c:ptCount val="1"/>
                <c:pt idx="0">
                  <c:v>Purchased (Yes)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Tables'!$A$27:$A$33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'Summary Tables'!$B$27:$B$33</c:f>
              <c:numCache>
                <c:formatCode>General</c:formatCode>
                <c:ptCount val="7"/>
                <c:pt idx="0">
                  <c:v>9</c:v>
                </c:pt>
                <c:pt idx="1">
                  <c:v>18</c:v>
                </c:pt>
                <c:pt idx="2">
                  <c:v>21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8</c:v>
                </c:pt>
              </c:numCache>
            </c:numRef>
          </c:val>
        </c:ser>
        <c:ser>
          <c:idx val="1"/>
          <c:order val="1"/>
          <c:tx>
            <c:strRef>
              <c:f>'Summary Tables'!C26</c:f>
              <c:strCache>
                <c:ptCount val="1"/>
                <c:pt idx="0">
                  <c:v>Did Not Purchase (No)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Tables'!$A$27:$A$33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'Summary Tables'!$C$27:$C$33</c:f>
              <c:numCache>
                <c:formatCode>General</c:formatCode>
                <c:ptCount val="7"/>
                <c:pt idx="0">
                  <c:v>39</c:v>
                </c:pt>
                <c:pt idx="1">
                  <c:v>77</c:v>
                </c:pt>
                <c:pt idx="2">
                  <c:v>56</c:v>
                </c:pt>
                <c:pt idx="3">
                  <c:v>55</c:v>
                </c:pt>
                <c:pt idx="4">
                  <c:v>60</c:v>
                </c:pt>
                <c:pt idx="5">
                  <c:v>81</c:v>
                </c:pt>
                <c:pt idx="6">
                  <c:v>28</c:v>
                </c:pt>
              </c:numCache>
            </c:numRef>
          </c:val>
        </c:ser>
        <c:gapWidth val="150"/>
        <c:overlap val="100"/>
        <c:axId val="92802728"/>
        <c:axId val="88904107"/>
      </c:barChart>
      <c:catAx>
        <c:axId val="92802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04107"/>
        <c:crosses val="autoZero"/>
        <c:auto val="1"/>
        <c:lblAlgn val="ctr"/>
        <c:lblOffset val="100"/>
        <c:noMultiLvlLbl val="0"/>
      </c:catAx>
      <c:valAx>
        <c:axId val="8890410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02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Suspicious Activity by Engagement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'Summary Tables'!B36</c:f>
              <c:strCache>
                <c:ptCount val="1"/>
                <c:pt idx="0">
                  <c:v>Suspicious Sessions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Tables'!$A$37:$A$39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'Summary Tables'!$B$37:$B$39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98</c:v>
                </c:pt>
              </c:numCache>
            </c:numRef>
          </c:val>
        </c:ser>
        <c:ser>
          <c:idx val="1"/>
          <c:order val="1"/>
          <c:tx>
            <c:strRef>
              <c:f>'Summary Tables'!C36</c:f>
              <c:strCache>
                <c:ptCount val="1"/>
                <c:pt idx="0">
                  <c:v>Normal Sessions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Tables'!$A$37:$A$39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'Summary Tables'!$C$37:$C$39</c:f>
              <c:numCache>
                <c:formatCode>General</c:formatCode>
                <c:ptCount val="3"/>
                <c:pt idx="0">
                  <c:v>40</c:v>
                </c:pt>
                <c:pt idx="1">
                  <c:v>129</c:v>
                </c:pt>
                <c:pt idx="2">
                  <c:v>228</c:v>
                </c:pt>
              </c:numCache>
            </c:numRef>
          </c:val>
        </c:ser>
        <c:gapWidth val="150"/>
        <c:overlap val="100"/>
        <c:axId val="46705666"/>
        <c:axId val="70521657"/>
      </c:barChart>
      <c:catAx>
        <c:axId val="467056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21657"/>
        <c:crosses val="autoZero"/>
        <c:auto val="1"/>
        <c:lblAlgn val="ctr"/>
        <c:lblOffset val="100"/>
        <c:noMultiLvlLbl val="0"/>
      </c:catAx>
      <c:valAx>
        <c:axId val="7052165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05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Suspicious Sessions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Tables'!B42</c:f>
              <c:strCache>
                <c:ptCount val="1"/>
                <c:pt idx="0">
                  <c:v>Suspicious Sessions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Tables'!$A$43:$A$49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'Summary Tables'!$B$43:$B$49</c:f>
              <c:numCache>
                <c:formatCode>General</c:formatCode>
                <c:ptCount val="7"/>
                <c:pt idx="0">
                  <c:v>15</c:v>
                </c:pt>
                <c:pt idx="1">
                  <c:v>18</c:v>
                </c:pt>
                <c:pt idx="2">
                  <c:v>13</c:v>
                </c:pt>
                <c:pt idx="3">
                  <c:v>16</c:v>
                </c:pt>
                <c:pt idx="4">
                  <c:v>13</c:v>
                </c:pt>
                <c:pt idx="5">
                  <c:v>21</c:v>
                </c:pt>
                <c:pt idx="6">
                  <c:v>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196965"/>
        <c:axId val="81507059"/>
      </c:lineChart>
      <c:catAx>
        <c:axId val="451969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07059"/>
        <c:crosses val="autoZero"/>
        <c:auto val="1"/>
        <c:lblAlgn val="ctr"/>
        <c:lblOffset val="100"/>
        <c:noMultiLvlLbl val="0"/>
      </c:catAx>
      <c:valAx>
        <c:axId val="815070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969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Tables'!D52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Tables'!$A$53:$A$55</c:f>
              <c:strCache>
                <c:ptCount val="3"/>
                <c:pt idx="0">
                  <c:v>Mobile</c:v>
                </c:pt>
                <c:pt idx="1">
                  <c:v>PC</c:v>
                </c:pt>
                <c:pt idx="2">
                  <c:v>Console</c:v>
                </c:pt>
              </c:strCache>
            </c:strRef>
          </c:cat>
          <c:val>
            <c:numRef>
              <c:f>'Summary Tables'!$D$53:$D$55</c:f>
              <c:numCache>
                <c:formatCode>\$#,##0.00</c:formatCode>
                <c:ptCount val="3"/>
                <c:pt idx="0">
                  <c:v>848.79</c:v>
                </c:pt>
                <c:pt idx="1">
                  <c:v>764.84</c:v>
                </c:pt>
                <c:pt idx="2">
                  <c:v>1017.64</c:v>
                </c:pt>
              </c:numCache>
            </c:numRef>
          </c:val>
        </c:ser>
        <c:gapWidth val="150"/>
        <c:overlap val="0"/>
        <c:axId val="85873259"/>
        <c:axId val="92748052"/>
      </c:barChart>
      <c:catAx>
        <c:axId val="858732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48052"/>
        <c:crosses val="autoZero"/>
        <c:auto val="1"/>
        <c:lblAlgn val="ctr"/>
        <c:lblOffset val="100"/>
        <c:noMultiLvlLbl val="0"/>
      </c:catAx>
      <c:valAx>
        <c:axId val="92748052"/>
        <c:scaling>
          <c:orientation val="minMax"/>
        </c:scaling>
        <c:delete val="0"/>
        <c:axPos val="l"/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73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Tables'!C58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Tables'!$A$59:$A$64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North-East</c:v>
                </c:pt>
                <c:pt idx="4">
                  <c:v>South</c:v>
                </c:pt>
                <c:pt idx="5">
                  <c:v>West</c:v>
                </c:pt>
              </c:strCache>
            </c:strRef>
          </c:cat>
          <c:val>
            <c:numRef>
              <c:f>'Summary Tables'!$C$59:$C$64</c:f>
              <c:numCache>
                <c:formatCode>\$#,##0.00</c:formatCode>
                <c:ptCount val="6"/>
                <c:pt idx="0">
                  <c:v>241.36</c:v>
                </c:pt>
                <c:pt idx="1">
                  <c:v>464.24</c:v>
                </c:pt>
                <c:pt idx="2">
                  <c:v>618.43</c:v>
                </c:pt>
                <c:pt idx="3">
                  <c:v>431.67</c:v>
                </c:pt>
                <c:pt idx="4">
                  <c:v>362.78</c:v>
                </c:pt>
                <c:pt idx="5">
                  <c:v>512.79</c:v>
                </c:pt>
              </c:numCache>
            </c:numRef>
          </c:val>
        </c:ser>
        <c:gapWidth val="150"/>
        <c:overlap val="0"/>
        <c:axId val="29457546"/>
        <c:axId val="68118718"/>
      </c:barChart>
      <c:catAx>
        <c:axId val="29457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18718"/>
        <c:crosses val="autoZero"/>
        <c:auto val="1"/>
        <c:lblAlgn val="ctr"/>
        <c:lblOffset val="100"/>
        <c:noMultiLvlLbl val="0"/>
      </c:catAx>
      <c:valAx>
        <c:axId val="68118718"/>
        <c:scaling>
          <c:orientation val="minMax"/>
        </c:scaling>
        <c:delete val="0"/>
        <c:axPos val="l"/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7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Tables'!B67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'Summary Tables'!$A$68:$A$71</c:f>
              <c:strCache>
                <c:ptCount val="4"/>
                <c:pt idx="0">
                  <c:v>Completed</c:v>
                </c:pt>
                <c:pt idx="1">
                  <c:v>Crashed</c:v>
                </c:pt>
                <c:pt idx="2">
                  <c:v>Exited Early</c:v>
                </c:pt>
                <c:pt idx="3">
                  <c:v>Incomplete</c:v>
                </c:pt>
              </c:strCache>
            </c:strRef>
          </c:cat>
          <c:val>
            <c:numRef>
              <c:f>'Summary Tables'!$B$68:$B$71</c:f>
              <c:numCache>
                <c:formatCode>General</c:formatCode>
                <c:ptCount val="4"/>
                <c:pt idx="0">
                  <c:v>360</c:v>
                </c:pt>
                <c:pt idx="1">
                  <c:v>43</c:v>
                </c:pt>
                <c:pt idx="2">
                  <c:v>52</c:v>
                </c:pt>
                <c:pt idx="3">
                  <c:v>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155880</xdr:colOff>
      <xdr:row>29</xdr:row>
      <xdr:rowOff>46800</xdr:rowOff>
    </xdr:to>
    <xdr:graphicFrame>
      <xdr:nvGraphicFramePr>
        <xdr:cNvPr id="0" name="Chart 1"/>
        <xdr:cNvGraphicFramePr/>
      </xdr:nvGraphicFramePr>
      <xdr:xfrm>
        <a:off x="0" y="303840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12</xdr:col>
      <xdr:colOff>155520</xdr:colOff>
      <xdr:row>29</xdr:row>
      <xdr:rowOff>46800</xdr:rowOff>
    </xdr:to>
    <xdr:graphicFrame>
      <xdr:nvGraphicFramePr>
        <xdr:cNvPr id="1" name="Chart 2"/>
        <xdr:cNvGraphicFramePr/>
      </xdr:nvGraphicFramePr>
      <xdr:xfrm>
        <a:off x="5711040" y="303840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13</xdr:row>
      <xdr:rowOff>0</xdr:rowOff>
    </xdr:from>
    <xdr:to>
      <xdr:col>18</xdr:col>
      <xdr:colOff>155880</xdr:colOff>
      <xdr:row>29</xdr:row>
      <xdr:rowOff>46800</xdr:rowOff>
    </xdr:to>
    <xdr:graphicFrame>
      <xdr:nvGraphicFramePr>
        <xdr:cNvPr id="2" name="Chart 3"/>
        <xdr:cNvGraphicFramePr/>
      </xdr:nvGraphicFramePr>
      <xdr:xfrm>
        <a:off x="11422440" y="303840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155880</xdr:colOff>
      <xdr:row>47</xdr:row>
      <xdr:rowOff>46800</xdr:rowOff>
    </xdr:to>
    <xdr:graphicFrame>
      <xdr:nvGraphicFramePr>
        <xdr:cNvPr id="3" name="Chart 4"/>
        <xdr:cNvGraphicFramePr/>
      </xdr:nvGraphicFramePr>
      <xdr:xfrm>
        <a:off x="0" y="652464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31</xdr:row>
      <xdr:rowOff>0</xdr:rowOff>
    </xdr:from>
    <xdr:to>
      <xdr:col>12</xdr:col>
      <xdr:colOff>155520</xdr:colOff>
      <xdr:row>47</xdr:row>
      <xdr:rowOff>46800</xdr:rowOff>
    </xdr:to>
    <xdr:graphicFrame>
      <xdr:nvGraphicFramePr>
        <xdr:cNvPr id="4" name="Chart 5"/>
        <xdr:cNvGraphicFramePr/>
      </xdr:nvGraphicFramePr>
      <xdr:xfrm>
        <a:off x="5711040" y="652464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31</xdr:row>
      <xdr:rowOff>0</xdr:rowOff>
    </xdr:from>
    <xdr:to>
      <xdr:col>18</xdr:col>
      <xdr:colOff>155880</xdr:colOff>
      <xdr:row>47</xdr:row>
      <xdr:rowOff>46800</xdr:rowOff>
    </xdr:to>
    <xdr:graphicFrame>
      <xdr:nvGraphicFramePr>
        <xdr:cNvPr id="5" name="Chart 6"/>
        <xdr:cNvGraphicFramePr/>
      </xdr:nvGraphicFramePr>
      <xdr:xfrm>
        <a:off x="11422440" y="652464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155880</xdr:colOff>
      <xdr:row>65</xdr:row>
      <xdr:rowOff>47160</xdr:rowOff>
    </xdr:to>
    <xdr:graphicFrame>
      <xdr:nvGraphicFramePr>
        <xdr:cNvPr id="6" name="Chart 7"/>
        <xdr:cNvGraphicFramePr/>
      </xdr:nvGraphicFramePr>
      <xdr:xfrm>
        <a:off x="0" y="1001088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49</xdr:row>
      <xdr:rowOff>0</xdr:rowOff>
    </xdr:from>
    <xdr:to>
      <xdr:col>12</xdr:col>
      <xdr:colOff>155520</xdr:colOff>
      <xdr:row>65</xdr:row>
      <xdr:rowOff>47160</xdr:rowOff>
    </xdr:to>
    <xdr:graphicFrame>
      <xdr:nvGraphicFramePr>
        <xdr:cNvPr id="7" name="Chart 8"/>
        <xdr:cNvGraphicFramePr/>
      </xdr:nvGraphicFramePr>
      <xdr:xfrm>
        <a:off x="5711040" y="1001088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0</xdr:colOff>
      <xdr:row>49</xdr:row>
      <xdr:rowOff>0</xdr:rowOff>
    </xdr:from>
    <xdr:to>
      <xdr:col>18</xdr:col>
      <xdr:colOff>155880</xdr:colOff>
      <xdr:row>65</xdr:row>
      <xdr:rowOff>47160</xdr:rowOff>
    </xdr:to>
    <xdr:graphicFrame>
      <xdr:nvGraphicFramePr>
        <xdr:cNvPr id="8" name="Chart 9"/>
        <xdr:cNvGraphicFramePr/>
      </xdr:nvGraphicFramePr>
      <xdr:xfrm>
        <a:off x="11422440" y="10010880"/>
        <a:ext cx="5866920" cy="309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4:N504" headerRowCount="1" totalsRowCount="0" totalsRowShown="0">
  <autoFilter ref="A4:N504"/>
  <tableColumns count="14">
    <tableColumn id="1" name="Session ID"/>
    <tableColumn id="2" name="Player ID"/>
    <tableColumn id="3" name="Player Name"/>
    <tableColumn id="4" name="Game Name"/>
    <tableColumn id="5" name="Platform"/>
    <tableColumn id="6" name="Region"/>
    <tableColumn id="7" name="Session Date"/>
    <tableColumn id="8" name="Session Duration (min)"/>
    <tableColumn id="9" name="In-Game Purchase ($)"/>
    <tableColumn id="10" name="Purchase Type"/>
    <tableColumn id="11" name="Session Status"/>
    <tableColumn id="12" name="Player Type"/>
    <tableColumn id="13" name="Level Reached"/>
    <tableColumn id="14" name="Is Suspicious"/>
  </tableColumns>
</table>
</file>

<file path=xl/tables/table2.xml><?xml version="1.0" encoding="utf-8"?>
<table xmlns="http://schemas.openxmlformats.org/spreadsheetml/2006/main" id="2" name="RawData" displayName="RawData" ref="A3:N503" headerRowCount="1" totalsRowCount="0" totalsRowShown="0">
  <autoFilter ref="A3:N503"/>
  <tableColumns count="14">
    <tableColumn id="1" name="Session ID"/>
    <tableColumn id="2" name="Player ID"/>
    <tableColumn id="3" name="Player Name"/>
    <tableColumn id="4" name="Game Name"/>
    <tableColumn id="5" name="Platform"/>
    <tableColumn id="6" name="Region"/>
    <tableColumn id="7" name="Session Date"/>
    <tableColumn id="8" name="Session Duration (min)"/>
    <tableColumn id="9" name="In-Game Purchase ($)"/>
    <tableColumn id="10" name="Purchase Type"/>
    <tableColumn id="11" name="Session Status"/>
    <tableColumn id="12" name="Player Type"/>
    <tableColumn id="13" name="Level Reached"/>
    <tableColumn id="14" name="Is Suspicious"/>
  </tableColumns>
</table>
</file>

<file path=xl/tables/table3.xml><?xml version="1.0" encoding="utf-8"?>
<table xmlns="http://schemas.openxmlformats.org/spreadsheetml/2006/main" id="3" name="TransformedData" displayName="TransformedData" ref="A4:R504" headerRowCount="1" totalsRowCount="0" totalsRowShown="0">
  <autoFilter ref="A4:R504"/>
  <tableColumns count="18">
    <tableColumn id="1" name="Session ID"/>
    <tableColumn id="2" name="Player ID"/>
    <tableColumn id="3" name="Player Name"/>
    <tableColumn id="4" name="Game Name"/>
    <tableColumn id="5" name="Platform"/>
    <tableColumn id="6" name="Region"/>
    <tableColumn id="7" name="Session Date"/>
    <tableColumn id="8" name="Session Duration (min)"/>
    <tableColumn id="9" name="In-Game Purchase ($)"/>
    <tableColumn id="10" name="Purchase Type"/>
    <tableColumn id="11" name="Session Status"/>
    <tableColumn id="12" name="Player Type"/>
    <tableColumn id="13" name="Level Reached"/>
    <tableColumn id="14" name="Is Suspicious"/>
    <tableColumn id="15" name="Year-Month"/>
    <tableColumn id="16" name="Engagement Level"/>
    <tableColumn id="17" name="Made Purchase"/>
    <tableColumn id="18" name="Suspicious 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R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1" width="13.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9.75" hidden="false" customHeight="true" outlineLevel="0" collapsed="false"/>
    <row r="4" customFormat="false" ht="18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customFormat="false" ht="15.75" hidden="false" customHeight="true" outlineLevel="0" collapsed="false">
      <c r="A5" s="4" t="s">
        <v>2</v>
      </c>
      <c r="B5" s="4"/>
      <c r="C5" s="4"/>
      <c r="D5" s="4" t="s">
        <v>3</v>
      </c>
      <c r="E5" s="4"/>
      <c r="F5" s="4"/>
      <c r="G5" s="4" t="s">
        <v>4</v>
      </c>
      <c r="H5" s="4"/>
      <c r="I5" s="4"/>
      <c r="J5" s="4" t="s">
        <v>5</v>
      </c>
      <c r="K5" s="4"/>
      <c r="L5" s="4"/>
      <c r="M5" s="4" t="s">
        <v>6</v>
      </c>
      <c r="N5" s="4"/>
      <c r="O5" s="4"/>
      <c r="P5" s="4" t="s">
        <v>7</v>
      </c>
      <c r="Q5" s="4"/>
      <c r="R5" s="4"/>
    </row>
    <row r="6" customFormat="false" ht="21.75" hidden="false" customHeight="true" outlineLevel="0" collapsed="false">
      <c r="A6" s="5" t="s">
        <v>8</v>
      </c>
      <c r="B6" s="5"/>
      <c r="C6" s="5"/>
      <c r="D6" s="5" t="s">
        <v>8</v>
      </c>
      <c r="E6" s="5"/>
      <c r="F6" s="5"/>
      <c r="G6" s="5" t="s">
        <v>8</v>
      </c>
      <c r="H6" s="5"/>
      <c r="I6" s="5"/>
      <c r="J6" s="5" t="s">
        <v>8</v>
      </c>
      <c r="K6" s="5"/>
      <c r="L6" s="5"/>
      <c r="M6" s="5" t="s">
        <v>8</v>
      </c>
      <c r="N6" s="5"/>
      <c r="O6" s="5"/>
      <c r="P6" s="5" t="s">
        <v>8</v>
      </c>
      <c r="Q6" s="5"/>
      <c r="R6" s="5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9.75" hidden="false" customHeight="true" outlineLevel="0" collapsed="false"/>
    <row r="9" customFormat="false" ht="15.75" hidden="false" customHeight="true" outlineLevel="0" collapsed="false">
      <c r="A9" s="6" t="s">
        <v>9</v>
      </c>
      <c r="B9" s="6"/>
      <c r="C9" s="6"/>
      <c r="D9" s="6" t="s">
        <v>10</v>
      </c>
      <c r="E9" s="6"/>
      <c r="F9" s="6"/>
      <c r="G9" s="6" t="s">
        <v>11</v>
      </c>
      <c r="H9" s="6"/>
      <c r="I9" s="6"/>
      <c r="J9" s="6" t="s">
        <v>12</v>
      </c>
      <c r="K9" s="6"/>
      <c r="L9" s="6"/>
      <c r="M9" s="6" t="s">
        <v>13</v>
      </c>
      <c r="N9" s="6"/>
      <c r="O9" s="6"/>
      <c r="P9" s="6" t="s">
        <v>14</v>
      </c>
      <c r="Q9" s="6"/>
      <c r="R9" s="6"/>
    </row>
    <row r="10" customFormat="false" ht="24" hidden="false" customHeight="true" outlineLevel="0" collapsed="false">
      <c r="A10" s="7" t="n">
        <f aca="false">SUMPRODUCT(('Transformed Data'!$F$5:$F$504=IF($A$6="All",'Transformed Data'!$F$5:$F$504,$A$6))*('Transformed Data'!$E$5:$E$504=IF($D$6="All",'Transformed Data'!$E$5:$E$504,$D$6))*('Transformed Data'!$D$5:$D$504=IF($G$6="All",'Transformed Data'!$D$5:$D$504,$G$6))*('Transformed Data'!$J$5:$J$504=IF($J$6="All",'Transformed Data'!$J$5:$J$504,$J$6))*('Transformed Data'!$L$5:$L$504=IF($M$6="All",'Transformed Data'!$L$5:$L$504,$M$6))*('Transformed Data'!$O$5:$O$504=IF($P$6="All",'Transformed Data'!$O$5:$O$504,$P$6)))</f>
        <v>500</v>
      </c>
      <c r="B10" s="7"/>
      <c r="C10" s="7"/>
      <c r="D10" s="7" t="n">
        <f aca="false">SUMPRODUCT((('Transformed Data'!$F$5:$F$504=IF($A$6="All",'Transformed Data'!$F$5:$F$504,$A$6))*('Transformed Data'!$E$5:$E$504=IF($D$6="All",'Transformed Data'!$E$5:$E$504,$D$6))*('Transformed Data'!$D$5:$D$504=IF($G$6="All",'Transformed Data'!$D$5:$D$504,$G$6))*('Transformed Data'!$J$5:$J$504=IF($J$6="All",'Transformed Data'!$J$5:$J$504,$J$6))*('Transformed Data'!$L$5:$L$504=IF($M$6="All",'Transformed Data'!$L$5:$L$504,$M$6))*('Transformed Data'!$O$5:$O$504=IF($P$6="All",'Transformed Data'!$O$5:$O$504,$P$6)))/COUNTIFS('Transformed Data'!$B$5:$B$504,'Transformed Data'!$B$5:$B$504))</f>
        <v>489</v>
      </c>
      <c r="E10" s="7"/>
      <c r="F10" s="7"/>
      <c r="G10" s="8" t="n">
        <f aca="false">SUMPRODUCT(('Transformed Data'!$F$5:$F$504=IF($A$6="All",'Transformed Data'!$F$5:$F$504,$A$6))*('Transformed Data'!$E$5:$E$504=IF($D$6="All",'Transformed Data'!$E$5:$E$504,$D$6))*('Transformed Data'!$D$5:$D$504=IF($G$6="All",'Transformed Data'!$D$5:$D$504,$G$6))*('Transformed Data'!$J$5:$J$504=IF($J$6="All",'Transformed Data'!$J$5:$J$504,$J$6))*('Transformed Data'!$L$5:$L$504=IF($M$6="All",'Transformed Data'!$L$5:$L$504,$M$6))*('Transformed Data'!$O$5:$O$504=IF($P$6="All",'Transformed Data'!$O$5:$O$504,$P$6)),'Transformed Data'!$I$5:$I$504)</f>
        <v>2631.27</v>
      </c>
      <c r="H10" s="8"/>
      <c r="I10" s="8"/>
      <c r="J10" s="9" t="n">
        <f aca="false">IF(A10=0,0,G10/A10)</f>
        <v>5.26254</v>
      </c>
      <c r="K10" s="9"/>
      <c r="L10" s="9"/>
      <c r="M10" s="7" t="n">
        <f aca="false">SUMPRODUCT(('Transformed Data'!$F$5:$F$504=IF($A$6="All",'Transformed Data'!$F$5:$F$504,$A$6))*('Transformed Data'!$E$5:$E$504=IF($D$6="All",'Transformed Data'!$E$5:$E$504,$D$6))*('Transformed Data'!$D$5:$D$504=IF($G$6="All",'Transformed Data'!$D$5:$D$504,$G$6))*('Transformed Data'!$J$5:$J$504=IF($J$6="All",'Transformed Data'!$J$5:$J$504,$J$6))*('Transformed Data'!$L$5:$L$504=IF($M$6="All",'Transformed Data'!$L$5:$L$504,$M$6))*('Transformed Data'!$O$5:$O$504=IF($P$6="All",'Transformed Data'!$O$5:$O$504,$P$6))*('Transformed Data'!$N$5:$N$504="Yes"))</f>
        <v>103</v>
      </c>
      <c r="N10" s="7"/>
      <c r="O10" s="7"/>
      <c r="P10" s="10" t="n">
        <f aca="false">SUMPRODUCT(('Transformed Data'!$F$5:$F$504=IF($A$6="All",'Transformed Data'!$F$5:$F$504,$A$6))*('Transformed Data'!$E$5:$E$504=IF($D$6="All",'Transformed Data'!$E$5:$E$504,$D$6))*('Transformed Data'!$D$5:$D$504=IF($G$6="All",'Transformed Data'!$D$5:$D$504,$G$6))*('Transformed Data'!$J$5:$J$504=IF($J$6="All",'Transformed Data'!$J$5:$J$504,$J$6))*('Transformed Data'!$L$5:$L$504=IF($M$6="All",'Transformed Data'!$L$5:$L$504,$M$6))*('Transformed Data'!$O$5:$O$504=IF($P$6="All",'Transformed Data'!$O$5:$O$504,$P$6))*('Transformed Data'!$K$5:$K$504="Completed"))/IF(A10=0,1,A10)</f>
        <v>0.72</v>
      </c>
      <c r="Q10" s="10"/>
      <c r="R10" s="10"/>
    </row>
    <row r="11" customFormat="false" ht="24" hidden="false" customHeight="true" outlineLevel="0" collapsed="false">
      <c r="A11" s="7"/>
      <c r="B11" s="7"/>
      <c r="C11" s="7"/>
      <c r="D11" s="7"/>
      <c r="E11" s="7"/>
      <c r="F11" s="7"/>
      <c r="G11" s="8"/>
      <c r="H11" s="8"/>
      <c r="I11" s="8"/>
      <c r="J11" s="9"/>
      <c r="K11" s="9"/>
      <c r="L11" s="9"/>
      <c r="M11" s="7"/>
      <c r="N11" s="7"/>
      <c r="O11" s="7"/>
      <c r="P11" s="10"/>
      <c r="Q11" s="10"/>
      <c r="R11" s="10"/>
    </row>
    <row r="12" customFormat="false" ht="9.75" hidden="false" customHeight="true" outlineLevel="0" collapsed="false"/>
    <row r="13" customFormat="false" ht="19.5" hidden="false" customHeight="true" outlineLevel="0" collapsed="false">
      <c r="A13" s="11" t="s">
        <v>15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31" customFormat="false" ht="19.5" hidden="false" customHeight="true" outlineLevel="0" collapsed="false">
      <c r="A31" s="11" t="s">
        <v>16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49" customFormat="false" ht="19.5" hidden="false" customHeight="true" outlineLevel="0" collapsed="false">
      <c r="A49" s="11" t="s">
        <v>17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</row>
    <row r="67" customFormat="false" ht="30" hidden="false" customHeight="true" outlineLevel="0" collapsed="false">
      <c r="A67" s="12" t="s">
        <v>18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</sheetData>
  <mergeCells count="30">
    <mergeCell ref="A1:R2"/>
    <mergeCell ref="A4:R4"/>
    <mergeCell ref="A5:C5"/>
    <mergeCell ref="D5:F5"/>
    <mergeCell ref="G5:I5"/>
    <mergeCell ref="J5:L5"/>
    <mergeCell ref="M5:O5"/>
    <mergeCell ref="P5:R5"/>
    <mergeCell ref="A6:C7"/>
    <mergeCell ref="D6:F7"/>
    <mergeCell ref="G6:I7"/>
    <mergeCell ref="J6:L7"/>
    <mergeCell ref="M6:O7"/>
    <mergeCell ref="P6:R7"/>
    <mergeCell ref="A9:C9"/>
    <mergeCell ref="D9:F9"/>
    <mergeCell ref="G9:I9"/>
    <mergeCell ref="J9:L9"/>
    <mergeCell ref="M9:O9"/>
    <mergeCell ref="P9:R9"/>
    <mergeCell ref="A10:C11"/>
    <mergeCell ref="D10:F11"/>
    <mergeCell ref="G10:I11"/>
    <mergeCell ref="J10:L11"/>
    <mergeCell ref="M10:O11"/>
    <mergeCell ref="P10:R11"/>
    <mergeCell ref="A13:R13"/>
    <mergeCell ref="A31:R31"/>
    <mergeCell ref="A49:R49"/>
    <mergeCell ref="A67:R67"/>
  </mergeCells>
  <dataValidations count="6">
    <dataValidation allowBlank="false" errorStyle="stop" operator="between" showDropDown="false" showErrorMessage="false" showInputMessage="false" sqref="A6" type="list">
      <formula1>"All,Central,East,North,North-East,South,West"</formula1>
      <formula2>0</formula2>
    </dataValidation>
    <dataValidation allowBlank="false" errorStyle="stop" operator="between" showDropDown="false" showErrorMessage="false" showInputMessage="false" sqref="D6" type="list">
      <formula1>"All,Mobile,PC,Console"</formula1>
      <formula2>0</formula2>
    </dataValidation>
    <dataValidation allowBlank="false" errorStyle="stop" operator="between" showDropDown="false" showErrorMessage="false" showInputMessage="false" sqref="G6" type="list">
      <formula1>"All,BattleZone,Clash of Realms,Empire Wars,SpeedX,Zombie Rush"</formula1>
      <formula2>0</formula2>
    </dataValidation>
    <dataValidation allowBlank="false" errorStyle="stop" operator="between" showDropDown="false" showErrorMessage="false" showInputMessage="false" sqref="J6" type="list">
      <formula1>"All,Boosters,Subscriptions,Battle Pass,Skins,None"</formula1>
      <formula2>0</formula2>
    </dataValidation>
    <dataValidation allowBlank="false" errorStyle="stop" operator="between" showDropDown="false" showErrorMessage="false" showInputMessage="false" sqref="M6" type="list">
      <formula1>"All,Free,Paid"</formula1>
      <formula2>0</formula2>
    </dataValidation>
    <dataValidation allowBlank="false" errorStyle="stop" operator="between" showDropDown="false" showErrorMessage="false" showInputMessage="false" sqref="P6" type="list">
      <formula1>"All,2024-12,2025-01,2025-02,2025-03,2025-04,2025-05,2025-06"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H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8"/>
    <col collapsed="false" customWidth="true" hidden="false" outlineLevel="0" max="6" min="6" style="1" width="20"/>
    <col collapsed="false" customWidth="true" hidden="false" outlineLevel="0" max="8" min="7" style="1" width="14"/>
  </cols>
  <sheetData>
    <row r="1" customFormat="false" ht="17.25" hidden="false" customHeight="true" outlineLevel="0" collapsed="false">
      <c r="A1" s="13" t="s">
        <v>19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14" t="s">
        <v>20</v>
      </c>
      <c r="B2" s="14"/>
      <c r="C2" s="14"/>
      <c r="D2" s="14"/>
      <c r="E2" s="14"/>
      <c r="F2" s="14"/>
      <c r="G2" s="14"/>
      <c r="H2" s="14"/>
    </row>
    <row r="4" customFormat="false" ht="15" hidden="false" customHeight="true" outlineLevel="0" collapsed="false">
      <c r="A4" s="15" t="s">
        <v>21</v>
      </c>
    </row>
    <row r="5" customFormat="false" ht="15" hidden="false" customHeight="true" outlineLevel="0" collapsed="false">
      <c r="A5" s="16" t="s">
        <v>7</v>
      </c>
      <c r="B5" s="16" t="s">
        <v>10</v>
      </c>
      <c r="C5" s="16" t="s">
        <v>9</v>
      </c>
    </row>
    <row r="6" customFormat="false" ht="15" hidden="false" customHeight="true" outlineLevel="0" collapsed="false">
      <c r="A6" s="17" t="s">
        <v>22</v>
      </c>
      <c r="B6" s="18" t="n">
        <f aca="false">SUMPRODUCT(('Transformed Data'!$O$5:$O$504=$A6)/COUNTIFS('Transformed Data'!$B$5:$B$504,'Transformed Data'!$B$5:$B$504,'Transformed Data'!$O$5:$O$504,'Transformed Data'!$O$5:$O$504))</f>
        <v>48</v>
      </c>
      <c r="C6" s="18" t="n">
        <f aca="false">COUNTIFS('Transformed Data'!$O$5:$O$504,$A6)</f>
        <v>48</v>
      </c>
    </row>
    <row r="7" customFormat="false" ht="15" hidden="false" customHeight="true" outlineLevel="0" collapsed="false">
      <c r="A7" s="17" t="s">
        <v>23</v>
      </c>
      <c r="B7" s="18" t="n">
        <f aca="false">SUMPRODUCT(('Transformed Data'!$O$5:$O$504=$A7)/COUNTIFS('Transformed Data'!$B$5:$B$504,'Transformed Data'!$B$5:$B$504,'Transformed Data'!$O$5:$O$504,'Transformed Data'!$O$5:$O$504))</f>
        <v>95</v>
      </c>
      <c r="C7" s="18" t="n">
        <f aca="false">COUNTIFS('Transformed Data'!$O$5:$O$504,$A7)</f>
        <v>95</v>
      </c>
    </row>
    <row r="8" customFormat="false" ht="15" hidden="false" customHeight="true" outlineLevel="0" collapsed="false">
      <c r="A8" s="17" t="s">
        <v>24</v>
      </c>
      <c r="B8" s="18" t="n">
        <f aca="false">SUMPRODUCT(('Transformed Data'!$O$5:$O$504=$A8)/COUNTIFS('Transformed Data'!$B$5:$B$504,'Transformed Data'!$B$5:$B$504,'Transformed Data'!$O$5:$O$504,'Transformed Data'!$O$5:$O$504))</f>
        <v>77</v>
      </c>
      <c r="C8" s="18" t="n">
        <f aca="false">COUNTIFS('Transformed Data'!$O$5:$O$504,$A8)</f>
        <v>77</v>
      </c>
    </row>
    <row r="9" customFormat="false" ht="15" hidden="false" customHeight="true" outlineLevel="0" collapsed="false">
      <c r="A9" s="17" t="s">
        <v>25</v>
      </c>
      <c r="B9" s="18" t="n">
        <f aca="false">SUMPRODUCT(('Transformed Data'!$O$5:$O$504=$A9)/COUNTIFS('Transformed Data'!$B$5:$B$504,'Transformed Data'!$B$5:$B$504,'Transformed Data'!$O$5:$O$504,'Transformed Data'!$O$5:$O$504))</f>
        <v>66</v>
      </c>
      <c r="C9" s="18" t="n">
        <f aca="false">COUNTIFS('Transformed Data'!$O$5:$O$504,$A9)</f>
        <v>67</v>
      </c>
    </row>
    <row r="10" customFormat="false" ht="15" hidden="false" customHeight="true" outlineLevel="0" collapsed="false">
      <c r="A10" s="17" t="s">
        <v>26</v>
      </c>
      <c r="B10" s="18" t="n">
        <f aca="false">SUMPRODUCT(('Transformed Data'!$O$5:$O$504=$A10)/COUNTIFS('Transformed Data'!$B$5:$B$504,'Transformed Data'!$B$5:$B$504,'Transformed Data'!$O$5:$O$504,'Transformed Data'!$O$5:$O$504))</f>
        <v>75</v>
      </c>
      <c r="C10" s="18" t="n">
        <f aca="false">COUNTIFS('Transformed Data'!$O$5:$O$504,$A10)</f>
        <v>76</v>
      </c>
    </row>
    <row r="11" customFormat="false" ht="15" hidden="false" customHeight="true" outlineLevel="0" collapsed="false">
      <c r="A11" s="17" t="s">
        <v>27</v>
      </c>
      <c r="B11" s="18" t="n">
        <f aca="false">SUMPRODUCT(('Transformed Data'!$O$5:$O$504=$A11)/COUNTIFS('Transformed Data'!$B$5:$B$504,'Transformed Data'!$B$5:$B$504,'Transformed Data'!$O$5:$O$504,'Transformed Data'!$O$5:$O$504))</f>
        <v>101</v>
      </c>
      <c r="C11" s="18" t="n">
        <f aca="false">COUNTIFS('Transformed Data'!$O$5:$O$504,$A11)</f>
        <v>101</v>
      </c>
    </row>
    <row r="12" customFormat="false" ht="15" hidden="false" customHeight="true" outlineLevel="0" collapsed="false">
      <c r="A12" s="17" t="s">
        <v>28</v>
      </c>
      <c r="B12" s="18" t="n">
        <f aca="false">SUMPRODUCT(('Transformed Data'!$O$5:$O$504=$A12)/COUNTIFS('Transformed Data'!$B$5:$B$504,'Transformed Data'!$B$5:$B$504,'Transformed Data'!$O$5:$O$504,'Transformed Data'!$O$5:$O$504))</f>
        <v>36</v>
      </c>
      <c r="C12" s="18" t="n">
        <f aca="false">COUNTIFS('Transformed Data'!$O$5:$O$504,$A12)</f>
        <v>36</v>
      </c>
    </row>
    <row r="14" customFormat="false" ht="15" hidden="false" customHeight="true" outlineLevel="0" collapsed="false">
      <c r="A14" s="15" t="s">
        <v>29</v>
      </c>
    </row>
    <row r="15" customFormat="false" ht="15" hidden="false" customHeight="true" outlineLevel="0" collapsed="false">
      <c r="A15" s="16" t="s">
        <v>30</v>
      </c>
      <c r="B15" s="16" t="s">
        <v>31</v>
      </c>
      <c r="C15" s="16" t="s">
        <v>32</v>
      </c>
    </row>
    <row r="16" customFormat="false" ht="15" hidden="false" customHeight="true" outlineLevel="0" collapsed="false">
      <c r="A16" s="17" t="s">
        <v>33</v>
      </c>
      <c r="B16" s="18" t="n">
        <f aca="false">COUNTIFS('Transformed Data'!$P$5:$P$504,$A16)</f>
        <v>41</v>
      </c>
      <c r="C16" s="19" t="n">
        <f aca="false">B16/500</f>
        <v>0.082</v>
      </c>
    </row>
    <row r="17" customFormat="false" ht="15" hidden="false" customHeight="true" outlineLevel="0" collapsed="false">
      <c r="A17" s="17" t="s">
        <v>34</v>
      </c>
      <c r="B17" s="18" t="n">
        <f aca="false">COUNTIFS('Transformed Data'!$P$5:$P$504,$A17)</f>
        <v>133</v>
      </c>
      <c r="C17" s="19" t="n">
        <f aca="false">B17/500</f>
        <v>0.266</v>
      </c>
    </row>
    <row r="18" customFormat="false" ht="15" hidden="false" customHeight="true" outlineLevel="0" collapsed="false">
      <c r="A18" s="17" t="s">
        <v>35</v>
      </c>
      <c r="B18" s="18" t="n">
        <f aca="false">COUNTIFS('Transformed Data'!$P$5:$P$504,$A18)</f>
        <v>326</v>
      </c>
      <c r="C18" s="19" t="n">
        <f aca="false">B18/500</f>
        <v>0.652</v>
      </c>
    </row>
    <row r="20" customFormat="false" ht="15" hidden="false" customHeight="true" outlineLevel="0" collapsed="false">
      <c r="A20" s="15" t="s">
        <v>36</v>
      </c>
    </row>
    <row r="21" customFormat="false" ht="15" hidden="false" customHeight="true" outlineLevel="0" collapsed="false">
      <c r="A21" s="16" t="s">
        <v>37</v>
      </c>
      <c r="B21" s="16" t="s">
        <v>31</v>
      </c>
      <c r="C21" s="16" t="s">
        <v>32</v>
      </c>
    </row>
    <row r="22" customFormat="false" ht="15" hidden="false" customHeight="true" outlineLevel="0" collapsed="false">
      <c r="A22" s="17" t="s">
        <v>38</v>
      </c>
      <c r="B22" s="18" t="n">
        <f aca="false">COUNTIFS('Transformed Data'!$Q$5:$Q$504,$A22)</f>
        <v>104</v>
      </c>
      <c r="C22" s="19" t="n">
        <f aca="false">B22/500</f>
        <v>0.208</v>
      </c>
    </row>
    <row r="23" customFormat="false" ht="15" hidden="false" customHeight="true" outlineLevel="0" collapsed="false">
      <c r="A23" s="17" t="s">
        <v>39</v>
      </c>
      <c r="B23" s="18" t="n">
        <f aca="false">COUNTIFS('Transformed Data'!$Q$5:$Q$504,$A23)</f>
        <v>396</v>
      </c>
      <c r="C23" s="19" t="n">
        <f aca="false">B23/500</f>
        <v>0.792</v>
      </c>
    </row>
    <row r="25" customFormat="false" ht="15" hidden="false" customHeight="true" outlineLevel="0" collapsed="false">
      <c r="A25" s="15" t="s">
        <v>40</v>
      </c>
    </row>
    <row r="26" customFormat="false" ht="15" hidden="false" customHeight="true" outlineLevel="0" collapsed="false">
      <c r="A26" s="16" t="s">
        <v>7</v>
      </c>
      <c r="B26" s="16" t="s">
        <v>41</v>
      </c>
      <c r="C26" s="16" t="s">
        <v>42</v>
      </c>
    </row>
    <row r="27" customFormat="false" ht="15" hidden="false" customHeight="true" outlineLevel="0" collapsed="false">
      <c r="A27" s="17" t="s">
        <v>22</v>
      </c>
      <c r="B27" s="18" t="n">
        <f aca="false">COUNTIFS('Transformed Data'!$O$5:$O$504,$A27,'Transformed Data'!$Q$5:$Q$504,"Yes")</f>
        <v>9</v>
      </c>
      <c r="C27" s="18" t="n">
        <f aca="false">COUNTIFS('Transformed Data'!$O$5:$O$504,$A27,'Transformed Data'!$Q$5:$Q$504,"No")</f>
        <v>39</v>
      </c>
    </row>
    <row r="28" customFormat="false" ht="15" hidden="false" customHeight="true" outlineLevel="0" collapsed="false">
      <c r="A28" s="17" t="s">
        <v>23</v>
      </c>
      <c r="B28" s="18" t="n">
        <f aca="false">COUNTIFS('Transformed Data'!$O$5:$O$504,$A28,'Transformed Data'!$Q$5:$Q$504,"Yes")</f>
        <v>18</v>
      </c>
      <c r="C28" s="18" t="n">
        <f aca="false">COUNTIFS('Transformed Data'!$O$5:$O$504,$A28,'Transformed Data'!$Q$5:$Q$504,"No")</f>
        <v>77</v>
      </c>
    </row>
    <row r="29" customFormat="false" ht="15" hidden="false" customHeight="true" outlineLevel="0" collapsed="false">
      <c r="A29" s="17" t="s">
        <v>24</v>
      </c>
      <c r="B29" s="18" t="n">
        <f aca="false">COUNTIFS('Transformed Data'!$O$5:$O$504,$A29,'Transformed Data'!$Q$5:$Q$504,"Yes")</f>
        <v>21</v>
      </c>
      <c r="C29" s="18" t="n">
        <f aca="false">COUNTIFS('Transformed Data'!$O$5:$O$504,$A29,'Transformed Data'!$Q$5:$Q$504,"No")</f>
        <v>56</v>
      </c>
    </row>
    <row r="30" customFormat="false" ht="15" hidden="false" customHeight="true" outlineLevel="0" collapsed="false">
      <c r="A30" s="17" t="s">
        <v>25</v>
      </c>
      <c r="B30" s="18" t="n">
        <f aca="false">COUNTIFS('Transformed Data'!$O$5:$O$504,$A30,'Transformed Data'!$Q$5:$Q$504,"Yes")</f>
        <v>12</v>
      </c>
      <c r="C30" s="18" t="n">
        <f aca="false">COUNTIFS('Transformed Data'!$O$5:$O$504,$A30,'Transformed Data'!$Q$5:$Q$504,"No")</f>
        <v>55</v>
      </c>
    </row>
    <row r="31" customFormat="false" ht="15" hidden="false" customHeight="true" outlineLevel="0" collapsed="false">
      <c r="A31" s="17" t="s">
        <v>26</v>
      </c>
      <c r="B31" s="18" t="n">
        <f aca="false">COUNTIFS('Transformed Data'!$O$5:$O$504,$A31,'Transformed Data'!$Q$5:$Q$504,"Yes")</f>
        <v>16</v>
      </c>
      <c r="C31" s="18" t="n">
        <f aca="false">COUNTIFS('Transformed Data'!$O$5:$O$504,$A31,'Transformed Data'!$Q$5:$Q$504,"No")</f>
        <v>60</v>
      </c>
    </row>
    <row r="32" customFormat="false" ht="15" hidden="false" customHeight="true" outlineLevel="0" collapsed="false">
      <c r="A32" s="17" t="s">
        <v>27</v>
      </c>
      <c r="B32" s="18" t="n">
        <f aca="false">COUNTIFS('Transformed Data'!$O$5:$O$504,$A32,'Transformed Data'!$Q$5:$Q$504,"Yes")</f>
        <v>20</v>
      </c>
      <c r="C32" s="18" t="n">
        <f aca="false">COUNTIFS('Transformed Data'!$O$5:$O$504,$A32,'Transformed Data'!$Q$5:$Q$504,"No")</f>
        <v>81</v>
      </c>
    </row>
    <row r="33" customFormat="false" ht="15" hidden="false" customHeight="true" outlineLevel="0" collapsed="false">
      <c r="A33" s="17" t="s">
        <v>28</v>
      </c>
      <c r="B33" s="18" t="n">
        <f aca="false">COUNTIFS('Transformed Data'!$O$5:$O$504,$A33,'Transformed Data'!$Q$5:$Q$504,"Yes")</f>
        <v>8</v>
      </c>
      <c r="C33" s="18" t="n">
        <f aca="false">COUNTIFS('Transformed Data'!$O$5:$O$504,$A33,'Transformed Data'!$Q$5:$Q$504,"No")</f>
        <v>28</v>
      </c>
    </row>
    <row r="35" customFormat="false" ht="15" hidden="false" customHeight="true" outlineLevel="0" collapsed="false">
      <c r="A35" s="15" t="s">
        <v>43</v>
      </c>
    </row>
    <row r="36" customFormat="false" ht="15" hidden="false" customHeight="true" outlineLevel="0" collapsed="false">
      <c r="A36" s="16" t="s">
        <v>30</v>
      </c>
      <c r="B36" s="16" t="s">
        <v>13</v>
      </c>
      <c r="C36" s="16" t="s">
        <v>44</v>
      </c>
    </row>
    <row r="37" customFormat="false" ht="15" hidden="false" customHeight="true" outlineLevel="0" collapsed="false">
      <c r="A37" s="17" t="s">
        <v>33</v>
      </c>
      <c r="B37" s="18" t="n">
        <f aca="false">COUNTIFS('Transformed Data'!$P$5:$P$504,$A37,'Transformed Data'!$N$5:$N$504,"Yes")</f>
        <v>1</v>
      </c>
      <c r="C37" s="18" t="n">
        <f aca="false">COUNTIFS('Transformed Data'!$P$5:$P$504,$A37,'Transformed Data'!$N$5:$N$504,"No")</f>
        <v>40</v>
      </c>
    </row>
    <row r="38" customFormat="false" ht="15" hidden="false" customHeight="true" outlineLevel="0" collapsed="false">
      <c r="A38" s="17" t="s">
        <v>34</v>
      </c>
      <c r="B38" s="18" t="n">
        <f aca="false">COUNTIFS('Transformed Data'!$P$5:$P$504,$A38,'Transformed Data'!$N$5:$N$504,"Yes")</f>
        <v>4</v>
      </c>
      <c r="C38" s="18" t="n">
        <f aca="false">COUNTIFS('Transformed Data'!$P$5:$P$504,$A38,'Transformed Data'!$N$5:$N$504,"No")</f>
        <v>129</v>
      </c>
    </row>
    <row r="39" customFormat="false" ht="15" hidden="false" customHeight="true" outlineLevel="0" collapsed="false">
      <c r="A39" s="17" t="s">
        <v>35</v>
      </c>
      <c r="B39" s="18" t="n">
        <f aca="false">COUNTIFS('Transformed Data'!$P$5:$P$504,$A39,'Transformed Data'!$N$5:$N$504,"Yes")</f>
        <v>98</v>
      </c>
      <c r="C39" s="18" t="n">
        <f aca="false">COUNTIFS('Transformed Data'!$P$5:$P$504,$A39,'Transformed Data'!$N$5:$N$504,"No")</f>
        <v>228</v>
      </c>
    </row>
    <row r="41" customFormat="false" ht="15" hidden="false" customHeight="true" outlineLevel="0" collapsed="false">
      <c r="A41" s="15" t="s">
        <v>45</v>
      </c>
    </row>
    <row r="42" customFormat="false" ht="15" hidden="false" customHeight="true" outlineLevel="0" collapsed="false">
      <c r="A42" s="16" t="s">
        <v>7</v>
      </c>
      <c r="B42" s="16" t="s">
        <v>13</v>
      </c>
      <c r="C42" s="16" t="s">
        <v>46</v>
      </c>
    </row>
    <row r="43" customFormat="false" ht="15" hidden="false" customHeight="true" outlineLevel="0" collapsed="false">
      <c r="A43" s="17" t="s">
        <v>22</v>
      </c>
      <c r="B43" s="18" t="n">
        <f aca="false">COUNTIFS('Transformed Data'!$O$5:$O$504,$A43,'Transformed Data'!$N$5:$N$504,"Yes")</f>
        <v>15</v>
      </c>
      <c r="C43" s="19" t="n">
        <f aca="false">IF(COUNTIFS('Transformed Data'!$O$5:$O$504,$A43)=0,0,B43/COUNTIFS('Transformed Data'!$O$5:$O$504,$A43))</f>
        <v>0.3125</v>
      </c>
    </row>
    <row r="44" customFormat="false" ht="15" hidden="false" customHeight="true" outlineLevel="0" collapsed="false">
      <c r="A44" s="17" t="s">
        <v>23</v>
      </c>
      <c r="B44" s="18" t="n">
        <f aca="false">COUNTIFS('Transformed Data'!$O$5:$O$504,$A44,'Transformed Data'!$N$5:$N$504,"Yes")</f>
        <v>18</v>
      </c>
      <c r="C44" s="19" t="n">
        <f aca="false">IF(COUNTIFS('Transformed Data'!$O$5:$O$504,$A44)=0,0,B44/COUNTIFS('Transformed Data'!$O$5:$O$504,$A44))</f>
        <v>0.189473684210526</v>
      </c>
    </row>
    <row r="45" customFormat="false" ht="15" hidden="false" customHeight="true" outlineLevel="0" collapsed="false">
      <c r="A45" s="17" t="s">
        <v>24</v>
      </c>
      <c r="B45" s="18" t="n">
        <f aca="false">COUNTIFS('Transformed Data'!$O$5:$O$504,$A45,'Transformed Data'!$N$5:$N$504,"Yes")</f>
        <v>13</v>
      </c>
      <c r="C45" s="19" t="n">
        <f aca="false">IF(COUNTIFS('Transformed Data'!$O$5:$O$504,$A45)=0,0,B45/COUNTIFS('Transformed Data'!$O$5:$O$504,$A45))</f>
        <v>0.168831168831169</v>
      </c>
    </row>
    <row r="46" customFormat="false" ht="15" hidden="false" customHeight="true" outlineLevel="0" collapsed="false">
      <c r="A46" s="17" t="s">
        <v>25</v>
      </c>
      <c r="B46" s="18" t="n">
        <f aca="false">COUNTIFS('Transformed Data'!$O$5:$O$504,$A46,'Transformed Data'!$N$5:$N$504,"Yes")</f>
        <v>16</v>
      </c>
      <c r="C46" s="19" t="n">
        <f aca="false">IF(COUNTIFS('Transformed Data'!$O$5:$O$504,$A46)=0,0,B46/COUNTIFS('Transformed Data'!$O$5:$O$504,$A46))</f>
        <v>0.238805970149254</v>
      </c>
    </row>
    <row r="47" customFormat="false" ht="15" hidden="false" customHeight="true" outlineLevel="0" collapsed="false">
      <c r="A47" s="17" t="s">
        <v>26</v>
      </c>
      <c r="B47" s="18" t="n">
        <f aca="false">COUNTIFS('Transformed Data'!$O$5:$O$504,$A47,'Transformed Data'!$N$5:$N$504,"Yes")</f>
        <v>13</v>
      </c>
      <c r="C47" s="19" t="n">
        <f aca="false">IF(COUNTIFS('Transformed Data'!$O$5:$O$504,$A47)=0,0,B47/COUNTIFS('Transformed Data'!$O$5:$O$504,$A47))</f>
        <v>0.171052631578947</v>
      </c>
    </row>
    <row r="48" customFormat="false" ht="15" hidden="false" customHeight="true" outlineLevel="0" collapsed="false">
      <c r="A48" s="17" t="s">
        <v>27</v>
      </c>
      <c r="B48" s="18" t="n">
        <f aca="false">COUNTIFS('Transformed Data'!$O$5:$O$504,$A48,'Transformed Data'!$N$5:$N$504,"Yes")</f>
        <v>21</v>
      </c>
      <c r="C48" s="19" t="n">
        <f aca="false">IF(COUNTIFS('Transformed Data'!$O$5:$O$504,$A48)=0,0,B48/COUNTIFS('Transformed Data'!$O$5:$O$504,$A48))</f>
        <v>0.207920792079208</v>
      </c>
    </row>
    <row r="49" customFormat="false" ht="15" hidden="false" customHeight="true" outlineLevel="0" collapsed="false">
      <c r="A49" s="17" t="s">
        <v>28</v>
      </c>
      <c r="B49" s="18" t="n">
        <f aca="false">COUNTIFS('Transformed Data'!$O$5:$O$504,$A49,'Transformed Data'!$N$5:$N$504,"Yes")</f>
        <v>7</v>
      </c>
      <c r="C49" s="19" t="n">
        <f aca="false">IF(COUNTIFS('Transformed Data'!$O$5:$O$504,$A49)=0,0,B49/COUNTIFS('Transformed Data'!$O$5:$O$504,$A49))</f>
        <v>0.194444444444444</v>
      </c>
    </row>
    <row r="51" customFormat="false" ht="15" hidden="false" customHeight="true" outlineLevel="0" collapsed="false">
      <c r="A51" s="15" t="s">
        <v>47</v>
      </c>
    </row>
    <row r="52" customFormat="false" ht="15" hidden="false" customHeight="true" outlineLevel="0" collapsed="false">
      <c r="A52" s="16" t="s">
        <v>3</v>
      </c>
      <c r="B52" s="16" t="s">
        <v>48</v>
      </c>
      <c r="C52" s="16" t="s">
        <v>10</v>
      </c>
      <c r="D52" s="16" t="s">
        <v>11</v>
      </c>
      <c r="E52" s="16" t="s">
        <v>12</v>
      </c>
      <c r="F52" s="16" t="s">
        <v>49</v>
      </c>
    </row>
    <row r="53" customFormat="false" ht="15" hidden="false" customHeight="true" outlineLevel="0" collapsed="false">
      <c r="A53" s="17" t="s">
        <v>50</v>
      </c>
      <c r="B53" s="18" t="n">
        <f aca="false">COUNTIFS('Transformed Data'!$E$5:$E$504,$A53)</f>
        <v>167</v>
      </c>
      <c r="C53" s="18" t="n">
        <f aca="false">SUMPRODUCT(('Transformed Data'!$E$5:$E$504=$A53)/COUNTIFS('Transformed Data'!$B$5:$B$504,'Transformed Data'!$B$5:$B$504,'Transformed Data'!$E$5:$E$504,'Transformed Data'!$E$5:$E$504))</f>
        <v>167</v>
      </c>
      <c r="D53" s="20" t="n">
        <f aca="false">SUMIFS('Transformed Data'!$I$5:$I$504,'Transformed Data'!$E$5:$E$504,$A53)</f>
        <v>848.79</v>
      </c>
      <c r="E53" s="20" t="n">
        <f aca="false">IF(C53=0,0,D53/C53)</f>
        <v>5.0825748502994</v>
      </c>
      <c r="F53" s="19" t="n">
        <f aca="false">COUNTIFS('Transformed Data'!$E$5:$E$504,$A53,'Transformed Data'!$K$5:$K$504,"Completed")/B53</f>
        <v>0.724550898203593</v>
      </c>
    </row>
    <row r="54" customFormat="false" ht="15" hidden="false" customHeight="true" outlineLevel="0" collapsed="false">
      <c r="A54" s="17" t="s">
        <v>51</v>
      </c>
      <c r="B54" s="18" t="n">
        <f aca="false">COUNTIFS('Transformed Data'!$E$5:$E$504,$A54)</f>
        <v>161</v>
      </c>
      <c r="C54" s="18" t="n">
        <f aca="false">SUMPRODUCT(('Transformed Data'!$E$5:$E$504=$A54)/COUNTIFS('Transformed Data'!$B$5:$B$504,'Transformed Data'!$B$5:$B$504,'Transformed Data'!$E$5:$E$504,'Transformed Data'!$E$5:$E$504))</f>
        <v>160</v>
      </c>
      <c r="D54" s="20" t="n">
        <f aca="false">SUMIFS('Transformed Data'!$I$5:$I$504,'Transformed Data'!$E$5:$E$504,$A54)</f>
        <v>764.84</v>
      </c>
      <c r="E54" s="20" t="n">
        <f aca="false">IF(C54=0,0,D54/C54)</f>
        <v>4.78025</v>
      </c>
      <c r="F54" s="19" t="n">
        <f aca="false">COUNTIFS('Transformed Data'!$E$5:$E$504,$A54,'Transformed Data'!$K$5:$K$504,"Completed")/B54</f>
        <v>0.701863354037267</v>
      </c>
    </row>
    <row r="55" customFormat="false" ht="15" hidden="false" customHeight="true" outlineLevel="0" collapsed="false">
      <c r="A55" s="17" t="s">
        <v>52</v>
      </c>
      <c r="B55" s="18" t="n">
        <f aca="false">COUNTIFS('Transformed Data'!$E$5:$E$504,$A55)</f>
        <v>172</v>
      </c>
      <c r="C55" s="18" t="n">
        <f aca="false">SUMPRODUCT(('Transformed Data'!$E$5:$E$504=$A55)/COUNTIFS('Transformed Data'!$B$5:$B$504,'Transformed Data'!$B$5:$B$504,'Transformed Data'!$E$5:$E$504,'Transformed Data'!$E$5:$E$504))</f>
        <v>172</v>
      </c>
      <c r="D55" s="20" t="n">
        <f aca="false">SUMIFS('Transformed Data'!$I$5:$I$504,'Transformed Data'!$E$5:$E$504,$A55)</f>
        <v>1017.64</v>
      </c>
      <c r="E55" s="20" t="n">
        <f aca="false">IF(C55=0,0,D55/C55)</f>
        <v>5.91651162790698</v>
      </c>
      <c r="F55" s="19" t="n">
        <f aca="false">COUNTIFS('Transformed Data'!$E$5:$E$504,$A55,'Transformed Data'!$K$5:$K$504,"Completed")/B55</f>
        <v>0.732558139534884</v>
      </c>
    </row>
    <row r="57" customFormat="false" ht="15" hidden="false" customHeight="true" outlineLevel="0" collapsed="false">
      <c r="A57" s="15" t="s">
        <v>53</v>
      </c>
    </row>
    <row r="58" customFormat="false" ht="15" hidden="false" customHeight="true" outlineLevel="0" collapsed="false">
      <c r="A58" s="16" t="s">
        <v>2</v>
      </c>
      <c r="B58" s="16" t="s">
        <v>48</v>
      </c>
      <c r="C58" s="16" t="s">
        <v>11</v>
      </c>
      <c r="D58" s="16" t="s">
        <v>54</v>
      </c>
    </row>
    <row r="59" customFormat="false" ht="15" hidden="false" customHeight="true" outlineLevel="0" collapsed="false">
      <c r="A59" s="17" t="s">
        <v>55</v>
      </c>
      <c r="B59" s="18" t="n">
        <f aca="false">COUNTIFS('Transformed Data'!$F$5:$F$504,$A59)</f>
        <v>75</v>
      </c>
      <c r="C59" s="20" t="n">
        <f aca="false">SUMIFS('Transformed Data'!$I$5:$I$504,'Transformed Data'!$F$5:$F$504,$A59)</f>
        <v>241.36</v>
      </c>
      <c r="D59" s="21" t="n">
        <f aca="false">AVERAGEIFS('Transformed Data'!$H$5:$H$504,'Transformed Data'!$F$5:$F$504,$A59)</f>
        <v>90.08</v>
      </c>
    </row>
    <row r="60" customFormat="false" ht="15" hidden="false" customHeight="true" outlineLevel="0" collapsed="false">
      <c r="A60" s="17" t="s">
        <v>56</v>
      </c>
      <c r="B60" s="18" t="n">
        <f aca="false">COUNTIFS('Transformed Data'!$F$5:$F$504,$A60)</f>
        <v>80</v>
      </c>
      <c r="C60" s="20" t="n">
        <f aca="false">SUMIFS('Transformed Data'!$I$5:$I$504,'Transformed Data'!$F$5:$F$504,$A60)</f>
        <v>464.24</v>
      </c>
      <c r="D60" s="21" t="n">
        <f aca="false">AVERAGEIFS('Transformed Data'!$H$5:$H$504,'Transformed Data'!$F$5:$F$504,$A60)</f>
        <v>95.6375</v>
      </c>
    </row>
    <row r="61" customFormat="false" ht="15" hidden="false" customHeight="true" outlineLevel="0" collapsed="false">
      <c r="A61" s="17" t="s">
        <v>57</v>
      </c>
      <c r="B61" s="18" t="n">
        <f aca="false">COUNTIFS('Transformed Data'!$F$5:$F$504,$A61)</f>
        <v>96</v>
      </c>
      <c r="C61" s="20" t="n">
        <f aca="false">SUMIFS('Transformed Data'!$I$5:$I$504,'Transformed Data'!$F$5:$F$504,$A61)</f>
        <v>618.43</v>
      </c>
      <c r="D61" s="21" t="n">
        <f aca="false">AVERAGEIFS('Transformed Data'!$H$5:$H$504,'Transformed Data'!$F$5:$F$504,$A61)</f>
        <v>88.6979166666667</v>
      </c>
    </row>
    <row r="62" customFormat="false" ht="15" hidden="false" customHeight="true" outlineLevel="0" collapsed="false">
      <c r="A62" s="17" t="s">
        <v>58</v>
      </c>
      <c r="B62" s="18" t="n">
        <f aca="false">COUNTIFS('Transformed Data'!$F$5:$F$504,$A62)</f>
        <v>76</v>
      </c>
      <c r="C62" s="20" t="n">
        <f aca="false">SUMIFS('Transformed Data'!$I$5:$I$504,'Transformed Data'!$F$5:$F$504,$A62)</f>
        <v>431.67</v>
      </c>
      <c r="D62" s="21" t="n">
        <f aca="false">AVERAGEIFS('Transformed Data'!$H$5:$H$504,'Transformed Data'!$F$5:$F$504,$A62)</f>
        <v>91.8552631578947</v>
      </c>
    </row>
    <row r="63" customFormat="false" ht="15" hidden="false" customHeight="true" outlineLevel="0" collapsed="false">
      <c r="A63" s="17" t="s">
        <v>59</v>
      </c>
      <c r="B63" s="18" t="n">
        <f aca="false">COUNTIFS('Transformed Data'!$F$5:$F$504,$A63)</f>
        <v>80</v>
      </c>
      <c r="C63" s="20" t="n">
        <f aca="false">SUMIFS('Transformed Data'!$I$5:$I$504,'Transformed Data'!$F$5:$F$504,$A63)</f>
        <v>362.78</v>
      </c>
      <c r="D63" s="21" t="n">
        <f aca="false">AVERAGEIFS('Transformed Data'!$H$5:$H$504,'Transformed Data'!$F$5:$F$504,$A63)</f>
        <v>93.675</v>
      </c>
    </row>
    <row r="64" customFormat="false" ht="15" hidden="false" customHeight="true" outlineLevel="0" collapsed="false">
      <c r="A64" s="17" t="s">
        <v>60</v>
      </c>
      <c r="B64" s="18" t="n">
        <f aca="false">COUNTIFS('Transformed Data'!$F$5:$F$504,$A64)</f>
        <v>93</v>
      </c>
      <c r="C64" s="20" t="n">
        <f aca="false">SUMIFS('Transformed Data'!$I$5:$I$504,'Transformed Data'!$F$5:$F$504,$A64)</f>
        <v>512.79</v>
      </c>
      <c r="D64" s="21" t="n">
        <f aca="false">AVERAGEIFS('Transformed Data'!$H$5:$H$504,'Transformed Data'!$F$5:$F$504,$A64)</f>
        <v>85.1935483870968</v>
      </c>
    </row>
    <row r="66" customFormat="false" ht="15" hidden="false" customHeight="true" outlineLevel="0" collapsed="false">
      <c r="A66" s="15" t="s">
        <v>61</v>
      </c>
    </row>
    <row r="67" customFormat="false" ht="15" hidden="false" customHeight="true" outlineLevel="0" collapsed="false">
      <c r="A67" s="16" t="s">
        <v>62</v>
      </c>
      <c r="B67" s="16" t="s">
        <v>63</v>
      </c>
      <c r="C67" s="16" t="s">
        <v>32</v>
      </c>
    </row>
    <row r="68" customFormat="false" ht="15" hidden="false" customHeight="true" outlineLevel="0" collapsed="false">
      <c r="A68" s="17" t="s">
        <v>64</v>
      </c>
      <c r="B68" s="18" t="n">
        <f aca="false">COUNTIFS('Transformed Data'!$K$5:$K$504,$A68)</f>
        <v>360</v>
      </c>
      <c r="C68" s="19" t="n">
        <f aca="false">B68/500</f>
        <v>0.72</v>
      </c>
    </row>
    <row r="69" customFormat="false" ht="15" hidden="false" customHeight="true" outlineLevel="0" collapsed="false">
      <c r="A69" s="17" t="s">
        <v>65</v>
      </c>
      <c r="B69" s="18" t="n">
        <f aca="false">COUNTIFS('Transformed Data'!$K$5:$K$504,$A69)</f>
        <v>43</v>
      </c>
      <c r="C69" s="19" t="n">
        <f aca="false">B69/500</f>
        <v>0.086</v>
      </c>
    </row>
    <row r="70" customFormat="false" ht="15" hidden="false" customHeight="true" outlineLevel="0" collapsed="false">
      <c r="A70" s="17" t="s">
        <v>66</v>
      </c>
      <c r="B70" s="18" t="n">
        <f aca="false">COUNTIFS('Transformed Data'!$K$5:$K$504,$A70)</f>
        <v>52</v>
      </c>
      <c r="C70" s="19" t="n">
        <f aca="false">B70/500</f>
        <v>0.104</v>
      </c>
    </row>
    <row r="71" customFormat="false" ht="15" hidden="false" customHeight="true" outlineLevel="0" collapsed="false">
      <c r="A71" s="17" t="s">
        <v>67</v>
      </c>
      <c r="B71" s="18" t="n">
        <f aca="false">COUNTIFS('Transformed Data'!$K$5:$K$504,$A71)</f>
        <v>45</v>
      </c>
      <c r="C71" s="19" t="n">
        <f aca="false">B71/500</f>
        <v>0.09</v>
      </c>
    </row>
    <row r="73" customFormat="false" ht="15" hidden="false" customHeight="true" outlineLevel="0" collapsed="false">
      <c r="A73" s="15" t="s">
        <v>68</v>
      </c>
    </row>
    <row r="74" customFormat="false" ht="15" hidden="false" customHeight="true" outlineLevel="0" collapsed="false">
      <c r="A74" s="16" t="s">
        <v>6</v>
      </c>
      <c r="B74" s="16" t="s">
        <v>48</v>
      </c>
      <c r="C74" s="16" t="s">
        <v>11</v>
      </c>
      <c r="D74" s="16" t="s">
        <v>12</v>
      </c>
    </row>
    <row r="75" customFormat="false" ht="15" hidden="false" customHeight="true" outlineLevel="0" collapsed="false">
      <c r="A75" s="17" t="s">
        <v>69</v>
      </c>
      <c r="B75" s="18" t="n">
        <f aca="false">COUNTIFS('Transformed Data'!$L$5:$L$504,$A75)</f>
        <v>352</v>
      </c>
      <c r="C75" s="20" t="n">
        <f aca="false">SUMIFS('Transformed Data'!$I$5:$I$504,'Transformed Data'!$L$5:$L$504,$A75)</f>
        <v>0</v>
      </c>
      <c r="D75" s="20" t="n">
        <f aca="false">IF(B75=0,0,C75/B75)</f>
        <v>0</v>
      </c>
    </row>
    <row r="76" customFormat="false" ht="15" hidden="false" customHeight="true" outlineLevel="0" collapsed="false">
      <c r="A76" s="17" t="s">
        <v>70</v>
      </c>
      <c r="B76" s="18" t="n">
        <f aca="false">COUNTIFS('Transformed Data'!$L$5:$L$504,$A76)</f>
        <v>148</v>
      </c>
      <c r="C76" s="20" t="n">
        <f aca="false">SUMIFS('Transformed Data'!$I$5:$I$504,'Transformed Data'!$L$5:$L$504,$A76)</f>
        <v>2631.27</v>
      </c>
      <c r="D76" s="20" t="n">
        <f aca="false">IF(B76=0,0,C76/B76)</f>
        <v>17.7788513513514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R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8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2" min="12" style="1" width="13"/>
    <col collapsed="false" customWidth="true" hidden="false" outlineLevel="0" max="14" min="13" style="1" width="15"/>
    <col collapsed="false" customWidth="true" hidden="false" outlineLevel="0" max="15" min="15" style="1" width="12"/>
    <col collapsed="false" customWidth="true" hidden="false" outlineLevel="0" max="17" min="16" style="1" width="15"/>
    <col collapsed="false" customWidth="true" hidden="false" outlineLevel="0" max="18" min="18" style="1" width="17"/>
  </cols>
  <sheetData>
    <row r="1" customFormat="false" ht="17.25" hidden="false" customHeight="true" outlineLevel="0" collapsed="false">
      <c r="A1" s="13" t="s">
        <v>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customFormat="false" ht="15" hidden="false" customHeight="true" outlineLevel="0" collapsed="false">
      <c r="A2" s="14" t="s">
        <v>72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4" customFormat="false" ht="15" hidden="false" customHeight="true" outlineLevel="0" collapsed="false">
      <c r="A4" s="22" t="s">
        <v>73</v>
      </c>
      <c r="B4" s="22" t="s">
        <v>74</v>
      </c>
      <c r="C4" s="22" t="s">
        <v>75</v>
      </c>
      <c r="D4" s="22" t="s">
        <v>4</v>
      </c>
      <c r="E4" s="22" t="s">
        <v>3</v>
      </c>
      <c r="F4" s="22" t="s">
        <v>2</v>
      </c>
      <c r="G4" s="22" t="s">
        <v>76</v>
      </c>
      <c r="H4" s="22" t="s">
        <v>77</v>
      </c>
      <c r="I4" s="22" t="s">
        <v>78</v>
      </c>
      <c r="J4" s="22" t="s">
        <v>5</v>
      </c>
      <c r="K4" s="22" t="s">
        <v>62</v>
      </c>
      <c r="L4" s="22" t="s">
        <v>6</v>
      </c>
      <c r="M4" s="22" t="s">
        <v>79</v>
      </c>
      <c r="N4" s="22" t="s">
        <v>80</v>
      </c>
      <c r="O4" s="22" t="s">
        <v>7</v>
      </c>
      <c r="P4" s="22" t="s">
        <v>30</v>
      </c>
      <c r="Q4" s="22" t="s">
        <v>37</v>
      </c>
      <c r="R4" s="22" t="s">
        <v>81</v>
      </c>
    </row>
    <row r="5" customFormat="false" ht="15" hidden="false" customHeight="true" outlineLevel="0" collapsed="false">
      <c r="A5" s="1" t="str">
        <f aca="false">'Cleaned Data'!A5</f>
        <v>S00001</v>
      </c>
      <c r="B5" s="1" t="str">
        <f aca="false">'Cleaned Data'!B5</f>
        <v>P3652</v>
      </c>
      <c r="C5" s="1" t="str">
        <f aca="false">'Cleaned Data'!C5</f>
        <v>harrisrichard</v>
      </c>
      <c r="D5" s="1" t="str">
        <f aca="false">'Cleaned Data'!D5</f>
        <v>BattleZone</v>
      </c>
      <c r="E5" s="1" t="str">
        <f aca="false">'Cleaned Data'!E5</f>
        <v>Console</v>
      </c>
      <c r="F5" s="1" t="str">
        <f aca="false">'Cleaned Data'!F5</f>
        <v>East</v>
      </c>
      <c r="G5" s="23" t="n">
        <f aca="false">'Cleaned Data'!G5</f>
        <v>45696</v>
      </c>
      <c r="H5" s="1" t="n">
        <f aca="false">'Cleaned Data'!H5</f>
        <v>179</v>
      </c>
      <c r="I5" s="24" t="n">
        <f aca="false">'Cleaned Data'!I5</f>
        <v>0</v>
      </c>
      <c r="J5" s="1" t="str">
        <f aca="false">'Cleaned Data'!J5</f>
        <v>None</v>
      </c>
      <c r="K5" s="1" t="str">
        <f aca="false">'Cleaned Data'!K5</f>
        <v>Completed</v>
      </c>
      <c r="L5" s="1" t="str">
        <f aca="false">'Cleaned Data'!L5</f>
        <v>Free</v>
      </c>
      <c r="M5" s="1" t="n">
        <f aca="false">'Cleaned Data'!M5</f>
        <v>42</v>
      </c>
      <c r="N5" s="1" t="str">
        <f aca="false">'Cleaned Data'!N5</f>
        <v>Yes</v>
      </c>
      <c r="O5" s="1" t="str">
        <f aca="false">TEXT(G5,"yyyy-mm")</f>
        <v>2025-02</v>
      </c>
      <c r="P5" s="1" t="str">
        <f aca="false">IF(H5&lt;20,"Low",IF(H5&lt;=60,"Medium","High"))</f>
        <v>High</v>
      </c>
      <c r="Q5" s="1" t="str">
        <f aca="false">IF(I5&gt;0,"Yes","No")</f>
        <v>No</v>
      </c>
      <c r="R5" s="1" t="n">
        <f aca="false">IF(N5="Yes",1,0)</f>
        <v>1</v>
      </c>
    </row>
    <row r="6" customFormat="false" ht="15" hidden="false" customHeight="true" outlineLevel="0" collapsed="false">
      <c r="A6" s="1" t="str">
        <f aca="false">'Cleaned Data'!A6</f>
        <v>S00002</v>
      </c>
      <c r="B6" s="1" t="str">
        <f aca="false">'Cleaned Data'!B6</f>
        <v>P9981</v>
      </c>
      <c r="C6" s="1" t="str">
        <f aca="false">'Cleaned Data'!C6</f>
        <v>wlee</v>
      </c>
      <c r="D6" s="1" t="str">
        <f aca="false">'Cleaned Data'!D6</f>
        <v>Zombie Rush</v>
      </c>
      <c r="E6" s="1" t="str">
        <f aca="false">'Cleaned Data'!E6</f>
        <v>Mobile</v>
      </c>
      <c r="F6" s="1" t="str">
        <f aca="false">'Cleaned Data'!F6</f>
        <v>Central</v>
      </c>
      <c r="G6" s="23" t="n">
        <f aca="false">'Cleaned Data'!G6</f>
        <v>45642</v>
      </c>
      <c r="H6" s="1" t="n">
        <f aca="false">'Cleaned Data'!H6</f>
        <v>75</v>
      </c>
      <c r="I6" s="24" t="n">
        <f aca="false">'Cleaned Data'!I6</f>
        <v>26.02</v>
      </c>
      <c r="J6" s="1" t="str">
        <f aca="false">'Cleaned Data'!J6</f>
        <v>Boosters</v>
      </c>
      <c r="K6" s="1" t="str">
        <f aca="false">'Cleaned Data'!K6</f>
        <v>Completed</v>
      </c>
      <c r="L6" s="1" t="str">
        <f aca="false">'Cleaned Data'!L6</f>
        <v>Paid</v>
      </c>
      <c r="M6" s="1" t="n">
        <f aca="false">'Cleaned Data'!M6</f>
        <v>11</v>
      </c>
      <c r="N6" s="1" t="str">
        <f aca="false">'Cleaned Data'!N6</f>
        <v>No</v>
      </c>
      <c r="O6" s="1" t="str">
        <f aca="false">TEXT(G6,"yyyy-mm")</f>
        <v>2024-12</v>
      </c>
      <c r="P6" s="1" t="str">
        <f aca="false">IF(H6&lt;20,"Low",IF(H6&lt;=60,"Medium","High"))</f>
        <v>High</v>
      </c>
      <c r="Q6" s="1" t="str">
        <f aca="false">IF(I6&gt;0,"Yes","No")</f>
        <v>Yes</v>
      </c>
      <c r="R6" s="1" t="n">
        <f aca="false">IF(N6="Yes",1,0)</f>
        <v>0</v>
      </c>
    </row>
    <row r="7" customFormat="false" ht="15" hidden="false" customHeight="true" outlineLevel="0" collapsed="false">
      <c r="A7" s="1" t="str">
        <f aca="false">'Cleaned Data'!A7</f>
        <v>S00003</v>
      </c>
      <c r="B7" s="1" t="str">
        <f aca="false">'Cleaned Data'!B7</f>
        <v>P5280</v>
      </c>
      <c r="C7" s="1" t="str">
        <f aca="false">'Cleaned Data'!C7</f>
        <v>katie47</v>
      </c>
      <c r="D7" s="1" t="str">
        <f aca="false">'Cleaned Data'!D7</f>
        <v>SpeedX</v>
      </c>
      <c r="E7" s="1" t="str">
        <f aca="false">'Cleaned Data'!E7</f>
        <v>Console</v>
      </c>
      <c r="F7" s="1" t="str">
        <f aca="false">'Cleaned Data'!F7</f>
        <v>East</v>
      </c>
      <c r="G7" s="23" t="n">
        <f aca="false">'Cleaned Data'!G7</f>
        <v>45643</v>
      </c>
      <c r="H7" s="1" t="n">
        <f aca="false">'Cleaned Data'!H7</f>
        <v>36</v>
      </c>
      <c r="I7" s="24" t="n">
        <f aca="false">'Cleaned Data'!I7</f>
        <v>2.94</v>
      </c>
      <c r="J7" s="1" t="str">
        <f aca="false">'Cleaned Data'!J7</f>
        <v>Subscriptions</v>
      </c>
      <c r="K7" s="1" t="str">
        <f aca="false">'Cleaned Data'!K7</f>
        <v>Completed</v>
      </c>
      <c r="L7" s="1" t="str">
        <f aca="false">'Cleaned Data'!L7</f>
        <v>Paid</v>
      </c>
      <c r="M7" s="1" t="n">
        <f aca="false">'Cleaned Data'!M7</f>
        <v>4</v>
      </c>
      <c r="N7" s="1" t="str">
        <f aca="false">'Cleaned Data'!N7</f>
        <v>No</v>
      </c>
      <c r="O7" s="1" t="str">
        <f aca="false">TEXT(G7,"yyyy-mm")</f>
        <v>2024-12</v>
      </c>
      <c r="P7" s="1" t="str">
        <f aca="false">IF(H7&lt;20,"Low",IF(H7&lt;=60,"Medium","High"))</f>
        <v>Medium</v>
      </c>
      <c r="Q7" s="1" t="str">
        <f aca="false">IF(I7&gt;0,"Yes","No")</f>
        <v>Yes</v>
      </c>
      <c r="R7" s="1" t="n">
        <f aca="false">IF(N7="Yes",1,0)</f>
        <v>0</v>
      </c>
    </row>
    <row r="8" customFormat="false" ht="15" hidden="false" customHeight="true" outlineLevel="0" collapsed="false">
      <c r="A8" s="1" t="str">
        <f aca="false">'Cleaned Data'!A8</f>
        <v>S00004</v>
      </c>
      <c r="B8" s="1" t="str">
        <f aca="false">'Cleaned Data'!B8</f>
        <v>P2930</v>
      </c>
      <c r="C8" s="1" t="str">
        <f aca="false">'Cleaned Data'!C8</f>
        <v>isaac85</v>
      </c>
      <c r="D8" s="1" t="str">
        <f aca="false">'Cleaned Data'!D8</f>
        <v>Clash of Realms</v>
      </c>
      <c r="E8" s="1" t="str">
        <f aca="false">'Cleaned Data'!E8</f>
        <v>Mobile</v>
      </c>
      <c r="F8" s="1" t="str">
        <f aca="false">'Cleaned Data'!F8</f>
        <v>Central</v>
      </c>
      <c r="G8" s="23" t="n">
        <f aca="false">'Cleaned Data'!G8</f>
        <v>45820</v>
      </c>
      <c r="H8" s="1" t="n">
        <f aca="false">'Cleaned Data'!H8</f>
        <v>153</v>
      </c>
      <c r="I8" s="24" t="n">
        <f aca="false">'Cleaned Data'!I8</f>
        <v>0</v>
      </c>
      <c r="J8" s="1" t="str">
        <f aca="false">'Cleaned Data'!J8</f>
        <v>None</v>
      </c>
      <c r="K8" s="1" t="str">
        <f aca="false">'Cleaned Data'!K8</f>
        <v>Completed</v>
      </c>
      <c r="L8" s="1" t="str">
        <f aca="false">'Cleaned Data'!L8</f>
        <v>Free</v>
      </c>
      <c r="M8" s="1" t="n">
        <f aca="false">'Cleaned Data'!M8</f>
        <v>18</v>
      </c>
      <c r="N8" s="1" t="str">
        <f aca="false">'Cleaned Data'!N8</f>
        <v>Yes</v>
      </c>
      <c r="O8" s="1" t="str">
        <f aca="false">TEXT(G8,"yyyy-mm")</f>
        <v>2025-06</v>
      </c>
      <c r="P8" s="1" t="str">
        <f aca="false">IF(H8&lt;20,"Low",IF(H8&lt;=60,"Medium","High"))</f>
        <v>High</v>
      </c>
      <c r="Q8" s="1" t="str">
        <f aca="false">IF(I8&gt;0,"Yes","No")</f>
        <v>No</v>
      </c>
      <c r="R8" s="1" t="n">
        <f aca="false">IF(N8="Yes",1,0)</f>
        <v>1</v>
      </c>
    </row>
    <row r="9" customFormat="false" ht="15" hidden="false" customHeight="true" outlineLevel="0" collapsed="false">
      <c r="A9" s="1" t="str">
        <f aca="false">'Cleaned Data'!A9</f>
        <v>S00005</v>
      </c>
      <c r="B9" s="1" t="str">
        <f aca="false">'Cleaned Data'!B9</f>
        <v>P7925</v>
      </c>
      <c r="C9" s="1" t="str">
        <f aca="false">'Cleaned Data'!C9</f>
        <v>ballarddouglas</v>
      </c>
      <c r="D9" s="1" t="str">
        <f aca="false">'Cleaned Data'!D9</f>
        <v>Zombie Rush</v>
      </c>
      <c r="E9" s="1" t="str">
        <f aca="false">'Cleaned Data'!E9</f>
        <v>Mobile</v>
      </c>
      <c r="F9" s="1" t="str">
        <f aca="false">'Cleaned Data'!F9</f>
        <v>North</v>
      </c>
      <c r="G9" s="23" t="n">
        <f aca="false">'Cleaned Data'!G9</f>
        <v>45798</v>
      </c>
      <c r="H9" s="1" t="n">
        <f aca="false">'Cleaned Data'!H9</f>
        <v>109</v>
      </c>
      <c r="I9" s="24" t="n">
        <f aca="false">'Cleaned Data'!I9</f>
        <v>5.48</v>
      </c>
      <c r="J9" s="1" t="str">
        <f aca="false">'Cleaned Data'!J9</f>
        <v>Boosters</v>
      </c>
      <c r="K9" s="1" t="str">
        <f aca="false">'Cleaned Data'!K9</f>
        <v>Crashed</v>
      </c>
      <c r="L9" s="1" t="str">
        <f aca="false">'Cleaned Data'!L9</f>
        <v>Paid</v>
      </c>
      <c r="M9" s="1" t="n">
        <f aca="false">'Cleaned Data'!M9</f>
        <v>5</v>
      </c>
      <c r="N9" s="1" t="str">
        <f aca="false">'Cleaned Data'!N9</f>
        <v>No</v>
      </c>
      <c r="O9" s="1" t="str">
        <f aca="false">TEXT(G9,"yyyy-mm")</f>
        <v>2025-05</v>
      </c>
      <c r="P9" s="1" t="str">
        <f aca="false">IF(H9&lt;20,"Low",IF(H9&lt;=60,"Medium","High"))</f>
        <v>High</v>
      </c>
      <c r="Q9" s="1" t="str">
        <f aca="false">IF(I9&gt;0,"Yes","No")</f>
        <v>Yes</v>
      </c>
      <c r="R9" s="1" t="n">
        <f aca="false">IF(N9="Yes",1,0)</f>
        <v>0</v>
      </c>
    </row>
    <row r="10" customFormat="false" ht="15" hidden="false" customHeight="true" outlineLevel="0" collapsed="false">
      <c r="A10" s="1" t="str">
        <f aca="false">'Cleaned Data'!A10</f>
        <v>S00006</v>
      </c>
      <c r="B10" s="1" t="str">
        <f aca="false">'Cleaned Data'!B10</f>
        <v>P9919</v>
      </c>
      <c r="C10" s="1" t="str">
        <f aca="false">'Cleaned Data'!C10</f>
        <v>lrichardson</v>
      </c>
      <c r="D10" s="1" t="str">
        <f aca="false">'Cleaned Data'!D10</f>
        <v>Zombie Rush</v>
      </c>
      <c r="E10" s="1" t="str">
        <f aca="false">'Cleaned Data'!E10</f>
        <v>Mobile</v>
      </c>
      <c r="F10" s="1" t="str">
        <f aca="false">'Cleaned Data'!F10</f>
        <v>North</v>
      </c>
      <c r="G10" s="23" t="n">
        <f aca="false">'Cleaned Data'!G10</f>
        <v>45743</v>
      </c>
      <c r="H10" s="1" t="n">
        <f aca="false">'Cleaned Data'!H10</f>
        <v>46</v>
      </c>
      <c r="I10" s="24" t="n">
        <f aca="false">'Cleaned Data'!I10</f>
        <v>0</v>
      </c>
      <c r="J10" s="1" t="str">
        <f aca="false">'Cleaned Data'!J10</f>
        <v>None</v>
      </c>
      <c r="K10" s="1" t="str">
        <f aca="false">'Cleaned Data'!K10</f>
        <v>Crashed</v>
      </c>
      <c r="L10" s="1" t="str">
        <f aca="false">'Cleaned Data'!L10</f>
        <v>Free</v>
      </c>
      <c r="M10" s="1" t="n">
        <f aca="false">'Cleaned Data'!M10</f>
        <v>39</v>
      </c>
      <c r="N10" s="1" t="str">
        <f aca="false">'Cleaned Data'!N10</f>
        <v>No</v>
      </c>
      <c r="O10" s="1" t="str">
        <f aca="false">TEXT(G10,"yyyy-mm")</f>
        <v>2025-03</v>
      </c>
      <c r="P10" s="1" t="str">
        <f aca="false">IF(H10&lt;20,"Low",IF(H10&lt;=60,"Medium","High"))</f>
        <v>Medium</v>
      </c>
      <c r="Q10" s="1" t="str">
        <f aca="false">IF(I10&gt;0,"Yes","No")</f>
        <v>No</v>
      </c>
      <c r="R10" s="1" t="n">
        <f aca="false">IF(N10="Yes",1,0)</f>
        <v>0</v>
      </c>
    </row>
    <row r="11" customFormat="false" ht="15" hidden="false" customHeight="true" outlineLevel="0" collapsed="false">
      <c r="A11" s="1" t="str">
        <f aca="false">'Cleaned Data'!A11</f>
        <v>S00007</v>
      </c>
      <c r="B11" s="1" t="str">
        <f aca="false">'Cleaned Data'!B11</f>
        <v>P7231</v>
      </c>
      <c r="C11" s="1" t="str">
        <f aca="false">'Cleaned Data'!C11</f>
        <v>holmesbruce</v>
      </c>
      <c r="D11" s="1" t="str">
        <f aca="false">'Cleaned Data'!D11</f>
        <v>Clash of Realms</v>
      </c>
      <c r="E11" s="1" t="str">
        <f aca="false">'Cleaned Data'!E11</f>
        <v>Console</v>
      </c>
      <c r="F11" s="1" t="str">
        <f aca="false">'Cleaned Data'!F11</f>
        <v>North-East</v>
      </c>
      <c r="G11" s="23" t="n">
        <f aca="false">'Cleaned Data'!G11</f>
        <v>45759</v>
      </c>
      <c r="H11" s="1" t="n">
        <f aca="false">'Cleaned Data'!H11</f>
        <v>134</v>
      </c>
      <c r="I11" s="24" t="n">
        <f aca="false">'Cleaned Data'!I11</f>
        <v>42.57</v>
      </c>
      <c r="J11" s="1" t="str">
        <f aca="false">'Cleaned Data'!J11</f>
        <v>Battle Pass</v>
      </c>
      <c r="K11" s="1" t="str">
        <f aca="false">'Cleaned Data'!K11</f>
        <v>Exited Early</v>
      </c>
      <c r="L11" s="1" t="str">
        <f aca="false">'Cleaned Data'!L11</f>
        <v>Paid</v>
      </c>
      <c r="M11" s="1" t="n">
        <f aca="false">'Cleaned Data'!M11</f>
        <v>40</v>
      </c>
      <c r="N11" s="1" t="str">
        <f aca="false">'Cleaned Data'!N11</f>
        <v>Yes</v>
      </c>
      <c r="O11" s="1" t="str">
        <f aca="false">TEXT(G11,"yyyy-mm")</f>
        <v>2025-04</v>
      </c>
      <c r="P11" s="1" t="str">
        <f aca="false">IF(H11&lt;20,"Low",IF(H11&lt;=60,"Medium","High"))</f>
        <v>High</v>
      </c>
      <c r="Q11" s="1" t="str">
        <f aca="false">IF(I11&gt;0,"Yes","No")</f>
        <v>Yes</v>
      </c>
      <c r="R11" s="1" t="n">
        <f aca="false">IF(N11="Yes",1,0)</f>
        <v>1</v>
      </c>
    </row>
    <row r="12" customFormat="false" ht="15" hidden="false" customHeight="true" outlineLevel="0" collapsed="false">
      <c r="A12" s="1" t="str">
        <f aca="false">'Cleaned Data'!A12</f>
        <v>S00008</v>
      </c>
      <c r="B12" s="1" t="str">
        <f aca="false">'Cleaned Data'!B12</f>
        <v>P5965</v>
      </c>
      <c r="C12" s="1" t="str">
        <f aca="false">'Cleaned Data'!C12</f>
        <v>lhansen</v>
      </c>
      <c r="D12" s="1" t="str">
        <f aca="false">'Cleaned Data'!D12</f>
        <v>BattleZone</v>
      </c>
      <c r="E12" s="1" t="str">
        <f aca="false">'Cleaned Data'!E12</f>
        <v>PC</v>
      </c>
      <c r="F12" s="1" t="str">
        <f aca="false">'Cleaned Data'!F12</f>
        <v>South</v>
      </c>
      <c r="G12" s="23" t="n">
        <f aca="false">'Cleaned Data'!G12</f>
        <v>45666</v>
      </c>
      <c r="H12" s="1" t="n">
        <f aca="false">'Cleaned Data'!H12</f>
        <v>38</v>
      </c>
      <c r="I12" s="24" t="n">
        <f aca="false">'Cleaned Data'!I12</f>
        <v>0</v>
      </c>
      <c r="J12" s="1" t="str">
        <f aca="false">'Cleaned Data'!J12</f>
        <v>None</v>
      </c>
      <c r="K12" s="1" t="str">
        <f aca="false">'Cleaned Data'!K12</f>
        <v>Exited Early</v>
      </c>
      <c r="L12" s="1" t="str">
        <f aca="false">'Cleaned Data'!L12</f>
        <v>Free</v>
      </c>
      <c r="M12" s="1" t="n">
        <f aca="false">'Cleaned Data'!M12</f>
        <v>14</v>
      </c>
      <c r="N12" s="1" t="str">
        <f aca="false">'Cleaned Data'!N12</f>
        <v>No</v>
      </c>
      <c r="O12" s="1" t="str">
        <f aca="false">TEXT(G12,"yyyy-mm")</f>
        <v>2025-01</v>
      </c>
      <c r="P12" s="1" t="str">
        <f aca="false">IF(H12&lt;20,"Low",IF(H12&lt;=60,"Medium","High"))</f>
        <v>Medium</v>
      </c>
      <c r="Q12" s="1" t="str">
        <f aca="false">IF(I12&gt;0,"Yes","No")</f>
        <v>No</v>
      </c>
      <c r="R12" s="1" t="n">
        <f aca="false">IF(N12="Yes",1,0)</f>
        <v>0</v>
      </c>
    </row>
    <row r="13" customFormat="false" ht="15" hidden="false" customHeight="true" outlineLevel="0" collapsed="false">
      <c r="A13" s="1" t="str">
        <f aca="false">'Cleaned Data'!A13</f>
        <v>S00009</v>
      </c>
      <c r="B13" s="1" t="str">
        <f aca="false">'Cleaned Data'!B13</f>
        <v>P3834</v>
      </c>
      <c r="C13" s="1" t="str">
        <f aca="false">'Cleaned Data'!C13</f>
        <v>alexis47</v>
      </c>
      <c r="D13" s="1" t="str">
        <f aca="false">'Cleaned Data'!D13</f>
        <v>Clash of Realms</v>
      </c>
      <c r="E13" s="1" t="str">
        <f aca="false">'Cleaned Data'!E13</f>
        <v>PC</v>
      </c>
      <c r="F13" s="1" t="str">
        <f aca="false">'Cleaned Data'!F13</f>
        <v>East</v>
      </c>
      <c r="G13" s="23" t="n">
        <f aca="false">'Cleaned Data'!G13</f>
        <v>45695</v>
      </c>
      <c r="H13" s="1" t="n">
        <f aca="false">'Cleaned Data'!H13</f>
        <v>24</v>
      </c>
      <c r="I13" s="24" t="n">
        <f aca="false">'Cleaned Data'!I13</f>
        <v>0</v>
      </c>
      <c r="J13" s="1" t="str">
        <f aca="false">'Cleaned Data'!J13</f>
        <v>None</v>
      </c>
      <c r="K13" s="1" t="str">
        <f aca="false">'Cleaned Data'!K13</f>
        <v>Exited Early</v>
      </c>
      <c r="L13" s="1" t="str">
        <f aca="false">'Cleaned Data'!L13</f>
        <v>Free</v>
      </c>
      <c r="M13" s="1" t="n">
        <f aca="false">'Cleaned Data'!M13</f>
        <v>45</v>
      </c>
      <c r="N13" s="1" t="str">
        <f aca="false">'Cleaned Data'!N13</f>
        <v>No</v>
      </c>
      <c r="O13" s="1" t="str">
        <f aca="false">TEXT(G13,"yyyy-mm")</f>
        <v>2025-02</v>
      </c>
      <c r="P13" s="1" t="str">
        <f aca="false">IF(H13&lt;20,"Low",IF(H13&lt;=60,"Medium","High"))</f>
        <v>Medium</v>
      </c>
      <c r="Q13" s="1" t="str">
        <f aca="false">IF(I13&gt;0,"Yes","No")</f>
        <v>No</v>
      </c>
      <c r="R13" s="1" t="n">
        <f aca="false">IF(N13="Yes",1,0)</f>
        <v>0</v>
      </c>
    </row>
    <row r="14" customFormat="false" ht="15" hidden="false" customHeight="true" outlineLevel="0" collapsed="false">
      <c r="A14" s="1" t="str">
        <f aca="false">'Cleaned Data'!A14</f>
        <v>S00010</v>
      </c>
      <c r="B14" s="1" t="str">
        <f aca="false">'Cleaned Data'!B14</f>
        <v>P4220</v>
      </c>
      <c r="C14" s="1" t="str">
        <f aca="false">'Cleaned Data'!C14</f>
        <v>ryanmarshall</v>
      </c>
      <c r="D14" s="1" t="str">
        <f aca="false">'Cleaned Data'!D14</f>
        <v>Zombie Rush</v>
      </c>
      <c r="E14" s="1" t="str">
        <f aca="false">'Cleaned Data'!E14</f>
        <v>PC</v>
      </c>
      <c r="F14" s="1" t="str">
        <f aca="false">'Cleaned Data'!F14</f>
        <v>North</v>
      </c>
      <c r="G14" s="23" t="n">
        <f aca="false">'Cleaned Data'!G14</f>
        <v>45791</v>
      </c>
      <c r="H14" s="1" t="n">
        <f aca="false">'Cleaned Data'!H14</f>
        <v>138</v>
      </c>
      <c r="I14" s="24" t="n">
        <f aca="false">'Cleaned Data'!I14</f>
        <v>0</v>
      </c>
      <c r="J14" s="1" t="str">
        <f aca="false">'Cleaned Data'!J14</f>
        <v>None</v>
      </c>
      <c r="K14" s="1" t="str">
        <f aca="false">'Cleaned Data'!K14</f>
        <v>Exited Early</v>
      </c>
      <c r="L14" s="1" t="str">
        <f aca="false">'Cleaned Data'!L14</f>
        <v>Free</v>
      </c>
      <c r="M14" s="1" t="n">
        <f aca="false">'Cleaned Data'!M14</f>
        <v>48</v>
      </c>
      <c r="N14" s="1" t="str">
        <f aca="false">'Cleaned Data'!N14</f>
        <v>No</v>
      </c>
      <c r="O14" s="1" t="str">
        <f aca="false">TEXT(G14,"yyyy-mm")</f>
        <v>2025-05</v>
      </c>
      <c r="P14" s="1" t="str">
        <f aca="false">IF(H14&lt;20,"Low",IF(H14&lt;=60,"Medium","High"))</f>
        <v>High</v>
      </c>
      <c r="Q14" s="1" t="str">
        <f aca="false">IF(I14&gt;0,"Yes","No")</f>
        <v>No</v>
      </c>
      <c r="R14" s="1" t="n">
        <f aca="false">IF(N14="Yes",1,0)</f>
        <v>0</v>
      </c>
    </row>
    <row r="15" customFormat="false" ht="15" hidden="false" customHeight="true" outlineLevel="0" collapsed="false">
      <c r="A15" s="1" t="str">
        <f aca="false">'Cleaned Data'!A15</f>
        <v>S00011</v>
      </c>
      <c r="B15" s="1" t="str">
        <f aca="false">'Cleaned Data'!B15</f>
        <v>P1038</v>
      </c>
      <c r="C15" s="1" t="str">
        <f aca="false">'Cleaned Data'!C15</f>
        <v>alexandriaparrish</v>
      </c>
      <c r="D15" s="1" t="str">
        <f aca="false">'Cleaned Data'!D15</f>
        <v>SpeedX</v>
      </c>
      <c r="E15" s="1" t="str">
        <f aca="false">'Cleaned Data'!E15</f>
        <v>Console</v>
      </c>
      <c r="F15" s="1" t="str">
        <f aca="false">'Cleaned Data'!F15</f>
        <v>North</v>
      </c>
      <c r="G15" s="23" t="n">
        <f aca="false">'Cleaned Data'!G15</f>
        <v>45756</v>
      </c>
      <c r="H15" s="1" t="n">
        <f aca="false">'Cleaned Data'!H15</f>
        <v>26</v>
      </c>
      <c r="I15" s="24" t="n">
        <f aca="false">'Cleaned Data'!I15</f>
        <v>0</v>
      </c>
      <c r="J15" s="1" t="str">
        <f aca="false">'Cleaned Data'!J15</f>
        <v>None</v>
      </c>
      <c r="K15" s="1" t="str">
        <f aca="false">'Cleaned Data'!K15</f>
        <v>Crashed</v>
      </c>
      <c r="L15" s="1" t="str">
        <f aca="false">'Cleaned Data'!L15</f>
        <v>Free</v>
      </c>
      <c r="M15" s="1" t="n">
        <f aca="false">'Cleaned Data'!M15</f>
        <v>27</v>
      </c>
      <c r="N15" s="1" t="str">
        <f aca="false">'Cleaned Data'!N15</f>
        <v>No</v>
      </c>
      <c r="O15" s="1" t="str">
        <f aca="false">TEXT(G15,"yyyy-mm")</f>
        <v>2025-04</v>
      </c>
      <c r="P15" s="1" t="str">
        <f aca="false">IF(H15&lt;20,"Low",IF(H15&lt;=60,"Medium","High"))</f>
        <v>Medium</v>
      </c>
      <c r="Q15" s="1" t="str">
        <f aca="false">IF(I15&gt;0,"Yes","No")</f>
        <v>No</v>
      </c>
      <c r="R15" s="1" t="n">
        <f aca="false">IF(N15="Yes",1,0)</f>
        <v>0</v>
      </c>
    </row>
    <row r="16" customFormat="false" ht="15" hidden="false" customHeight="true" outlineLevel="0" collapsed="false">
      <c r="A16" s="1" t="str">
        <f aca="false">'Cleaned Data'!A16</f>
        <v>S00012</v>
      </c>
      <c r="B16" s="1" t="str">
        <f aca="false">'Cleaned Data'!B16</f>
        <v>P7407</v>
      </c>
      <c r="C16" s="1" t="str">
        <f aca="false">'Cleaned Data'!C16</f>
        <v>jacobhaynes</v>
      </c>
      <c r="D16" s="1" t="str">
        <f aca="false">'Cleaned Data'!D16</f>
        <v>Zombie Rush</v>
      </c>
      <c r="E16" s="1" t="str">
        <f aca="false">'Cleaned Data'!E16</f>
        <v>PC</v>
      </c>
      <c r="F16" s="1" t="str">
        <f aca="false">'Cleaned Data'!F16</f>
        <v>North</v>
      </c>
      <c r="G16" s="23" t="n">
        <f aca="false">'Cleaned Data'!G16</f>
        <v>45768</v>
      </c>
      <c r="H16" s="1" t="n">
        <f aca="false">'Cleaned Data'!H16</f>
        <v>142</v>
      </c>
      <c r="I16" s="24" t="n">
        <f aca="false">'Cleaned Data'!I16</f>
        <v>0</v>
      </c>
      <c r="J16" s="1" t="str">
        <f aca="false">'Cleaned Data'!J16</f>
        <v>None</v>
      </c>
      <c r="K16" s="1" t="str">
        <f aca="false">'Cleaned Data'!K16</f>
        <v>Completed</v>
      </c>
      <c r="L16" s="1" t="str">
        <f aca="false">'Cleaned Data'!L16</f>
        <v>Free</v>
      </c>
      <c r="M16" s="1" t="n">
        <f aca="false">'Cleaned Data'!M16</f>
        <v>23</v>
      </c>
      <c r="N16" s="1" t="str">
        <f aca="false">'Cleaned Data'!N16</f>
        <v>No</v>
      </c>
      <c r="O16" s="1" t="str">
        <f aca="false">TEXT(G16,"yyyy-mm")</f>
        <v>2025-04</v>
      </c>
      <c r="P16" s="1" t="str">
        <f aca="false">IF(H16&lt;20,"Low",IF(H16&lt;=60,"Medium","High"))</f>
        <v>High</v>
      </c>
      <c r="Q16" s="1" t="str">
        <f aca="false">IF(I16&gt;0,"Yes","No")</f>
        <v>No</v>
      </c>
      <c r="R16" s="1" t="n">
        <f aca="false">IF(N16="Yes",1,0)</f>
        <v>0</v>
      </c>
    </row>
    <row r="17" customFormat="false" ht="15" hidden="false" customHeight="true" outlineLevel="0" collapsed="false">
      <c r="A17" s="1" t="str">
        <f aca="false">'Cleaned Data'!A17</f>
        <v>S00013</v>
      </c>
      <c r="B17" s="1" t="str">
        <f aca="false">'Cleaned Data'!B17</f>
        <v>P4776</v>
      </c>
      <c r="C17" s="1" t="str">
        <f aca="false">'Cleaned Data'!C17</f>
        <v>xjoseph</v>
      </c>
      <c r="D17" s="1" t="str">
        <f aca="false">'Cleaned Data'!D17</f>
        <v>SpeedX</v>
      </c>
      <c r="E17" s="1" t="str">
        <f aca="false">'Cleaned Data'!E17</f>
        <v>Mobile</v>
      </c>
      <c r="F17" s="1" t="str">
        <f aca="false">'Cleaned Data'!F17</f>
        <v>South</v>
      </c>
      <c r="G17" s="23" t="n">
        <f aca="false">'Cleaned Data'!G17</f>
        <v>45724</v>
      </c>
      <c r="H17" s="1" t="n">
        <f aca="false">'Cleaned Data'!H17</f>
        <v>100</v>
      </c>
      <c r="I17" s="24" t="n">
        <f aca="false">'Cleaned Data'!I17</f>
        <v>0</v>
      </c>
      <c r="J17" s="1" t="str">
        <f aca="false">'Cleaned Data'!J17</f>
        <v>None</v>
      </c>
      <c r="K17" s="1" t="str">
        <f aca="false">'Cleaned Data'!K17</f>
        <v>Completed</v>
      </c>
      <c r="L17" s="1" t="str">
        <f aca="false">'Cleaned Data'!L17</f>
        <v>Free</v>
      </c>
      <c r="M17" s="1" t="n">
        <f aca="false">'Cleaned Data'!M17</f>
        <v>36</v>
      </c>
      <c r="N17" s="1" t="str">
        <f aca="false">'Cleaned Data'!N17</f>
        <v>No</v>
      </c>
      <c r="O17" s="1" t="str">
        <f aca="false">TEXT(G17,"yyyy-mm")</f>
        <v>2025-03</v>
      </c>
      <c r="P17" s="1" t="str">
        <f aca="false">IF(H17&lt;20,"Low",IF(H17&lt;=60,"Medium","High"))</f>
        <v>High</v>
      </c>
      <c r="Q17" s="1" t="str">
        <f aca="false">IF(I17&gt;0,"Yes","No")</f>
        <v>No</v>
      </c>
      <c r="R17" s="1" t="n">
        <f aca="false">IF(N17="Yes",1,0)</f>
        <v>0</v>
      </c>
    </row>
    <row r="18" customFormat="false" ht="15" hidden="false" customHeight="true" outlineLevel="0" collapsed="false">
      <c r="A18" s="1" t="str">
        <f aca="false">'Cleaned Data'!A18</f>
        <v>S00014</v>
      </c>
      <c r="B18" s="1" t="str">
        <f aca="false">'Cleaned Data'!B18</f>
        <v>P6935</v>
      </c>
      <c r="C18" s="1" t="str">
        <f aca="false">'Cleaned Data'!C18</f>
        <v>yjohnson</v>
      </c>
      <c r="D18" s="1" t="str">
        <f aca="false">'Cleaned Data'!D18</f>
        <v>BattleZone</v>
      </c>
      <c r="E18" s="1" t="str">
        <f aca="false">'Cleaned Data'!E18</f>
        <v>PC</v>
      </c>
      <c r="F18" s="1" t="str">
        <f aca="false">'Cleaned Data'!F18</f>
        <v>East</v>
      </c>
      <c r="G18" s="23" t="n">
        <f aca="false">'Cleaned Data'!G18</f>
        <v>45794</v>
      </c>
      <c r="H18" s="1" t="n">
        <f aca="false">'Cleaned Data'!H18</f>
        <v>78</v>
      </c>
      <c r="I18" s="24" t="n">
        <f aca="false">'Cleaned Data'!I18</f>
        <v>0</v>
      </c>
      <c r="J18" s="1" t="str">
        <f aca="false">'Cleaned Data'!J18</f>
        <v>None</v>
      </c>
      <c r="K18" s="1" t="str">
        <f aca="false">'Cleaned Data'!K18</f>
        <v>Completed</v>
      </c>
      <c r="L18" s="1" t="str">
        <f aca="false">'Cleaned Data'!L18</f>
        <v>Free</v>
      </c>
      <c r="M18" s="1" t="n">
        <f aca="false">'Cleaned Data'!M18</f>
        <v>35</v>
      </c>
      <c r="N18" s="1" t="str">
        <f aca="false">'Cleaned Data'!N18</f>
        <v>No</v>
      </c>
      <c r="O18" s="1" t="str">
        <f aca="false">TEXT(G18,"yyyy-mm")</f>
        <v>2025-05</v>
      </c>
      <c r="P18" s="1" t="str">
        <f aca="false">IF(H18&lt;20,"Low",IF(H18&lt;=60,"Medium","High"))</f>
        <v>High</v>
      </c>
      <c r="Q18" s="1" t="str">
        <f aca="false">IF(I18&gt;0,"Yes","No")</f>
        <v>No</v>
      </c>
      <c r="R18" s="1" t="n">
        <f aca="false">IF(N18="Yes",1,0)</f>
        <v>0</v>
      </c>
    </row>
    <row r="19" customFormat="false" ht="15" hidden="false" customHeight="true" outlineLevel="0" collapsed="false">
      <c r="A19" s="1" t="str">
        <f aca="false">'Cleaned Data'!A19</f>
        <v>S00015</v>
      </c>
      <c r="B19" s="1" t="str">
        <f aca="false">'Cleaned Data'!B19</f>
        <v>P9150</v>
      </c>
      <c r="C19" s="1" t="str">
        <f aca="false">'Cleaned Data'!C19</f>
        <v>lesliemiller</v>
      </c>
      <c r="D19" s="1" t="str">
        <f aca="false">'Cleaned Data'!D19</f>
        <v>Empire Wars</v>
      </c>
      <c r="E19" s="1" t="str">
        <f aca="false">'Cleaned Data'!E19</f>
        <v>PC</v>
      </c>
      <c r="F19" s="1" t="str">
        <f aca="false">'Cleaned Data'!F19</f>
        <v>West</v>
      </c>
      <c r="G19" s="23" t="n">
        <f aca="false">'Cleaned Data'!G19</f>
        <v>45719</v>
      </c>
      <c r="H19" s="1" t="n">
        <f aca="false">'Cleaned Data'!H19</f>
        <v>151</v>
      </c>
      <c r="I19" s="24" t="n">
        <f aca="false">'Cleaned Data'!I19</f>
        <v>0</v>
      </c>
      <c r="J19" s="1" t="str">
        <f aca="false">'Cleaned Data'!J19</f>
        <v>None</v>
      </c>
      <c r="K19" s="1" t="str">
        <f aca="false">'Cleaned Data'!K19</f>
        <v>Completed</v>
      </c>
      <c r="L19" s="1" t="str">
        <f aca="false">'Cleaned Data'!L19</f>
        <v>Free</v>
      </c>
      <c r="M19" s="1" t="n">
        <f aca="false">'Cleaned Data'!M19</f>
        <v>47</v>
      </c>
      <c r="N19" s="1" t="str">
        <f aca="false">'Cleaned Data'!N19</f>
        <v>Yes</v>
      </c>
      <c r="O19" s="1" t="str">
        <f aca="false">TEXT(G19,"yyyy-mm")</f>
        <v>2025-03</v>
      </c>
      <c r="P19" s="1" t="str">
        <f aca="false">IF(H19&lt;20,"Low",IF(H19&lt;=60,"Medium","High"))</f>
        <v>High</v>
      </c>
      <c r="Q19" s="1" t="str">
        <f aca="false">IF(I19&gt;0,"Yes","No")</f>
        <v>No</v>
      </c>
      <c r="R19" s="1" t="n">
        <f aca="false">IF(N19="Yes",1,0)</f>
        <v>1</v>
      </c>
    </row>
    <row r="20" customFormat="false" ht="15" hidden="false" customHeight="true" outlineLevel="0" collapsed="false">
      <c r="A20" s="1" t="str">
        <f aca="false">'Cleaned Data'!A20</f>
        <v>S00016</v>
      </c>
      <c r="B20" s="1" t="str">
        <f aca="false">'Cleaned Data'!B20</f>
        <v>P9796</v>
      </c>
      <c r="C20" s="1" t="str">
        <f aca="false">'Cleaned Data'!C20</f>
        <v>raynatalie</v>
      </c>
      <c r="D20" s="1" t="str">
        <f aca="false">'Cleaned Data'!D20</f>
        <v>BattleZone</v>
      </c>
      <c r="E20" s="1" t="str">
        <f aca="false">'Cleaned Data'!E20</f>
        <v>Mobile</v>
      </c>
      <c r="F20" s="1" t="str">
        <f aca="false">'Cleaned Data'!F20</f>
        <v>East</v>
      </c>
      <c r="G20" s="23" t="n">
        <f aca="false">'Cleaned Data'!G20</f>
        <v>45664</v>
      </c>
      <c r="H20" s="1" t="n">
        <f aca="false">'Cleaned Data'!H20</f>
        <v>163</v>
      </c>
      <c r="I20" s="24" t="n">
        <f aca="false">'Cleaned Data'!I20</f>
        <v>0</v>
      </c>
      <c r="J20" s="1" t="str">
        <f aca="false">'Cleaned Data'!J20</f>
        <v>None</v>
      </c>
      <c r="K20" s="1" t="str">
        <f aca="false">'Cleaned Data'!K20</f>
        <v>Completed</v>
      </c>
      <c r="L20" s="1" t="str">
        <f aca="false">'Cleaned Data'!L20</f>
        <v>Free</v>
      </c>
      <c r="M20" s="1" t="n">
        <f aca="false">'Cleaned Data'!M20</f>
        <v>50</v>
      </c>
      <c r="N20" s="1" t="str">
        <f aca="false">'Cleaned Data'!N20</f>
        <v>Yes</v>
      </c>
      <c r="O20" s="1" t="str">
        <f aca="false">TEXT(G20,"yyyy-mm")</f>
        <v>2025-01</v>
      </c>
      <c r="P20" s="1" t="str">
        <f aca="false">IF(H20&lt;20,"Low",IF(H20&lt;=60,"Medium","High"))</f>
        <v>High</v>
      </c>
      <c r="Q20" s="1" t="str">
        <f aca="false">IF(I20&gt;0,"Yes","No")</f>
        <v>No</v>
      </c>
      <c r="R20" s="1" t="n">
        <f aca="false">IF(N20="Yes",1,0)</f>
        <v>1</v>
      </c>
    </row>
    <row r="21" customFormat="false" ht="15" hidden="false" customHeight="true" outlineLevel="0" collapsed="false">
      <c r="A21" s="1" t="str">
        <f aca="false">'Cleaned Data'!A21</f>
        <v>S00017</v>
      </c>
      <c r="B21" s="1" t="str">
        <f aca="false">'Cleaned Data'!B21</f>
        <v>P5317</v>
      </c>
      <c r="C21" s="1" t="str">
        <f aca="false">'Cleaned Data'!C21</f>
        <v>xtaylor</v>
      </c>
      <c r="D21" s="1" t="str">
        <f aca="false">'Cleaned Data'!D21</f>
        <v>BattleZone</v>
      </c>
      <c r="E21" s="1" t="str">
        <f aca="false">'Cleaned Data'!E21</f>
        <v>PC</v>
      </c>
      <c r="F21" s="1" t="str">
        <f aca="false">'Cleaned Data'!F21</f>
        <v>East</v>
      </c>
      <c r="G21" s="23" t="n">
        <f aca="false">'Cleaned Data'!G21</f>
        <v>45681</v>
      </c>
      <c r="H21" s="1" t="n">
        <f aca="false">'Cleaned Data'!H21</f>
        <v>128</v>
      </c>
      <c r="I21" s="24" t="n">
        <f aca="false">'Cleaned Data'!I21</f>
        <v>0</v>
      </c>
      <c r="J21" s="1" t="str">
        <f aca="false">'Cleaned Data'!J21</f>
        <v>None</v>
      </c>
      <c r="K21" s="1" t="str">
        <f aca="false">'Cleaned Data'!K21</f>
        <v>Incomplete</v>
      </c>
      <c r="L21" s="1" t="str">
        <f aca="false">'Cleaned Data'!L21</f>
        <v>Free</v>
      </c>
      <c r="M21" s="1" t="n">
        <f aca="false">'Cleaned Data'!M21</f>
        <v>7</v>
      </c>
      <c r="N21" s="1" t="str">
        <f aca="false">'Cleaned Data'!N21</f>
        <v>No</v>
      </c>
      <c r="O21" s="1" t="str">
        <f aca="false">TEXT(G21,"yyyy-mm")</f>
        <v>2025-01</v>
      </c>
      <c r="P21" s="1" t="str">
        <f aca="false">IF(H21&lt;20,"Low",IF(H21&lt;=60,"Medium","High"))</f>
        <v>High</v>
      </c>
      <c r="Q21" s="1" t="str">
        <f aca="false">IF(I21&gt;0,"Yes","No")</f>
        <v>No</v>
      </c>
      <c r="R21" s="1" t="n">
        <f aca="false">IF(N21="Yes",1,0)</f>
        <v>0</v>
      </c>
    </row>
    <row r="22" customFormat="false" ht="15" hidden="false" customHeight="true" outlineLevel="0" collapsed="false">
      <c r="A22" s="1" t="str">
        <f aca="false">'Cleaned Data'!A22</f>
        <v>S00018</v>
      </c>
      <c r="B22" s="1" t="str">
        <f aca="false">'Cleaned Data'!B22</f>
        <v>P5320</v>
      </c>
      <c r="C22" s="1" t="str">
        <f aca="false">'Cleaned Data'!C22</f>
        <v>aguilarjennifer</v>
      </c>
      <c r="D22" s="1" t="str">
        <f aca="false">'Cleaned Data'!D22</f>
        <v>Empire Wars</v>
      </c>
      <c r="E22" s="1" t="str">
        <f aca="false">'Cleaned Data'!E22</f>
        <v>Console</v>
      </c>
      <c r="F22" s="1" t="str">
        <f aca="false">'Cleaned Data'!F22</f>
        <v>North-East</v>
      </c>
      <c r="G22" s="23" t="n">
        <f aca="false">'Cleaned Data'!G22</f>
        <v>45685</v>
      </c>
      <c r="H22" s="1" t="n">
        <f aca="false">'Cleaned Data'!H22</f>
        <v>173</v>
      </c>
      <c r="I22" s="24" t="n">
        <f aca="false">'Cleaned Data'!I22</f>
        <v>0</v>
      </c>
      <c r="J22" s="1" t="str">
        <f aca="false">'Cleaned Data'!J22</f>
        <v>None</v>
      </c>
      <c r="K22" s="1" t="str">
        <f aca="false">'Cleaned Data'!K22</f>
        <v>Exited Early</v>
      </c>
      <c r="L22" s="1" t="str">
        <f aca="false">'Cleaned Data'!L22</f>
        <v>Free</v>
      </c>
      <c r="M22" s="1" t="n">
        <f aca="false">'Cleaned Data'!M22</f>
        <v>30</v>
      </c>
      <c r="N22" s="1" t="str">
        <f aca="false">'Cleaned Data'!N22</f>
        <v>Yes</v>
      </c>
      <c r="O22" s="1" t="str">
        <f aca="false">TEXT(G22,"yyyy-mm")</f>
        <v>2025-01</v>
      </c>
      <c r="P22" s="1" t="str">
        <f aca="false">IF(H22&lt;20,"Low",IF(H22&lt;=60,"Medium","High"))</f>
        <v>High</v>
      </c>
      <c r="Q22" s="1" t="str">
        <f aca="false">IF(I22&gt;0,"Yes","No")</f>
        <v>No</v>
      </c>
      <c r="R22" s="1" t="n">
        <f aca="false">IF(N22="Yes",1,0)</f>
        <v>1</v>
      </c>
    </row>
    <row r="23" customFormat="false" ht="15" hidden="false" customHeight="true" outlineLevel="0" collapsed="false">
      <c r="A23" s="1" t="str">
        <f aca="false">'Cleaned Data'!A23</f>
        <v>S00019</v>
      </c>
      <c r="B23" s="1" t="str">
        <f aca="false">'Cleaned Data'!B23</f>
        <v>P8261</v>
      </c>
      <c r="C23" s="1" t="str">
        <f aca="false">'Cleaned Data'!C23</f>
        <v>lmeza</v>
      </c>
      <c r="D23" s="1" t="str">
        <f aca="false">'Cleaned Data'!D23</f>
        <v>SpeedX</v>
      </c>
      <c r="E23" s="1" t="str">
        <f aca="false">'Cleaned Data'!E23</f>
        <v>Mobile</v>
      </c>
      <c r="F23" s="1" t="str">
        <f aca="false">'Cleaned Data'!F23</f>
        <v>North</v>
      </c>
      <c r="G23" s="23" t="n">
        <f aca="false">'Cleaned Data'!G23</f>
        <v>45769</v>
      </c>
      <c r="H23" s="1" t="n">
        <f aca="false">'Cleaned Data'!H23</f>
        <v>49</v>
      </c>
      <c r="I23" s="24" t="n">
        <f aca="false">'Cleaned Data'!I23</f>
        <v>0</v>
      </c>
      <c r="J23" s="1" t="str">
        <f aca="false">'Cleaned Data'!J23</f>
        <v>None</v>
      </c>
      <c r="K23" s="1" t="str">
        <f aca="false">'Cleaned Data'!K23</f>
        <v>Exited Early</v>
      </c>
      <c r="L23" s="1" t="str">
        <f aca="false">'Cleaned Data'!L23</f>
        <v>Free</v>
      </c>
      <c r="M23" s="1" t="n">
        <f aca="false">'Cleaned Data'!M23</f>
        <v>47</v>
      </c>
      <c r="N23" s="1" t="str">
        <f aca="false">'Cleaned Data'!N23</f>
        <v>No</v>
      </c>
      <c r="O23" s="1" t="str">
        <f aca="false">TEXT(G23,"yyyy-mm")</f>
        <v>2025-04</v>
      </c>
      <c r="P23" s="1" t="str">
        <f aca="false">IF(H23&lt;20,"Low",IF(H23&lt;=60,"Medium","High"))</f>
        <v>Medium</v>
      </c>
      <c r="Q23" s="1" t="str">
        <f aca="false">IF(I23&gt;0,"Yes","No")</f>
        <v>No</v>
      </c>
      <c r="R23" s="1" t="n">
        <f aca="false">IF(N23="Yes",1,0)</f>
        <v>0</v>
      </c>
    </row>
    <row r="24" customFormat="false" ht="15" hidden="false" customHeight="true" outlineLevel="0" collapsed="false">
      <c r="A24" s="1" t="str">
        <f aca="false">'Cleaned Data'!A24</f>
        <v>S00020</v>
      </c>
      <c r="B24" s="1" t="str">
        <f aca="false">'Cleaned Data'!B24</f>
        <v>P6549</v>
      </c>
      <c r="C24" s="1" t="str">
        <f aca="false">'Cleaned Data'!C24</f>
        <v>michael06</v>
      </c>
      <c r="D24" s="1" t="str">
        <f aca="false">'Cleaned Data'!D24</f>
        <v>Zombie Rush</v>
      </c>
      <c r="E24" s="1" t="str">
        <f aca="false">'Cleaned Data'!E24</f>
        <v>Mobile</v>
      </c>
      <c r="F24" s="1" t="str">
        <f aca="false">'Cleaned Data'!F24</f>
        <v>Central</v>
      </c>
      <c r="G24" s="23" t="n">
        <f aca="false">'Cleaned Data'!G24</f>
        <v>45702</v>
      </c>
      <c r="H24" s="1" t="n">
        <f aca="false">'Cleaned Data'!H24</f>
        <v>94</v>
      </c>
      <c r="I24" s="24" t="n">
        <f aca="false">'Cleaned Data'!I24</f>
        <v>0</v>
      </c>
      <c r="J24" s="1" t="str">
        <f aca="false">'Cleaned Data'!J24</f>
        <v>None</v>
      </c>
      <c r="K24" s="1" t="str">
        <f aca="false">'Cleaned Data'!K24</f>
        <v>Crashed</v>
      </c>
      <c r="L24" s="1" t="str">
        <f aca="false">'Cleaned Data'!L24</f>
        <v>Free</v>
      </c>
      <c r="M24" s="1" t="n">
        <f aca="false">'Cleaned Data'!M24</f>
        <v>48</v>
      </c>
      <c r="N24" s="1" t="str">
        <f aca="false">'Cleaned Data'!N24</f>
        <v>No</v>
      </c>
      <c r="O24" s="1" t="str">
        <f aca="false">TEXT(G24,"yyyy-mm")</f>
        <v>2025-02</v>
      </c>
      <c r="P24" s="1" t="str">
        <f aca="false">IF(H24&lt;20,"Low",IF(H24&lt;=60,"Medium","High"))</f>
        <v>High</v>
      </c>
      <c r="Q24" s="1" t="str">
        <f aca="false">IF(I24&gt;0,"Yes","No")</f>
        <v>No</v>
      </c>
      <c r="R24" s="1" t="n">
        <f aca="false">IF(N24="Yes",1,0)</f>
        <v>0</v>
      </c>
    </row>
    <row r="25" customFormat="false" ht="15" hidden="false" customHeight="true" outlineLevel="0" collapsed="false">
      <c r="A25" s="1" t="str">
        <f aca="false">'Cleaned Data'!A25</f>
        <v>S00021</v>
      </c>
      <c r="B25" s="1" t="str">
        <f aca="false">'Cleaned Data'!B25</f>
        <v>P1758</v>
      </c>
      <c r="C25" s="1" t="str">
        <f aca="false">'Cleaned Data'!C25</f>
        <v>lawsonderrick</v>
      </c>
      <c r="D25" s="1" t="str">
        <f aca="false">'Cleaned Data'!D25</f>
        <v>BattleZone</v>
      </c>
      <c r="E25" s="1" t="str">
        <f aca="false">'Cleaned Data'!E25</f>
        <v>PC</v>
      </c>
      <c r="F25" s="1" t="str">
        <f aca="false">'Cleaned Data'!F25</f>
        <v>North-East</v>
      </c>
      <c r="G25" s="23" t="n">
        <f aca="false">'Cleaned Data'!G25</f>
        <v>45808</v>
      </c>
      <c r="H25" s="1" t="n">
        <f aca="false">'Cleaned Data'!H25</f>
        <v>168</v>
      </c>
      <c r="I25" s="24" t="n">
        <f aca="false">'Cleaned Data'!I25</f>
        <v>0</v>
      </c>
      <c r="J25" s="1" t="str">
        <f aca="false">'Cleaned Data'!J25</f>
        <v>None</v>
      </c>
      <c r="K25" s="1" t="str">
        <f aca="false">'Cleaned Data'!K25</f>
        <v>Completed</v>
      </c>
      <c r="L25" s="1" t="str">
        <f aca="false">'Cleaned Data'!L25</f>
        <v>Free</v>
      </c>
      <c r="M25" s="1" t="n">
        <f aca="false">'Cleaned Data'!M25</f>
        <v>33</v>
      </c>
      <c r="N25" s="1" t="str">
        <f aca="false">'Cleaned Data'!N25</f>
        <v>Yes</v>
      </c>
      <c r="O25" s="1" t="str">
        <f aca="false">TEXT(G25,"yyyy-mm")</f>
        <v>2025-05</v>
      </c>
      <c r="P25" s="1" t="str">
        <f aca="false">IF(H25&lt;20,"Low",IF(H25&lt;=60,"Medium","High"))</f>
        <v>High</v>
      </c>
      <c r="Q25" s="1" t="str">
        <f aca="false">IF(I25&gt;0,"Yes","No")</f>
        <v>No</v>
      </c>
      <c r="R25" s="1" t="n">
        <f aca="false">IF(N25="Yes",1,0)</f>
        <v>1</v>
      </c>
    </row>
    <row r="26" customFormat="false" ht="15" hidden="false" customHeight="true" outlineLevel="0" collapsed="false">
      <c r="A26" s="1" t="str">
        <f aca="false">'Cleaned Data'!A26</f>
        <v>S00022</v>
      </c>
      <c r="B26" s="1" t="str">
        <f aca="false">'Cleaned Data'!B26</f>
        <v>P5785</v>
      </c>
      <c r="C26" s="1" t="str">
        <f aca="false">'Cleaned Data'!C26</f>
        <v>icrawford</v>
      </c>
      <c r="D26" s="1" t="str">
        <f aca="false">'Cleaned Data'!D26</f>
        <v>Clash of Realms</v>
      </c>
      <c r="E26" s="1" t="str">
        <f aca="false">'Cleaned Data'!E26</f>
        <v>Console</v>
      </c>
      <c r="F26" s="1" t="str">
        <f aca="false">'Cleaned Data'!F26</f>
        <v>North</v>
      </c>
      <c r="G26" s="23" t="n">
        <f aca="false">'Cleaned Data'!G26</f>
        <v>45790</v>
      </c>
      <c r="H26" s="1" t="n">
        <f aca="false">'Cleaned Data'!H26</f>
        <v>86</v>
      </c>
      <c r="I26" s="24" t="n">
        <f aca="false">'Cleaned Data'!I26</f>
        <v>0</v>
      </c>
      <c r="J26" s="1" t="str">
        <f aca="false">'Cleaned Data'!J26</f>
        <v>None</v>
      </c>
      <c r="K26" s="1" t="str">
        <f aca="false">'Cleaned Data'!K26</f>
        <v>Completed</v>
      </c>
      <c r="L26" s="1" t="str">
        <f aca="false">'Cleaned Data'!L26</f>
        <v>Free</v>
      </c>
      <c r="M26" s="1" t="n">
        <f aca="false">'Cleaned Data'!M26</f>
        <v>34</v>
      </c>
      <c r="N26" s="1" t="str">
        <f aca="false">'Cleaned Data'!N26</f>
        <v>No</v>
      </c>
      <c r="O26" s="1" t="str">
        <f aca="false">TEXT(G26,"yyyy-mm")</f>
        <v>2025-05</v>
      </c>
      <c r="P26" s="1" t="str">
        <f aca="false">IF(H26&lt;20,"Low",IF(H26&lt;=60,"Medium","High"))</f>
        <v>High</v>
      </c>
      <c r="Q26" s="1" t="str">
        <f aca="false">IF(I26&gt;0,"Yes","No")</f>
        <v>No</v>
      </c>
      <c r="R26" s="1" t="n">
        <f aca="false">IF(N26="Yes",1,0)</f>
        <v>0</v>
      </c>
    </row>
    <row r="27" customFormat="false" ht="15" hidden="false" customHeight="true" outlineLevel="0" collapsed="false">
      <c r="A27" s="1" t="str">
        <f aca="false">'Cleaned Data'!A27</f>
        <v>S00023</v>
      </c>
      <c r="B27" s="1" t="str">
        <f aca="false">'Cleaned Data'!B27</f>
        <v>P4722</v>
      </c>
      <c r="C27" s="1" t="str">
        <f aca="false">'Cleaned Data'!C27</f>
        <v>david54</v>
      </c>
      <c r="D27" s="1" t="str">
        <f aca="false">'Cleaned Data'!D27</f>
        <v>Zombie Rush</v>
      </c>
      <c r="E27" s="1" t="str">
        <f aca="false">'Cleaned Data'!E27</f>
        <v>Console</v>
      </c>
      <c r="F27" s="1" t="str">
        <f aca="false">'Cleaned Data'!F27</f>
        <v>North</v>
      </c>
      <c r="G27" s="23" t="n">
        <f aca="false">'Cleaned Data'!G27</f>
        <v>45738</v>
      </c>
      <c r="H27" s="1" t="n">
        <f aca="false">'Cleaned Data'!H27</f>
        <v>58</v>
      </c>
      <c r="I27" s="24" t="n">
        <f aca="false">'Cleaned Data'!I27</f>
        <v>0</v>
      </c>
      <c r="J27" s="1" t="str">
        <f aca="false">'Cleaned Data'!J27</f>
        <v>None</v>
      </c>
      <c r="K27" s="1" t="str">
        <f aca="false">'Cleaned Data'!K27</f>
        <v>Completed</v>
      </c>
      <c r="L27" s="1" t="str">
        <f aca="false">'Cleaned Data'!L27</f>
        <v>Free</v>
      </c>
      <c r="M27" s="1" t="n">
        <f aca="false">'Cleaned Data'!M27</f>
        <v>37</v>
      </c>
      <c r="N27" s="1" t="str">
        <f aca="false">'Cleaned Data'!N27</f>
        <v>No</v>
      </c>
      <c r="O27" s="1" t="str">
        <f aca="false">TEXT(G27,"yyyy-mm")</f>
        <v>2025-03</v>
      </c>
      <c r="P27" s="1" t="str">
        <f aca="false">IF(H27&lt;20,"Low",IF(H27&lt;=60,"Medium","High"))</f>
        <v>Medium</v>
      </c>
      <c r="Q27" s="1" t="str">
        <f aca="false">IF(I27&gt;0,"Yes","No")</f>
        <v>No</v>
      </c>
      <c r="R27" s="1" t="n">
        <f aca="false">IF(N27="Yes",1,0)</f>
        <v>0</v>
      </c>
    </row>
    <row r="28" customFormat="false" ht="15" hidden="false" customHeight="true" outlineLevel="0" collapsed="false">
      <c r="A28" s="1" t="str">
        <f aca="false">'Cleaned Data'!A28</f>
        <v>S00024</v>
      </c>
      <c r="B28" s="1" t="str">
        <f aca="false">'Cleaned Data'!B28</f>
        <v>P8146</v>
      </c>
      <c r="C28" s="1" t="str">
        <f aca="false">'Cleaned Data'!C28</f>
        <v>rcraig</v>
      </c>
      <c r="D28" s="1" t="str">
        <f aca="false">'Cleaned Data'!D28</f>
        <v>SpeedX</v>
      </c>
      <c r="E28" s="1" t="str">
        <f aca="false">'Cleaned Data'!E28</f>
        <v>PC</v>
      </c>
      <c r="F28" s="1" t="str">
        <f aca="false">'Cleaned Data'!F28</f>
        <v>West</v>
      </c>
      <c r="G28" s="23" t="n">
        <f aca="false">'Cleaned Data'!G28</f>
        <v>45740</v>
      </c>
      <c r="H28" s="1" t="n">
        <f aca="false">'Cleaned Data'!H28</f>
        <v>121</v>
      </c>
      <c r="I28" s="24" t="n">
        <f aca="false">'Cleaned Data'!I28</f>
        <v>7.28</v>
      </c>
      <c r="J28" s="1" t="str">
        <f aca="false">'Cleaned Data'!J28</f>
        <v>Boosters</v>
      </c>
      <c r="K28" s="1" t="str">
        <f aca="false">'Cleaned Data'!K28</f>
        <v>Completed</v>
      </c>
      <c r="L28" s="1" t="str">
        <f aca="false">'Cleaned Data'!L28</f>
        <v>Paid</v>
      </c>
      <c r="M28" s="1" t="n">
        <f aca="false">'Cleaned Data'!M28</f>
        <v>34</v>
      </c>
      <c r="N28" s="1" t="str">
        <f aca="false">'Cleaned Data'!N28</f>
        <v>No</v>
      </c>
      <c r="O28" s="1" t="str">
        <f aca="false">TEXT(G28,"yyyy-mm")</f>
        <v>2025-03</v>
      </c>
      <c r="P28" s="1" t="str">
        <f aca="false">IF(H28&lt;20,"Low",IF(H28&lt;=60,"Medium","High"))</f>
        <v>High</v>
      </c>
      <c r="Q28" s="1" t="str">
        <f aca="false">IF(I28&gt;0,"Yes","No")</f>
        <v>Yes</v>
      </c>
      <c r="R28" s="1" t="n">
        <f aca="false">IF(N28="Yes",1,0)</f>
        <v>0</v>
      </c>
    </row>
    <row r="29" customFormat="false" ht="15" hidden="false" customHeight="true" outlineLevel="0" collapsed="false">
      <c r="A29" s="1" t="str">
        <f aca="false">'Cleaned Data'!A29</f>
        <v>S00025</v>
      </c>
      <c r="B29" s="1" t="str">
        <f aca="false">'Cleaned Data'!B29</f>
        <v>P2146</v>
      </c>
      <c r="C29" s="1" t="str">
        <f aca="false">'Cleaned Data'!C29</f>
        <v>kvasquez</v>
      </c>
      <c r="D29" s="1" t="str">
        <f aca="false">'Cleaned Data'!D29</f>
        <v>Zombie Rush</v>
      </c>
      <c r="E29" s="1" t="str">
        <f aca="false">'Cleaned Data'!E29</f>
        <v>PC</v>
      </c>
      <c r="F29" s="1" t="str">
        <f aca="false">'Cleaned Data'!F29</f>
        <v>South</v>
      </c>
      <c r="G29" s="23" t="n">
        <f aca="false">'Cleaned Data'!G29</f>
        <v>45781</v>
      </c>
      <c r="H29" s="1" t="n">
        <f aca="false">'Cleaned Data'!H29</f>
        <v>51</v>
      </c>
      <c r="I29" s="24" t="n">
        <f aca="false">'Cleaned Data'!I29</f>
        <v>0</v>
      </c>
      <c r="J29" s="1" t="str">
        <f aca="false">'Cleaned Data'!J29</f>
        <v>None</v>
      </c>
      <c r="K29" s="1" t="str">
        <f aca="false">'Cleaned Data'!K29</f>
        <v>Crashed</v>
      </c>
      <c r="L29" s="1" t="str">
        <f aca="false">'Cleaned Data'!L29</f>
        <v>Free</v>
      </c>
      <c r="M29" s="1" t="n">
        <f aca="false">'Cleaned Data'!M29</f>
        <v>41</v>
      </c>
      <c r="N29" s="1" t="str">
        <f aca="false">'Cleaned Data'!N29</f>
        <v>No</v>
      </c>
      <c r="O29" s="1" t="str">
        <f aca="false">TEXT(G29,"yyyy-mm")</f>
        <v>2025-05</v>
      </c>
      <c r="P29" s="1" t="str">
        <f aca="false">IF(H29&lt;20,"Low",IF(H29&lt;=60,"Medium","High"))</f>
        <v>Medium</v>
      </c>
      <c r="Q29" s="1" t="str">
        <f aca="false">IF(I29&gt;0,"Yes","No")</f>
        <v>No</v>
      </c>
      <c r="R29" s="1" t="n">
        <f aca="false">IF(N29="Yes",1,0)</f>
        <v>0</v>
      </c>
    </row>
    <row r="30" customFormat="false" ht="15" hidden="false" customHeight="true" outlineLevel="0" collapsed="false">
      <c r="A30" s="1" t="str">
        <f aca="false">'Cleaned Data'!A30</f>
        <v>S00026</v>
      </c>
      <c r="B30" s="1" t="str">
        <f aca="false">'Cleaned Data'!B30</f>
        <v>P3548</v>
      </c>
      <c r="C30" s="1" t="str">
        <f aca="false">'Cleaned Data'!C30</f>
        <v>erica07</v>
      </c>
      <c r="D30" s="1" t="str">
        <f aca="false">'Cleaned Data'!D30</f>
        <v>Empire Wars</v>
      </c>
      <c r="E30" s="1" t="str">
        <f aca="false">'Cleaned Data'!E30</f>
        <v>PC</v>
      </c>
      <c r="F30" s="1" t="str">
        <f aca="false">'Cleaned Data'!F30</f>
        <v>North-East</v>
      </c>
      <c r="G30" s="23" t="n">
        <f aca="false">'Cleaned Data'!G30</f>
        <v>45741</v>
      </c>
      <c r="H30" s="1" t="n">
        <f aca="false">'Cleaned Data'!H30</f>
        <v>96</v>
      </c>
      <c r="I30" s="24" t="n">
        <f aca="false">'Cleaned Data'!I30</f>
        <v>0</v>
      </c>
      <c r="J30" s="1" t="str">
        <f aca="false">'Cleaned Data'!J30</f>
        <v>None</v>
      </c>
      <c r="K30" s="1" t="str">
        <f aca="false">'Cleaned Data'!K30</f>
        <v>Completed</v>
      </c>
      <c r="L30" s="1" t="str">
        <f aca="false">'Cleaned Data'!L30</f>
        <v>Paid</v>
      </c>
      <c r="M30" s="1" t="n">
        <f aca="false">'Cleaned Data'!M30</f>
        <v>17</v>
      </c>
      <c r="N30" s="1" t="str">
        <f aca="false">'Cleaned Data'!N30</f>
        <v>No</v>
      </c>
      <c r="O30" s="1" t="str">
        <f aca="false">TEXT(G30,"yyyy-mm")</f>
        <v>2025-03</v>
      </c>
      <c r="P30" s="1" t="str">
        <f aca="false">IF(H30&lt;20,"Low",IF(H30&lt;=60,"Medium","High"))</f>
        <v>High</v>
      </c>
      <c r="Q30" s="1" t="str">
        <f aca="false">IF(I30&gt;0,"Yes","No")</f>
        <v>No</v>
      </c>
      <c r="R30" s="1" t="n">
        <f aca="false">IF(N30="Yes",1,0)</f>
        <v>0</v>
      </c>
    </row>
    <row r="31" customFormat="false" ht="15" hidden="false" customHeight="true" outlineLevel="0" collapsed="false">
      <c r="A31" s="1" t="str">
        <f aca="false">'Cleaned Data'!A31</f>
        <v>S00027</v>
      </c>
      <c r="B31" s="1" t="str">
        <f aca="false">'Cleaned Data'!B31</f>
        <v>P2609</v>
      </c>
      <c r="C31" s="1" t="str">
        <f aca="false">'Cleaned Data'!C31</f>
        <v>owensoscar</v>
      </c>
      <c r="D31" s="1" t="str">
        <f aca="false">'Cleaned Data'!D31</f>
        <v>Empire Wars</v>
      </c>
      <c r="E31" s="1" t="str">
        <f aca="false">'Cleaned Data'!E31</f>
        <v>Mobile</v>
      </c>
      <c r="F31" s="1" t="str">
        <f aca="false">'Cleaned Data'!F31</f>
        <v>North-East</v>
      </c>
      <c r="G31" s="23" t="n">
        <f aca="false">'Cleaned Data'!G31</f>
        <v>45779</v>
      </c>
      <c r="H31" s="1" t="n">
        <f aca="false">'Cleaned Data'!H31</f>
        <v>173</v>
      </c>
      <c r="I31" s="24" t="n">
        <f aca="false">'Cleaned Data'!I31</f>
        <v>0</v>
      </c>
      <c r="J31" s="1" t="str">
        <f aca="false">'Cleaned Data'!J31</f>
        <v>None</v>
      </c>
      <c r="K31" s="1" t="str">
        <f aca="false">'Cleaned Data'!K31</f>
        <v>Completed</v>
      </c>
      <c r="L31" s="1" t="str">
        <f aca="false">'Cleaned Data'!L31</f>
        <v>Free</v>
      </c>
      <c r="M31" s="1" t="n">
        <f aca="false">'Cleaned Data'!M31</f>
        <v>8</v>
      </c>
      <c r="N31" s="1" t="str">
        <f aca="false">'Cleaned Data'!N31</f>
        <v>Yes</v>
      </c>
      <c r="O31" s="1" t="str">
        <f aca="false">TEXT(G31,"yyyy-mm")</f>
        <v>2025-05</v>
      </c>
      <c r="P31" s="1" t="str">
        <f aca="false">IF(H31&lt;20,"Low",IF(H31&lt;=60,"Medium","High"))</f>
        <v>High</v>
      </c>
      <c r="Q31" s="1" t="str">
        <f aca="false">IF(I31&gt;0,"Yes","No")</f>
        <v>No</v>
      </c>
      <c r="R31" s="1" t="n">
        <f aca="false">IF(N31="Yes",1,0)</f>
        <v>1</v>
      </c>
    </row>
    <row r="32" customFormat="false" ht="15" hidden="false" customHeight="true" outlineLevel="0" collapsed="false">
      <c r="A32" s="1" t="str">
        <f aca="false">'Cleaned Data'!A32</f>
        <v>S00028</v>
      </c>
      <c r="B32" s="1" t="str">
        <f aca="false">'Cleaned Data'!B32</f>
        <v>P4851</v>
      </c>
      <c r="C32" s="1" t="str">
        <f aca="false">'Cleaned Data'!C32</f>
        <v>wlawson</v>
      </c>
      <c r="D32" s="1" t="str">
        <f aca="false">'Cleaned Data'!D32</f>
        <v>SpeedX</v>
      </c>
      <c r="E32" s="1" t="str">
        <f aca="false">'Cleaned Data'!E32</f>
        <v>Mobile</v>
      </c>
      <c r="F32" s="1" t="str">
        <f aca="false">'Cleaned Data'!F32</f>
        <v>North-East</v>
      </c>
      <c r="G32" s="23" t="n">
        <f aca="false">'Cleaned Data'!G32</f>
        <v>45692</v>
      </c>
      <c r="H32" s="1" t="n">
        <f aca="false">'Cleaned Data'!H32</f>
        <v>105</v>
      </c>
      <c r="I32" s="24" t="n">
        <f aca="false">'Cleaned Data'!I32</f>
        <v>0</v>
      </c>
      <c r="J32" s="1" t="str">
        <f aca="false">'Cleaned Data'!J32</f>
        <v>None</v>
      </c>
      <c r="K32" s="1" t="str">
        <f aca="false">'Cleaned Data'!K32</f>
        <v>Completed</v>
      </c>
      <c r="L32" s="1" t="str">
        <f aca="false">'Cleaned Data'!L32</f>
        <v>Free</v>
      </c>
      <c r="M32" s="1" t="n">
        <f aca="false">'Cleaned Data'!M32</f>
        <v>11</v>
      </c>
      <c r="N32" s="1" t="str">
        <f aca="false">'Cleaned Data'!N32</f>
        <v>No</v>
      </c>
      <c r="O32" s="1" t="str">
        <f aca="false">TEXT(G32,"yyyy-mm")</f>
        <v>2025-02</v>
      </c>
      <c r="P32" s="1" t="str">
        <f aca="false">IF(H32&lt;20,"Low",IF(H32&lt;=60,"Medium","High"))</f>
        <v>High</v>
      </c>
      <c r="Q32" s="1" t="str">
        <f aca="false">IF(I32&gt;0,"Yes","No")</f>
        <v>No</v>
      </c>
      <c r="R32" s="1" t="n">
        <f aca="false">IF(N32="Yes",1,0)</f>
        <v>0</v>
      </c>
    </row>
    <row r="33" customFormat="false" ht="15" hidden="false" customHeight="true" outlineLevel="0" collapsed="false">
      <c r="A33" s="1" t="str">
        <f aca="false">'Cleaned Data'!A33</f>
        <v>S00029</v>
      </c>
      <c r="B33" s="1" t="str">
        <f aca="false">'Cleaned Data'!B33</f>
        <v>P5046</v>
      </c>
      <c r="C33" s="1" t="str">
        <f aca="false">'Cleaned Data'!C33</f>
        <v>kevinruiz</v>
      </c>
      <c r="D33" s="1" t="str">
        <f aca="false">'Cleaned Data'!D33</f>
        <v>Clash of Realms</v>
      </c>
      <c r="E33" s="1" t="str">
        <f aca="false">'Cleaned Data'!E33</f>
        <v>Console</v>
      </c>
      <c r="F33" s="1" t="str">
        <f aca="false">'Cleaned Data'!F33</f>
        <v>North-East</v>
      </c>
      <c r="G33" s="23" t="n">
        <f aca="false">'Cleaned Data'!G33</f>
        <v>45763</v>
      </c>
      <c r="H33" s="1" t="n">
        <f aca="false">'Cleaned Data'!H33</f>
        <v>16</v>
      </c>
      <c r="I33" s="24" t="n">
        <f aca="false">'Cleaned Data'!I33</f>
        <v>0</v>
      </c>
      <c r="J33" s="1" t="str">
        <f aca="false">'Cleaned Data'!J33</f>
        <v>None</v>
      </c>
      <c r="K33" s="1" t="str">
        <f aca="false">'Cleaned Data'!K33</f>
        <v>Completed</v>
      </c>
      <c r="L33" s="1" t="str">
        <f aca="false">'Cleaned Data'!L33</f>
        <v>Free</v>
      </c>
      <c r="M33" s="1" t="n">
        <f aca="false">'Cleaned Data'!M33</f>
        <v>26</v>
      </c>
      <c r="N33" s="1" t="str">
        <f aca="false">'Cleaned Data'!N33</f>
        <v>No</v>
      </c>
      <c r="O33" s="1" t="str">
        <f aca="false">TEXT(G33,"yyyy-mm")</f>
        <v>2025-04</v>
      </c>
      <c r="P33" s="1" t="str">
        <f aca="false">IF(H33&lt;20,"Low",IF(H33&lt;=60,"Medium","High"))</f>
        <v>Low</v>
      </c>
      <c r="Q33" s="1" t="str">
        <f aca="false">IF(I33&gt;0,"Yes","No")</f>
        <v>No</v>
      </c>
      <c r="R33" s="1" t="n">
        <f aca="false">IF(N33="Yes",1,0)</f>
        <v>0</v>
      </c>
    </row>
    <row r="34" customFormat="false" ht="15" hidden="false" customHeight="true" outlineLevel="0" collapsed="false">
      <c r="A34" s="1" t="str">
        <f aca="false">'Cleaned Data'!A34</f>
        <v>S00030</v>
      </c>
      <c r="B34" s="1" t="str">
        <f aca="false">'Cleaned Data'!B34</f>
        <v>P4408</v>
      </c>
      <c r="C34" s="1" t="str">
        <f aca="false">'Cleaned Data'!C34</f>
        <v>dlee</v>
      </c>
      <c r="D34" s="1" t="str">
        <f aca="false">'Cleaned Data'!D34</f>
        <v>SpeedX</v>
      </c>
      <c r="E34" s="1" t="str">
        <f aca="false">'Cleaned Data'!E34</f>
        <v>Mobile</v>
      </c>
      <c r="F34" s="1" t="str">
        <f aca="false">'Cleaned Data'!F34</f>
        <v>South</v>
      </c>
      <c r="G34" s="23" t="n">
        <f aca="false">'Cleaned Data'!G34</f>
        <v>45818</v>
      </c>
      <c r="H34" s="1" t="n">
        <f aca="false">'Cleaned Data'!H34</f>
        <v>135</v>
      </c>
      <c r="I34" s="24" t="n">
        <f aca="false">'Cleaned Data'!I34</f>
        <v>0</v>
      </c>
      <c r="J34" s="1" t="str">
        <f aca="false">'Cleaned Data'!J34</f>
        <v>None</v>
      </c>
      <c r="K34" s="1" t="str">
        <f aca="false">'Cleaned Data'!K34</f>
        <v>Completed</v>
      </c>
      <c r="L34" s="1" t="str">
        <f aca="false">'Cleaned Data'!L34</f>
        <v>Free</v>
      </c>
      <c r="M34" s="1" t="n">
        <f aca="false">'Cleaned Data'!M34</f>
        <v>12</v>
      </c>
      <c r="N34" s="1" t="str">
        <f aca="false">'Cleaned Data'!N34</f>
        <v>No</v>
      </c>
      <c r="O34" s="1" t="str">
        <f aca="false">TEXT(G34,"yyyy-mm")</f>
        <v>2025-06</v>
      </c>
      <c r="P34" s="1" t="str">
        <f aca="false">IF(H34&lt;20,"Low",IF(H34&lt;=60,"Medium","High"))</f>
        <v>High</v>
      </c>
      <c r="Q34" s="1" t="str">
        <f aca="false">IF(I34&gt;0,"Yes","No")</f>
        <v>No</v>
      </c>
      <c r="R34" s="1" t="n">
        <f aca="false">IF(N34="Yes",1,0)</f>
        <v>0</v>
      </c>
    </row>
    <row r="35" customFormat="false" ht="15" hidden="false" customHeight="true" outlineLevel="0" collapsed="false">
      <c r="A35" s="1" t="str">
        <f aca="false">'Cleaned Data'!A35</f>
        <v>S00031</v>
      </c>
      <c r="B35" s="1" t="str">
        <f aca="false">'Cleaned Data'!B35</f>
        <v>P3683</v>
      </c>
      <c r="C35" s="1" t="str">
        <f aca="false">'Cleaned Data'!C35</f>
        <v>rebekah64</v>
      </c>
      <c r="D35" s="1" t="str">
        <f aca="false">'Cleaned Data'!D35</f>
        <v>Empire Wars</v>
      </c>
      <c r="E35" s="1" t="str">
        <f aca="false">'Cleaned Data'!E35</f>
        <v>Mobile</v>
      </c>
      <c r="F35" s="1" t="str">
        <f aca="false">'Cleaned Data'!F35</f>
        <v>North-East</v>
      </c>
      <c r="G35" s="23" t="n">
        <f aca="false">'Cleaned Data'!G35</f>
        <v>45694</v>
      </c>
      <c r="H35" s="1" t="n">
        <f aca="false">'Cleaned Data'!H35</f>
        <v>96</v>
      </c>
      <c r="I35" s="24" t="n">
        <f aca="false">'Cleaned Data'!I35</f>
        <v>0</v>
      </c>
      <c r="J35" s="1" t="str">
        <f aca="false">'Cleaned Data'!J35</f>
        <v>None</v>
      </c>
      <c r="K35" s="1" t="str">
        <f aca="false">'Cleaned Data'!K35</f>
        <v>Completed</v>
      </c>
      <c r="L35" s="1" t="str">
        <f aca="false">'Cleaned Data'!L35</f>
        <v>Free</v>
      </c>
      <c r="M35" s="1" t="n">
        <f aca="false">'Cleaned Data'!M35</f>
        <v>43</v>
      </c>
      <c r="N35" s="1" t="str">
        <f aca="false">'Cleaned Data'!N35</f>
        <v>No</v>
      </c>
      <c r="O35" s="1" t="str">
        <f aca="false">TEXT(G35,"yyyy-mm")</f>
        <v>2025-02</v>
      </c>
      <c r="P35" s="1" t="str">
        <f aca="false">IF(H35&lt;20,"Low",IF(H35&lt;=60,"Medium","High"))</f>
        <v>High</v>
      </c>
      <c r="Q35" s="1" t="str">
        <f aca="false">IF(I35&gt;0,"Yes","No")</f>
        <v>No</v>
      </c>
      <c r="R35" s="1" t="n">
        <f aca="false">IF(N35="Yes",1,0)</f>
        <v>0</v>
      </c>
    </row>
    <row r="36" customFormat="false" ht="15" hidden="false" customHeight="true" outlineLevel="0" collapsed="false">
      <c r="A36" s="1" t="str">
        <f aca="false">'Cleaned Data'!A36</f>
        <v>S00032</v>
      </c>
      <c r="B36" s="1" t="str">
        <f aca="false">'Cleaned Data'!B36</f>
        <v>P6285</v>
      </c>
      <c r="C36" s="1" t="str">
        <f aca="false">'Cleaned Data'!C36</f>
        <v>katherinejohnston</v>
      </c>
      <c r="D36" s="1" t="str">
        <f aca="false">'Cleaned Data'!D36</f>
        <v>SpeedX</v>
      </c>
      <c r="E36" s="1" t="str">
        <f aca="false">'Cleaned Data'!E36</f>
        <v>PC</v>
      </c>
      <c r="F36" s="1" t="str">
        <f aca="false">'Cleaned Data'!F36</f>
        <v>North-East</v>
      </c>
      <c r="G36" s="23" t="n">
        <f aca="false">'Cleaned Data'!G36</f>
        <v>45708</v>
      </c>
      <c r="H36" s="1" t="n">
        <f aca="false">'Cleaned Data'!H36</f>
        <v>16</v>
      </c>
      <c r="I36" s="24" t="n">
        <f aca="false">'Cleaned Data'!I36</f>
        <v>0</v>
      </c>
      <c r="J36" s="1" t="str">
        <f aca="false">'Cleaned Data'!J36</f>
        <v>None</v>
      </c>
      <c r="K36" s="1" t="str">
        <f aca="false">'Cleaned Data'!K36</f>
        <v>Completed</v>
      </c>
      <c r="L36" s="1" t="str">
        <f aca="false">'Cleaned Data'!L36</f>
        <v>Free</v>
      </c>
      <c r="M36" s="1" t="n">
        <f aca="false">'Cleaned Data'!M36</f>
        <v>16</v>
      </c>
      <c r="N36" s="1" t="str">
        <f aca="false">'Cleaned Data'!N36</f>
        <v>No</v>
      </c>
      <c r="O36" s="1" t="str">
        <f aca="false">TEXT(G36,"yyyy-mm")</f>
        <v>2025-02</v>
      </c>
      <c r="P36" s="1" t="str">
        <f aca="false">IF(H36&lt;20,"Low",IF(H36&lt;=60,"Medium","High"))</f>
        <v>Low</v>
      </c>
      <c r="Q36" s="1" t="str">
        <f aca="false">IF(I36&gt;0,"Yes","No")</f>
        <v>No</v>
      </c>
      <c r="R36" s="1" t="n">
        <f aca="false">IF(N36="Yes",1,0)</f>
        <v>0</v>
      </c>
    </row>
    <row r="37" customFormat="false" ht="15" hidden="false" customHeight="true" outlineLevel="0" collapsed="false">
      <c r="A37" s="1" t="str">
        <f aca="false">'Cleaned Data'!A37</f>
        <v>S00033</v>
      </c>
      <c r="B37" s="1" t="str">
        <f aca="false">'Cleaned Data'!B37</f>
        <v>P4554</v>
      </c>
      <c r="C37" s="1" t="str">
        <f aca="false">'Cleaned Data'!C37</f>
        <v>odavis</v>
      </c>
      <c r="D37" s="1" t="str">
        <f aca="false">'Cleaned Data'!D37</f>
        <v>Clash of Realms</v>
      </c>
      <c r="E37" s="1" t="str">
        <f aca="false">'Cleaned Data'!E37</f>
        <v>PC</v>
      </c>
      <c r="F37" s="1" t="str">
        <f aca="false">'Cleaned Data'!F37</f>
        <v>North-East</v>
      </c>
      <c r="G37" s="23" t="n">
        <f aca="false">'Cleaned Data'!G37</f>
        <v>45696</v>
      </c>
      <c r="H37" s="1" t="n">
        <f aca="false">'Cleaned Data'!H37</f>
        <v>165</v>
      </c>
      <c r="I37" s="24" t="n">
        <f aca="false">'Cleaned Data'!I37</f>
        <v>0</v>
      </c>
      <c r="J37" s="1" t="str">
        <f aca="false">'Cleaned Data'!J37</f>
        <v>None</v>
      </c>
      <c r="K37" s="1" t="str">
        <f aca="false">'Cleaned Data'!K37</f>
        <v>Completed</v>
      </c>
      <c r="L37" s="1" t="str">
        <f aca="false">'Cleaned Data'!L37</f>
        <v>Free</v>
      </c>
      <c r="M37" s="1" t="n">
        <f aca="false">'Cleaned Data'!M37</f>
        <v>23</v>
      </c>
      <c r="N37" s="1" t="str">
        <f aca="false">'Cleaned Data'!N37</f>
        <v>Yes</v>
      </c>
      <c r="O37" s="1" t="str">
        <f aca="false">TEXT(G37,"yyyy-mm")</f>
        <v>2025-02</v>
      </c>
      <c r="P37" s="1" t="str">
        <f aca="false">IF(H37&lt;20,"Low",IF(H37&lt;=60,"Medium","High"))</f>
        <v>High</v>
      </c>
      <c r="Q37" s="1" t="str">
        <f aca="false">IF(I37&gt;0,"Yes","No")</f>
        <v>No</v>
      </c>
      <c r="R37" s="1" t="n">
        <f aca="false">IF(N37="Yes",1,0)</f>
        <v>1</v>
      </c>
    </row>
    <row r="38" customFormat="false" ht="15" hidden="false" customHeight="true" outlineLevel="0" collapsed="false">
      <c r="A38" s="1" t="str">
        <f aca="false">'Cleaned Data'!A38</f>
        <v>S00034</v>
      </c>
      <c r="B38" s="1" t="str">
        <f aca="false">'Cleaned Data'!B38</f>
        <v>P6724</v>
      </c>
      <c r="C38" s="1" t="str">
        <f aca="false">'Cleaned Data'!C38</f>
        <v>tylermiller</v>
      </c>
      <c r="D38" s="1" t="str">
        <f aca="false">'Cleaned Data'!D38</f>
        <v>SpeedX</v>
      </c>
      <c r="E38" s="1" t="str">
        <f aca="false">'Cleaned Data'!E38</f>
        <v>PC</v>
      </c>
      <c r="F38" s="1" t="str">
        <f aca="false">'Cleaned Data'!F38</f>
        <v>South</v>
      </c>
      <c r="G38" s="23" t="n">
        <f aca="false">'Cleaned Data'!G38</f>
        <v>45797</v>
      </c>
      <c r="H38" s="1" t="n">
        <f aca="false">'Cleaned Data'!H38</f>
        <v>25</v>
      </c>
      <c r="I38" s="24" t="n">
        <f aca="false">'Cleaned Data'!I38</f>
        <v>0</v>
      </c>
      <c r="J38" s="1" t="str">
        <f aca="false">'Cleaned Data'!J38</f>
        <v>None</v>
      </c>
      <c r="K38" s="1" t="str">
        <f aca="false">'Cleaned Data'!K38</f>
        <v>Crashed</v>
      </c>
      <c r="L38" s="1" t="str">
        <f aca="false">'Cleaned Data'!L38</f>
        <v>Free</v>
      </c>
      <c r="M38" s="1" t="n">
        <f aca="false">'Cleaned Data'!M38</f>
        <v>26</v>
      </c>
      <c r="N38" s="1" t="str">
        <f aca="false">'Cleaned Data'!N38</f>
        <v>No</v>
      </c>
      <c r="O38" s="1" t="str">
        <f aca="false">TEXT(G38,"yyyy-mm")</f>
        <v>2025-05</v>
      </c>
      <c r="P38" s="1" t="str">
        <f aca="false">IF(H38&lt;20,"Low",IF(H38&lt;=60,"Medium","High"))</f>
        <v>Medium</v>
      </c>
      <c r="Q38" s="1" t="str">
        <f aca="false">IF(I38&gt;0,"Yes","No")</f>
        <v>No</v>
      </c>
      <c r="R38" s="1" t="n">
        <f aca="false">IF(N38="Yes",1,0)</f>
        <v>0</v>
      </c>
    </row>
    <row r="39" customFormat="false" ht="15" hidden="false" customHeight="true" outlineLevel="0" collapsed="false">
      <c r="A39" s="1" t="str">
        <f aca="false">'Cleaned Data'!A39</f>
        <v>S00035</v>
      </c>
      <c r="B39" s="1" t="str">
        <f aca="false">'Cleaned Data'!B39</f>
        <v>P2965</v>
      </c>
      <c r="C39" s="1" t="str">
        <f aca="false">'Cleaned Data'!C39</f>
        <v>sonya77</v>
      </c>
      <c r="D39" s="1" t="str">
        <f aca="false">'Cleaned Data'!D39</f>
        <v>SpeedX</v>
      </c>
      <c r="E39" s="1" t="str">
        <f aca="false">'Cleaned Data'!E39</f>
        <v>PC</v>
      </c>
      <c r="F39" s="1" t="str">
        <f aca="false">'Cleaned Data'!F39</f>
        <v>South</v>
      </c>
      <c r="G39" s="23" t="n">
        <f aca="false">'Cleaned Data'!G39</f>
        <v>45729</v>
      </c>
      <c r="H39" s="1" t="n">
        <f aca="false">'Cleaned Data'!H39</f>
        <v>140</v>
      </c>
      <c r="I39" s="24" t="n">
        <f aca="false">'Cleaned Data'!I39</f>
        <v>0</v>
      </c>
      <c r="J39" s="1" t="str">
        <f aca="false">'Cleaned Data'!J39</f>
        <v>None</v>
      </c>
      <c r="K39" s="1" t="str">
        <f aca="false">'Cleaned Data'!K39</f>
        <v>Completed</v>
      </c>
      <c r="L39" s="1" t="str">
        <f aca="false">'Cleaned Data'!L39</f>
        <v>Free</v>
      </c>
      <c r="M39" s="1" t="n">
        <f aca="false">'Cleaned Data'!M39</f>
        <v>26</v>
      </c>
      <c r="N39" s="1" t="str">
        <f aca="false">'Cleaned Data'!N39</f>
        <v>No</v>
      </c>
      <c r="O39" s="1" t="str">
        <f aca="false">TEXT(G39,"yyyy-mm")</f>
        <v>2025-03</v>
      </c>
      <c r="P39" s="1" t="str">
        <f aca="false">IF(H39&lt;20,"Low",IF(H39&lt;=60,"Medium","High"))</f>
        <v>High</v>
      </c>
      <c r="Q39" s="1" t="str">
        <f aca="false">IF(I39&gt;0,"Yes","No")</f>
        <v>No</v>
      </c>
      <c r="R39" s="1" t="n">
        <f aca="false">IF(N39="Yes",1,0)</f>
        <v>0</v>
      </c>
    </row>
    <row r="40" customFormat="false" ht="15" hidden="false" customHeight="true" outlineLevel="0" collapsed="false">
      <c r="A40" s="1" t="str">
        <f aca="false">'Cleaned Data'!A40</f>
        <v>S00036</v>
      </c>
      <c r="B40" s="1" t="str">
        <f aca="false">'Cleaned Data'!B40</f>
        <v>P4961</v>
      </c>
      <c r="C40" s="1" t="str">
        <f aca="false">'Cleaned Data'!C40</f>
        <v>sandyherman</v>
      </c>
      <c r="D40" s="1" t="str">
        <f aca="false">'Cleaned Data'!D40</f>
        <v>Empire Wars</v>
      </c>
      <c r="E40" s="1" t="str">
        <f aca="false">'Cleaned Data'!E40</f>
        <v>Mobile</v>
      </c>
      <c r="F40" s="1" t="str">
        <f aca="false">'Cleaned Data'!F40</f>
        <v>Central</v>
      </c>
      <c r="G40" s="23" t="n">
        <f aca="false">'Cleaned Data'!G40</f>
        <v>45750</v>
      </c>
      <c r="H40" s="1" t="n">
        <f aca="false">'Cleaned Data'!H40</f>
        <v>86</v>
      </c>
      <c r="I40" s="24" t="n">
        <f aca="false">'Cleaned Data'!I40</f>
        <v>0</v>
      </c>
      <c r="J40" s="1" t="str">
        <f aca="false">'Cleaned Data'!J40</f>
        <v>None</v>
      </c>
      <c r="K40" s="1" t="str">
        <f aca="false">'Cleaned Data'!K40</f>
        <v>Completed</v>
      </c>
      <c r="L40" s="1" t="str">
        <f aca="false">'Cleaned Data'!L40</f>
        <v>Free</v>
      </c>
      <c r="M40" s="1" t="n">
        <f aca="false">'Cleaned Data'!M40</f>
        <v>47</v>
      </c>
      <c r="N40" s="1" t="str">
        <f aca="false">'Cleaned Data'!N40</f>
        <v>No</v>
      </c>
      <c r="O40" s="1" t="str">
        <f aca="false">TEXT(G40,"yyyy-mm")</f>
        <v>2025-04</v>
      </c>
      <c r="P40" s="1" t="str">
        <f aca="false">IF(H40&lt;20,"Low",IF(H40&lt;=60,"Medium","High"))</f>
        <v>High</v>
      </c>
      <c r="Q40" s="1" t="str">
        <f aca="false">IF(I40&gt;0,"Yes","No")</f>
        <v>No</v>
      </c>
      <c r="R40" s="1" t="n">
        <f aca="false">IF(N40="Yes",1,0)</f>
        <v>0</v>
      </c>
    </row>
    <row r="41" customFormat="false" ht="15" hidden="false" customHeight="true" outlineLevel="0" collapsed="false">
      <c r="A41" s="1" t="str">
        <f aca="false">'Cleaned Data'!A41</f>
        <v>S00037</v>
      </c>
      <c r="B41" s="1" t="str">
        <f aca="false">'Cleaned Data'!B41</f>
        <v>P2861</v>
      </c>
      <c r="C41" s="1" t="str">
        <f aca="false">'Cleaned Data'!C41</f>
        <v>leahlee</v>
      </c>
      <c r="D41" s="1" t="str">
        <f aca="false">'Cleaned Data'!D41</f>
        <v>Clash of Realms</v>
      </c>
      <c r="E41" s="1" t="str">
        <f aca="false">'Cleaned Data'!E41</f>
        <v>PC</v>
      </c>
      <c r="F41" s="1" t="str">
        <f aca="false">'Cleaned Data'!F41</f>
        <v>North</v>
      </c>
      <c r="G41" s="23" t="n">
        <f aca="false">'Cleaned Data'!G41</f>
        <v>45721</v>
      </c>
      <c r="H41" s="1" t="n">
        <f aca="false">'Cleaned Data'!H41</f>
        <v>149</v>
      </c>
      <c r="I41" s="24" t="n">
        <f aca="false">'Cleaned Data'!I41</f>
        <v>0</v>
      </c>
      <c r="J41" s="1" t="str">
        <f aca="false">'Cleaned Data'!J41</f>
        <v>None</v>
      </c>
      <c r="K41" s="1" t="str">
        <f aca="false">'Cleaned Data'!K41</f>
        <v>Completed</v>
      </c>
      <c r="L41" s="1" t="str">
        <f aca="false">'Cleaned Data'!L41</f>
        <v>Free</v>
      </c>
      <c r="M41" s="1" t="n">
        <f aca="false">'Cleaned Data'!M41</f>
        <v>48</v>
      </c>
      <c r="N41" s="1" t="str">
        <f aca="false">'Cleaned Data'!N41</f>
        <v>No</v>
      </c>
      <c r="O41" s="1" t="str">
        <f aca="false">TEXT(G41,"yyyy-mm")</f>
        <v>2025-03</v>
      </c>
      <c r="P41" s="1" t="str">
        <f aca="false">IF(H41&lt;20,"Low",IF(H41&lt;=60,"Medium","High"))</f>
        <v>High</v>
      </c>
      <c r="Q41" s="1" t="str">
        <f aca="false">IF(I41&gt;0,"Yes","No")</f>
        <v>No</v>
      </c>
      <c r="R41" s="1" t="n">
        <f aca="false">IF(N41="Yes",1,0)</f>
        <v>0</v>
      </c>
    </row>
    <row r="42" customFormat="false" ht="15" hidden="false" customHeight="true" outlineLevel="0" collapsed="false">
      <c r="A42" s="1" t="str">
        <f aca="false">'Cleaned Data'!A42</f>
        <v>S00038</v>
      </c>
      <c r="B42" s="1" t="str">
        <f aca="false">'Cleaned Data'!B42</f>
        <v>P7945</v>
      </c>
      <c r="C42" s="1" t="str">
        <f aca="false">'Cleaned Data'!C42</f>
        <v>richardhooper</v>
      </c>
      <c r="D42" s="1" t="str">
        <f aca="false">'Cleaned Data'!D42</f>
        <v>BattleZone</v>
      </c>
      <c r="E42" s="1" t="str">
        <f aca="false">'Cleaned Data'!E42</f>
        <v>Console</v>
      </c>
      <c r="F42" s="1" t="str">
        <f aca="false">'Cleaned Data'!F42</f>
        <v>Central</v>
      </c>
      <c r="G42" s="23" t="n">
        <f aca="false">'Cleaned Data'!G42</f>
        <v>45790</v>
      </c>
      <c r="H42" s="1" t="n">
        <f aca="false">'Cleaned Data'!H42</f>
        <v>121</v>
      </c>
      <c r="I42" s="24" t="n">
        <f aca="false">'Cleaned Data'!I42</f>
        <v>0</v>
      </c>
      <c r="J42" s="1" t="str">
        <f aca="false">'Cleaned Data'!J42</f>
        <v>None</v>
      </c>
      <c r="K42" s="1" t="str">
        <f aca="false">'Cleaned Data'!K42</f>
        <v>Completed</v>
      </c>
      <c r="L42" s="1" t="str">
        <f aca="false">'Cleaned Data'!L42</f>
        <v>Free</v>
      </c>
      <c r="M42" s="1" t="n">
        <f aca="false">'Cleaned Data'!M42</f>
        <v>14</v>
      </c>
      <c r="N42" s="1" t="str">
        <f aca="false">'Cleaned Data'!N42</f>
        <v>No</v>
      </c>
      <c r="O42" s="1" t="str">
        <f aca="false">TEXT(G42,"yyyy-mm")</f>
        <v>2025-05</v>
      </c>
      <c r="P42" s="1" t="str">
        <f aca="false">IF(H42&lt;20,"Low",IF(H42&lt;=60,"Medium","High"))</f>
        <v>High</v>
      </c>
      <c r="Q42" s="1" t="str">
        <f aca="false">IF(I42&gt;0,"Yes","No")</f>
        <v>No</v>
      </c>
      <c r="R42" s="1" t="n">
        <f aca="false">IF(N42="Yes",1,0)</f>
        <v>0</v>
      </c>
    </row>
    <row r="43" customFormat="false" ht="15" hidden="false" customHeight="true" outlineLevel="0" collapsed="false">
      <c r="A43" s="1" t="str">
        <f aca="false">'Cleaned Data'!A43</f>
        <v>S00039</v>
      </c>
      <c r="B43" s="1" t="str">
        <f aca="false">'Cleaned Data'!B43</f>
        <v>P3668</v>
      </c>
      <c r="C43" s="1" t="str">
        <f aca="false">'Cleaned Data'!C43</f>
        <v>jenniferwilcox</v>
      </c>
      <c r="D43" s="1" t="str">
        <f aca="false">'Cleaned Data'!D43</f>
        <v>SpeedX</v>
      </c>
      <c r="E43" s="1" t="str">
        <f aca="false">'Cleaned Data'!E43</f>
        <v>Mobile</v>
      </c>
      <c r="F43" s="1" t="str">
        <f aca="false">'Cleaned Data'!F43</f>
        <v>Central</v>
      </c>
      <c r="G43" s="23" t="n">
        <f aca="false">'Cleaned Data'!G43</f>
        <v>45702</v>
      </c>
      <c r="H43" s="1" t="n">
        <f aca="false">'Cleaned Data'!H43</f>
        <v>154</v>
      </c>
      <c r="I43" s="24" t="n">
        <f aca="false">'Cleaned Data'!I43</f>
        <v>0</v>
      </c>
      <c r="J43" s="1" t="str">
        <f aca="false">'Cleaned Data'!J43</f>
        <v>None</v>
      </c>
      <c r="K43" s="1" t="str">
        <f aca="false">'Cleaned Data'!K43</f>
        <v>Completed</v>
      </c>
      <c r="L43" s="1" t="str">
        <f aca="false">'Cleaned Data'!L43</f>
        <v>Free</v>
      </c>
      <c r="M43" s="1" t="n">
        <f aca="false">'Cleaned Data'!M43</f>
        <v>44</v>
      </c>
      <c r="N43" s="1" t="str">
        <f aca="false">'Cleaned Data'!N43</f>
        <v>Yes</v>
      </c>
      <c r="O43" s="1" t="str">
        <f aca="false">TEXT(G43,"yyyy-mm")</f>
        <v>2025-02</v>
      </c>
      <c r="P43" s="1" t="str">
        <f aca="false">IF(H43&lt;20,"Low",IF(H43&lt;=60,"Medium","High"))</f>
        <v>High</v>
      </c>
      <c r="Q43" s="1" t="str">
        <f aca="false">IF(I43&gt;0,"Yes","No")</f>
        <v>No</v>
      </c>
      <c r="R43" s="1" t="n">
        <f aca="false">IF(N43="Yes",1,0)</f>
        <v>1</v>
      </c>
    </row>
    <row r="44" customFormat="false" ht="15" hidden="false" customHeight="true" outlineLevel="0" collapsed="false">
      <c r="A44" s="1" t="str">
        <f aca="false">'Cleaned Data'!A44</f>
        <v>S00040</v>
      </c>
      <c r="B44" s="1" t="str">
        <f aca="false">'Cleaned Data'!B44</f>
        <v>P3875</v>
      </c>
      <c r="C44" s="1" t="str">
        <f aca="false">'Cleaned Data'!C44</f>
        <v>bruce09</v>
      </c>
      <c r="D44" s="1" t="str">
        <f aca="false">'Cleaned Data'!D44</f>
        <v>SpeedX</v>
      </c>
      <c r="E44" s="1" t="str">
        <f aca="false">'Cleaned Data'!E44</f>
        <v>PC</v>
      </c>
      <c r="F44" s="1" t="str">
        <f aca="false">'Cleaned Data'!F44</f>
        <v>North-East</v>
      </c>
      <c r="G44" s="23" t="n">
        <f aca="false">'Cleaned Data'!G44</f>
        <v>45673</v>
      </c>
      <c r="H44" s="1" t="n">
        <f aca="false">'Cleaned Data'!H44</f>
        <v>82</v>
      </c>
      <c r="I44" s="24" t="n">
        <f aca="false">'Cleaned Data'!I44</f>
        <v>24.1</v>
      </c>
      <c r="J44" s="1" t="str">
        <f aca="false">'Cleaned Data'!J44</f>
        <v>Skins</v>
      </c>
      <c r="K44" s="1" t="str">
        <f aca="false">'Cleaned Data'!K44</f>
        <v>Completed</v>
      </c>
      <c r="L44" s="1" t="str">
        <f aca="false">'Cleaned Data'!L44</f>
        <v>Paid</v>
      </c>
      <c r="M44" s="1" t="n">
        <f aca="false">'Cleaned Data'!M44</f>
        <v>34</v>
      </c>
      <c r="N44" s="1" t="str">
        <f aca="false">'Cleaned Data'!N44</f>
        <v>No</v>
      </c>
      <c r="O44" s="1" t="str">
        <f aca="false">TEXT(G44,"yyyy-mm")</f>
        <v>2025-01</v>
      </c>
      <c r="P44" s="1" t="str">
        <f aca="false">IF(H44&lt;20,"Low",IF(H44&lt;=60,"Medium","High"))</f>
        <v>High</v>
      </c>
      <c r="Q44" s="1" t="str">
        <f aca="false">IF(I44&gt;0,"Yes","No")</f>
        <v>Yes</v>
      </c>
      <c r="R44" s="1" t="n">
        <f aca="false">IF(N44="Yes",1,0)</f>
        <v>0</v>
      </c>
    </row>
    <row r="45" customFormat="false" ht="15" hidden="false" customHeight="true" outlineLevel="0" collapsed="false">
      <c r="A45" s="1" t="str">
        <f aca="false">'Cleaned Data'!A45</f>
        <v>S00041</v>
      </c>
      <c r="B45" s="1" t="str">
        <f aca="false">'Cleaned Data'!B45</f>
        <v>P2707</v>
      </c>
      <c r="C45" s="1" t="str">
        <f aca="false">'Cleaned Data'!C45</f>
        <v>tpark</v>
      </c>
      <c r="D45" s="1" t="str">
        <f aca="false">'Cleaned Data'!D45</f>
        <v>Empire Wars</v>
      </c>
      <c r="E45" s="1" t="str">
        <f aca="false">'Cleaned Data'!E45</f>
        <v>PC</v>
      </c>
      <c r="F45" s="1" t="str">
        <f aca="false">'Cleaned Data'!F45</f>
        <v>South</v>
      </c>
      <c r="G45" s="23" t="n">
        <f aca="false">'Cleaned Data'!G45</f>
        <v>45642</v>
      </c>
      <c r="H45" s="1" t="n">
        <f aca="false">'Cleaned Data'!H45</f>
        <v>49</v>
      </c>
      <c r="I45" s="24" t="n">
        <f aca="false">'Cleaned Data'!I45</f>
        <v>0</v>
      </c>
      <c r="J45" s="1" t="str">
        <f aca="false">'Cleaned Data'!J45</f>
        <v>None</v>
      </c>
      <c r="K45" s="1" t="str">
        <f aca="false">'Cleaned Data'!K45</f>
        <v>Completed</v>
      </c>
      <c r="L45" s="1" t="str">
        <f aca="false">'Cleaned Data'!L45</f>
        <v>Free</v>
      </c>
      <c r="M45" s="1" t="n">
        <f aca="false">'Cleaned Data'!M45</f>
        <v>9</v>
      </c>
      <c r="N45" s="1" t="str">
        <f aca="false">'Cleaned Data'!N45</f>
        <v>No</v>
      </c>
      <c r="O45" s="1" t="str">
        <f aca="false">TEXT(G45,"yyyy-mm")</f>
        <v>2024-12</v>
      </c>
      <c r="P45" s="1" t="str">
        <f aca="false">IF(H45&lt;20,"Low",IF(H45&lt;=60,"Medium","High"))</f>
        <v>Medium</v>
      </c>
      <c r="Q45" s="1" t="str">
        <f aca="false">IF(I45&gt;0,"Yes","No")</f>
        <v>No</v>
      </c>
      <c r="R45" s="1" t="n">
        <f aca="false">IF(N45="Yes",1,0)</f>
        <v>0</v>
      </c>
    </row>
    <row r="46" customFormat="false" ht="15" hidden="false" customHeight="true" outlineLevel="0" collapsed="false">
      <c r="A46" s="1" t="str">
        <f aca="false">'Cleaned Data'!A46</f>
        <v>S00042</v>
      </c>
      <c r="B46" s="1" t="str">
        <f aca="false">'Cleaned Data'!B46</f>
        <v>P2683</v>
      </c>
      <c r="C46" s="1" t="str">
        <f aca="false">'Cleaned Data'!C46</f>
        <v>csanchez</v>
      </c>
      <c r="D46" s="1" t="str">
        <f aca="false">'Cleaned Data'!D46</f>
        <v>Clash of Realms</v>
      </c>
      <c r="E46" s="1" t="str">
        <f aca="false">'Cleaned Data'!E46</f>
        <v>Console</v>
      </c>
      <c r="F46" s="1" t="str">
        <f aca="false">'Cleaned Data'!F46</f>
        <v>South</v>
      </c>
      <c r="G46" s="23" t="n">
        <f aca="false">'Cleaned Data'!G46</f>
        <v>45783</v>
      </c>
      <c r="H46" s="1" t="n">
        <f aca="false">'Cleaned Data'!H46</f>
        <v>35</v>
      </c>
      <c r="I46" s="24" t="n">
        <f aca="false">'Cleaned Data'!I46</f>
        <v>0</v>
      </c>
      <c r="J46" s="1" t="str">
        <f aca="false">'Cleaned Data'!J46</f>
        <v>None</v>
      </c>
      <c r="K46" s="1" t="str">
        <f aca="false">'Cleaned Data'!K46</f>
        <v>Completed</v>
      </c>
      <c r="L46" s="1" t="str">
        <f aca="false">'Cleaned Data'!L46</f>
        <v>Paid</v>
      </c>
      <c r="M46" s="1" t="n">
        <f aca="false">'Cleaned Data'!M46</f>
        <v>33</v>
      </c>
      <c r="N46" s="1" t="str">
        <f aca="false">'Cleaned Data'!N46</f>
        <v>No</v>
      </c>
      <c r="O46" s="1" t="str">
        <f aca="false">TEXT(G46,"yyyy-mm")</f>
        <v>2025-05</v>
      </c>
      <c r="P46" s="1" t="str">
        <f aca="false">IF(H46&lt;20,"Low",IF(H46&lt;=60,"Medium","High"))</f>
        <v>Medium</v>
      </c>
      <c r="Q46" s="1" t="str">
        <f aca="false">IF(I46&gt;0,"Yes","No")</f>
        <v>No</v>
      </c>
      <c r="R46" s="1" t="n">
        <f aca="false">IF(N46="Yes",1,0)</f>
        <v>0</v>
      </c>
    </row>
    <row r="47" customFormat="false" ht="15" hidden="false" customHeight="true" outlineLevel="0" collapsed="false">
      <c r="A47" s="1" t="str">
        <f aca="false">'Cleaned Data'!A47</f>
        <v>S00043</v>
      </c>
      <c r="B47" s="1" t="str">
        <f aca="false">'Cleaned Data'!B47</f>
        <v>P2171</v>
      </c>
      <c r="C47" s="1" t="str">
        <f aca="false">'Cleaned Data'!C47</f>
        <v>nnguyen</v>
      </c>
      <c r="D47" s="1" t="str">
        <f aca="false">'Cleaned Data'!D47</f>
        <v>BattleZone</v>
      </c>
      <c r="E47" s="1" t="str">
        <f aca="false">'Cleaned Data'!E47</f>
        <v>PC</v>
      </c>
      <c r="F47" s="1" t="str">
        <f aca="false">'Cleaned Data'!F47</f>
        <v>West</v>
      </c>
      <c r="G47" s="23" t="n">
        <f aca="false">'Cleaned Data'!G47</f>
        <v>45676</v>
      </c>
      <c r="H47" s="1" t="n">
        <f aca="false">'Cleaned Data'!H47</f>
        <v>112</v>
      </c>
      <c r="I47" s="24" t="n">
        <f aca="false">'Cleaned Data'!I47</f>
        <v>30.74</v>
      </c>
      <c r="J47" s="1" t="str">
        <f aca="false">'Cleaned Data'!J47</f>
        <v>Subscriptions</v>
      </c>
      <c r="K47" s="1" t="str">
        <f aca="false">'Cleaned Data'!K47</f>
        <v>Completed</v>
      </c>
      <c r="L47" s="1" t="str">
        <f aca="false">'Cleaned Data'!L47</f>
        <v>Paid</v>
      </c>
      <c r="M47" s="1" t="n">
        <f aca="false">'Cleaned Data'!M47</f>
        <v>10</v>
      </c>
      <c r="N47" s="1" t="str">
        <f aca="false">'Cleaned Data'!N47</f>
        <v>No</v>
      </c>
      <c r="O47" s="1" t="str">
        <f aca="false">TEXT(G47,"yyyy-mm")</f>
        <v>2025-01</v>
      </c>
      <c r="P47" s="1" t="str">
        <f aca="false">IF(H47&lt;20,"Low",IF(H47&lt;=60,"Medium","High"))</f>
        <v>High</v>
      </c>
      <c r="Q47" s="1" t="str">
        <f aca="false">IF(I47&gt;0,"Yes","No")</f>
        <v>Yes</v>
      </c>
      <c r="R47" s="1" t="n">
        <f aca="false">IF(N47="Yes",1,0)</f>
        <v>0</v>
      </c>
    </row>
    <row r="48" customFormat="false" ht="15" hidden="false" customHeight="true" outlineLevel="0" collapsed="false">
      <c r="A48" s="1" t="str">
        <f aca="false">'Cleaned Data'!A48</f>
        <v>S00044</v>
      </c>
      <c r="B48" s="1" t="str">
        <f aca="false">'Cleaned Data'!B48</f>
        <v>P5497</v>
      </c>
      <c r="C48" s="1" t="str">
        <f aca="false">'Cleaned Data'!C48</f>
        <v>vmooney</v>
      </c>
      <c r="D48" s="1" t="str">
        <f aca="false">'Cleaned Data'!D48</f>
        <v>BattleZone</v>
      </c>
      <c r="E48" s="1" t="str">
        <f aca="false">'Cleaned Data'!E48</f>
        <v>Console</v>
      </c>
      <c r="F48" s="1" t="str">
        <f aca="false">'Cleaned Data'!F48</f>
        <v>West</v>
      </c>
      <c r="G48" s="23" t="n">
        <f aca="false">'Cleaned Data'!G48</f>
        <v>45692</v>
      </c>
      <c r="H48" s="1" t="n">
        <f aca="false">'Cleaned Data'!H48</f>
        <v>67</v>
      </c>
      <c r="I48" s="24" t="n">
        <f aca="false">'Cleaned Data'!I48</f>
        <v>0</v>
      </c>
      <c r="J48" s="1" t="str">
        <f aca="false">'Cleaned Data'!J48</f>
        <v>None</v>
      </c>
      <c r="K48" s="1" t="str">
        <f aca="false">'Cleaned Data'!K48</f>
        <v>Exited Early</v>
      </c>
      <c r="L48" s="1" t="str">
        <f aca="false">'Cleaned Data'!L48</f>
        <v>Free</v>
      </c>
      <c r="M48" s="1" t="n">
        <f aca="false">'Cleaned Data'!M48</f>
        <v>16</v>
      </c>
      <c r="N48" s="1" t="str">
        <f aca="false">'Cleaned Data'!N48</f>
        <v>No</v>
      </c>
      <c r="O48" s="1" t="str">
        <f aca="false">TEXT(G48,"yyyy-mm")</f>
        <v>2025-02</v>
      </c>
      <c r="P48" s="1" t="str">
        <f aca="false">IF(H48&lt;20,"Low",IF(H48&lt;=60,"Medium","High"))</f>
        <v>High</v>
      </c>
      <c r="Q48" s="1" t="str">
        <f aca="false">IF(I48&gt;0,"Yes","No")</f>
        <v>No</v>
      </c>
      <c r="R48" s="1" t="n">
        <f aca="false">IF(N48="Yes",1,0)</f>
        <v>0</v>
      </c>
    </row>
    <row r="49" customFormat="false" ht="15" hidden="false" customHeight="true" outlineLevel="0" collapsed="false">
      <c r="A49" s="1" t="str">
        <f aca="false">'Cleaned Data'!A49</f>
        <v>S00045</v>
      </c>
      <c r="B49" s="1" t="str">
        <f aca="false">'Cleaned Data'!B49</f>
        <v>P7820</v>
      </c>
      <c r="C49" s="1" t="str">
        <f aca="false">'Cleaned Data'!C49</f>
        <v>jennifer87</v>
      </c>
      <c r="D49" s="1" t="str">
        <f aca="false">'Cleaned Data'!D49</f>
        <v>BattleZone</v>
      </c>
      <c r="E49" s="1" t="str">
        <f aca="false">'Cleaned Data'!E49</f>
        <v>PC</v>
      </c>
      <c r="F49" s="1" t="str">
        <f aca="false">'Cleaned Data'!F49</f>
        <v>West</v>
      </c>
      <c r="G49" s="23" t="n">
        <f aca="false">'Cleaned Data'!G49</f>
        <v>45676</v>
      </c>
      <c r="H49" s="1" t="n">
        <f aca="false">'Cleaned Data'!H49</f>
        <v>15</v>
      </c>
      <c r="I49" s="24" t="n">
        <f aca="false">'Cleaned Data'!I49</f>
        <v>0</v>
      </c>
      <c r="J49" s="1" t="str">
        <f aca="false">'Cleaned Data'!J49</f>
        <v>None</v>
      </c>
      <c r="K49" s="1" t="str">
        <f aca="false">'Cleaned Data'!K49</f>
        <v>Crashed</v>
      </c>
      <c r="L49" s="1" t="str">
        <f aca="false">'Cleaned Data'!L49</f>
        <v>Free</v>
      </c>
      <c r="M49" s="1" t="n">
        <f aca="false">'Cleaned Data'!M49</f>
        <v>38</v>
      </c>
      <c r="N49" s="1" t="str">
        <f aca="false">'Cleaned Data'!N49</f>
        <v>No</v>
      </c>
      <c r="O49" s="1" t="str">
        <f aca="false">TEXT(G49,"yyyy-mm")</f>
        <v>2025-01</v>
      </c>
      <c r="P49" s="1" t="str">
        <f aca="false">IF(H49&lt;20,"Low",IF(H49&lt;=60,"Medium","High"))</f>
        <v>Low</v>
      </c>
      <c r="Q49" s="1" t="str">
        <f aca="false">IF(I49&gt;0,"Yes","No")</f>
        <v>No</v>
      </c>
      <c r="R49" s="1" t="n">
        <f aca="false">IF(N49="Yes",1,0)</f>
        <v>0</v>
      </c>
    </row>
    <row r="50" customFormat="false" ht="15" hidden="false" customHeight="true" outlineLevel="0" collapsed="false">
      <c r="A50" s="1" t="str">
        <f aca="false">'Cleaned Data'!A50</f>
        <v>S00046</v>
      </c>
      <c r="B50" s="1" t="str">
        <f aca="false">'Cleaned Data'!B50</f>
        <v>P5339</v>
      </c>
      <c r="C50" s="1" t="str">
        <f aca="false">'Cleaned Data'!C50</f>
        <v>jcarter</v>
      </c>
      <c r="D50" s="1" t="str">
        <f aca="false">'Cleaned Data'!D50</f>
        <v>SpeedX</v>
      </c>
      <c r="E50" s="1" t="str">
        <f aca="false">'Cleaned Data'!E50</f>
        <v>Console</v>
      </c>
      <c r="F50" s="1" t="str">
        <f aca="false">'Cleaned Data'!F50</f>
        <v>South</v>
      </c>
      <c r="G50" s="23" t="n">
        <f aca="false">'Cleaned Data'!G50</f>
        <v>45717</v>
      </c>
      <c r="H50" s="1" t="n">
        <f aca="false">'Cleaned Data'!H50</f>
        <v>8</v>
      </c>
      <c r="I50" s="24" t="n">
        <f aca="false">'Cleaned Data'!I50</f>
        <v>0</v>
      </c>
      <c r="J50" s="1" t="str">
        <f aca="false">'Cleaned Data'!J50</f>
        <v>None</v>
      </c>
      <c r="K50" s="1" t="str">
        <f aca="false">'Cleaned Data'!K50</f>
        <v>Completed</v>
      </c>
      <c r="L50" s="1" t="str">
        <f aca="false">'Cleaned Data'!L50</f>
        <v>Free</v>
      </c>
      <c r="M50" s="1" t="n">
        <f aca="false">'Cleaned Data'!M50</f>
        <v>33</v>
      </c>
      <c r="N50" s="1" t="str">
        <f aca="false">'Cleaned Data'!N50</f>
        <v>No</v>
      </c>
      <c r="O50" s="1" t="str">
        <f aca="false">TEXT(G50,"yyyy-mm")</f>
        <v>2025-03</v>
      </c>
      <c r="P50" s="1" t="str">
        <f aca="false">IF(H50&lt;20,"Low",IF(H50&lt;=60,"Medium","High"))</f>
        <v>Low</v>
      </c>
      <c r="Q50" s="1" t="str">
        <f aca="false">IF(I50&gt;0,"Yes","No")</f>
        <v>No</v>
      </c>
      <c r="R50" s="1" t="n">
        <f aca="false">IF(N50="Yes",1,0)</f>
        <v>0</v>
      </c>
    </row>
    <row r="51" customFormat="false" ht="15" hidden="false" customHeight="true" outlineLevel="0" collapsed="false">
      <c r="A51" s="1" t="str">
        <f aca="false">'Cleaned Data'!A51</f>
        <v>S00047</v>
      </c>
      <c r="B51" s="1" t="str">
        <f aca="false">'Cleaned Data'!B51</f>
        <v>P2125</v>
      </c>
      <c r="C51" s="1" t="str">
        <f aca="false">'Cleaned Data'!C51</f>
        <v>jlane</v>
      </c>
      <c r="D51" s="1" t="str">
        <f aca="false">'Cleaned Data'!D51</f>
        <v>Clash of Realms</v>
      </c>
      <c r="E51" s="1" t="str">
        <f aca="false">'Cleaned Data'!E51</f>
        <v>Mobile</v>
      </c>
      <c r="F51" s="1" t="str">
        <f aca="false">'Cleaned Data'!F51</f>
        <v>West</v>
      </c>
      <c r="G51" s="23" t="n">
        <f aca="false">'Cleaned Data'!G51</f>
        <v>45643</v>
      </c>
      <c r="H51" s="1" t="n">
        <f aca="false">'Cleaned Data'!H51</f>
        <v>27</v>
      </c>
      <c r="I51" s="24" t="n">
        <f aca="false">'Cleaned Data'!I51</f>
        <v>0</v>
      </c>
      <c r="J51" s="1" t="str">
        <f aca="false">'Cleaned Data'!J51</f>
        <v>None</v>
      </c>
      <c r="K51" s="1" t="str">
        <f aca="false">'Cleaned Data'!K51</f>
        <v>Completed</v>
      </c>
      <c r="L51" s="1" t="str">
        <f aca="false">'Cleaned Data'!L51</f>
        <v>Free</v>
      </c>
      <c r="M51" s="1" t="n">
        <f aca="false">'Cleaned Data'!M51</f>
        <v>19</v>
      </c>
      <c r="N51" s="1" t="str">
        <f aca="false">'Cleaned Data'!N51</f>
        <v>No</v>
      </c>
      <c r="O51" s="1" t="str">
        <f aca="false">TEXT(G51,"yyyy-mm")</f>
        <v>2024-12</v>
      </c>
      <c r="P51" s="1" t="str">
        <f aca="false">IF(H51&lt;20,"Low",IF(H51&lt;=60,"Medium","High"))</f>
        <v>Medium</v>
      </c>
      <c r="Q51" s="1" t="str">
        <f aca="false">IF(I51&gt;0,"Yes","No")</f>
        <v>No</v>
      </c>
      <c r="R51" s="1" t="n">
        <f aca="false">IF(N51="Yes",1,0)</f>
        <v>0</v>
      </c>
    </row>
    <row r="52" customFormat="false" ht="15" hidden="false" customHeight="true" outlineLevel="0" collapsed="false">
      <c r="A52" s="1" t="str">
        <f aca="false">'Cleaned Data'!A52</f>
        <v>S00048</v>
      </c>
      <c r="B52" s="1" t="str">
        <f aca="false">'Cleaned Data'!B52</f>
        <v>P1178</v>
      </c>
      <c r="C52" s="1" t="str">
        <f aca="false">'Cleaned Data'!C52</f>
        <v>nathan33</v>
      </c>
      <c r="D52" s="1" t="str">
        <f aca="false">'Cleaned Data'!D52</f>
        <v>BattleZone</v>
      </c>
      <c r="E52" s="1" t="str">
        <f aca="false">'Cleaned Data'!E52</f>
        <v>Console</v>
      </c>
      <c r="F52" s="1" t="str">
        <f aca="false">'Cleaned Data'!F52</f>
        <v>North</v>
      </c>
      <c r="G52" s="23" t="n">
        <f aca="false">'Cleaned Data'!G52</f>
        <v>45692</v>
      </c>
      <c r="H52" s="1" t="n">
        <f aca="false">'Cleaned Data'!H52</f>
        <v>115</v>
      </c>
      <c r="I52" s="24" t="n">
        <f aca="false">'Cleaned Data'!I52</f>
        <v>22.35</v>
      </c>
      <c r="J52" s="1" t="str">
        <f aca="false">'Cleaned Data'!J52</f>
        <v>Subscriptions</v>
      </c>
      <c r="K52" s="1" t="str">
        <f aca="false">'Cleaned Data'!K52</f>
        <v>Completed</v>
      </c>
      <c r="L52" s="1" t="str">
        <f aca="false">'Cleaned Data'!L52</f>
        <v>Paid</v>
      </c>
      <c r="M52" s="1" t="n">
        <f aca="false">'Cleaned Data'!M52</f>
        <v>43</v>
      </c>
      <c r="N52" s="1" t="str">
        <f aca="false">'Cleaned Data'!N52</f>
        <v>No</v>
      </c>
      <c r="O52" s="1" t="str">
        <f aca="false">TEXT(G52,"yyyy-mm")</f>
        <v>2025-02</v>
      </c>
      <c r="P52" s="1" t="str">
        <f aca="false">IF(H52&lt;20,"Low",IF(H52&lt;=60,"Medium","High"))</f>
        <v>High</v>
      </c>
      <c r="Q52" s="1" t="str">
        <f aca="false">IF(I52&gt;0,"Yes","No")</f>
        <v>Yes</v>
      </c>
      <c r="R52" s="1" t="n">
        <f aca="false">IF(N52="Yes",1,0)</f>
        <v>0</v>
      </c>
    </row>
    <row r="53" customFormat="false" ht="15" hidden="false" customHeight="true" outlineLevel="0" collapsed="false">
      <c r="A53" s="1" t="str">
        <f aca="false">'Cleaned Data'!A53</f>
        <v>S00049</v>
      </c>
      <c r="B53" s="1" t="str">
        <f aca="false">'Cleaned Data'!B53</f>
        <v>P2502</v>
      </c>
      <c r="C53" s="1" t="str">
        <f aca="false">'Cleaned Data'!C53</f>
        <v>owensjoseph</v>
      </c>
      <c r="D53" s="1" t="str">
        <f aca="false">'Cleaned Data'!D53</f>
        <v>Zombie Rush</v>
      </c>
      <c r="E53" s="1" t="str">
        <f aca="false">'Cleaned Data'!E53</f>
        <v>Mobile</v>
      </c>
      <c r="F53" s="1" t="str">
        <f aca="false">'Cleaned Data'!F53</f>
        <v>Central</v>
      </c>
      <c r="G53" s="23" t="n">
        <f aca="false">'Cleaned Data'!G53</f>
        <v>45715</v>
      </c>
      <c r="H53" s="1" t="n">
        <f aca="false">'Cleaned Data'!H53</f>
        <v>27</v>
      </c>
      <c r="I53" s="24" t="n">
        <f aca="false">'Cleaned Data'!I53</f>
        <v>0</v>
      </c>
      <c r="J53" s="1" t="str">
        <f aca="false">'Cleaned Data'!J53</f>
        <v>None</v>
      </c>
      <c r="K53" s="1" t="str">
        <f aca="false">'Cleaned Data'!K53</f>
        <v>Completed</v>
      </c>
      <c r="L53" s="1" t="str">
        <f aca="false">'Cleaned Data'!L53</f>
        <v>Free</v>
      </c>
      <c r="M53" s="1" t="n">
        <f aca="false">'Cleaned Data'!M53</f>
        <v>39</v>
      </c>
      <c r="N53" s="1" t="str">
        <f aca="false">'Cleaned Data'!N53</f>
        <v>No</v>
      </c>
      <c r="O53" s="1" t="str">
        <f aca="false">TEXT(G53,"yyyy-mm")</f>
        <v>2025-02</v>
      </c>
      <c r="P53" s="1" t="str">
        <f aca="false">IF(H53&lt;20,"Low",IF(H53&lt;=60,"Medium","High"))</f>
        <v>Medium</v>
      </c>
      <c r="Q53" s="1" t="str">
        <f aca="false">IF(I53&gt;0,"Yes","No")</f>
        <v>No</v>
      </c>
      <c r="R53" s="1" t="n">
        <f aca="false">IF(N53="Yes",1,0)</f>
        <v>0</v>
      </c>
    </row>
    <row r="54" customFormat="false" ht="15" hidden="false" customHeight="true" outlineLevel="0" collapsed="false">
      <c r="A54" s="1" t="str">
        <f aca="false">'Cleaned Data'!A54</f>
        <v>S00050</v>
      </c>
      <c r="B54" s="1" t="str">
        <f aca="false">'Cleaned Data'!B54</f>
        <v>P5155</v>
      </c>
      <c r="C54" s="1" t="str">
        <f aca="false">'Cleaned Data'!C54</f>
        <v>griffinsarah</v>
      </c>
      <c r="D54" s="1" t="str">
        <f aca="false">'Cleaned Data'!D54</f>
        <v>SpeedX</v>
      </c>
      <c r="E54" s="1" t="str">
        <f aca="false">'Cleaned Data'!E54</f>
        <v>Mobile</v>
      </c>
      <c r="F54" s="1" t="str">
        <f aca="false">'Cleaned Data'!F54</f>
        <v>Central</v>
      </c>
      <c r="G54" s="23" t="n">
        <f aca="false">'Cleaned Data'!G54</f>
        <v>45658</v>
      </c>
      <c r="H54" s="1" t="n">
        <f aca="false">'Cleaned Data'!H54</f>
        <v>82</v>
      </c>
      <c r="I54" s="24" t="n">
        <f aca="false">'Cleaned Data'!I54</f>
        <v>0</v>
      </c>
      <c r="J54" s="1" t="str">
        <f aca="false">'Cleaned Data'!J54</f>
        <v>None</v>
      </c>
      <c r="K54" s="1" t="str">
        <f aca="false">'Cleaned Data'!K54</f>
        <v>Incomplete</v>
      </c>
      <c r="L54" s="1" t="str">
        <f aca="false">'Cleaned Data'!L54</f>
        <v>Free</v>
      </c>
      <c r="M54" s="1" t="n">
        <f aca="false">'Cleaned Data'!M54</f>
        <v>26</v>
      </c>
      <c r="N54" s="1" t="str">
        <f aca="false">'Cleaned Data'!N54</f>
        <v>No</v>
      </c>
      <c r="O54" s="1" t="str">
        <f aca="false">TEXT(G54,"yyyy-mm")</f>
        <v>2025-01</v>
      </c>
      <c r="P54" s="1" t="str">
        <f aca="false">IF(H54&lt;20,"Low",IF(H54&lt;=60,"Medium","High"))</f>
        <v>High</v>
      </c>
      <c r="Q54" s="1" t="str">
        <f aca="false">IF(I54&gt;0,"Yes","No")</f>
        <v>No</v>
      </c>
      <c r="R54" s="1" t="n">
        <f aca="false">IF(N54="Yes",1,0)</f>
        <v>0</v>
      </c>
    </row>
    <row r="55" customFormat="false" ht="15" hidden="false" customHeight="true" outlineLevel="0" collapsed="false">
      <c r="A55" s="1" t="str">
        <f aca="false">'Cleaned Data'!A55</f>
        <v>S00051</v>
      </c>
      <c r="B55" s="1" t="str">
        <f aca="false">'Cleaned Data'!B55</f>
        <v>P3174</v>
      </c>
      <c r="C55" s="1" t="str">
        <f aca="false">'Cleaned Data'!C55</f>
        <v>petersonlacey</v>
      </c>
      <c r="D55" s="1" t="str">
        <f aca="false">'Cleaned Data'!D55</f>
        <v>BattleZone</v>
      </c>
      <c r="E55" s="1" t="str">
        <f aca="false">'Cleaned Data'!E55</f>
        <v>Console</v>
      </c>
      <c r="F55" s="1" t="str">
        <f aca="false">'Cleaned Data'!F55</f>
        <v>South</v>
      </c>
      <c r="G55" s="23" t="n">
        <f aca="false">'Cleaned Data'!G55</f>
        <v>45781</v>
      </c>
      <c r="H55" s="1" t="n">
        <f aca="false">'Cleaned Data'!H55</f>
        <v>42</v>
      </c>
      <c r="I55" s="24" t="n">
        <f aca="false">'Cleaned Data'!I55</f>
        <v>0</v>
      </c>
      <c r="J55" s="1" t="str">
        <f aca="false">'Cleaned Data'!J55</f>
        <v>None</v>
      </c>
      <c r="K55" s="1" t="str">
        <f aca="false">'Cleaned Data'!K55</f>
        <v>Completed</v>
      </c>
      <c r="L55" s="1" t="str">
        <f aca="false">'Cleaned Data'!L55</f>
        <v>Free</v>
      </c>
      <c r="M55" s="1" t="n">
        <f aca="false">'Cleaned Data'!M55</f>
        <v>18</v>
      </c>
      <c r="N55" s="1" t="str">
        <f aca="false">'Cleaned Data'!N55</f>
        <v>No</v>
      </c>
      <c r="O55" s="1" t="str">
        <f aca="false">TEXT(G55,"yyyy-mm")</f>
        <v>2025-05</v>
      </c>
      <c r="P55" s="1" t="str">
        <f aca="false">IF(H55&lt;20,"Low",IF(H55&lt;=60,"Medium","High"))</f>
        <v>Medium</v>
      </c>
      <c r="Q55" s="1" t="str">
        <f aca="false">IF(I55&gt;0,"Yes","No")</f>
        <v>No</v>
      </c>
      <c r="R55" s="1" t="n">
        <f aca="false">IF(N55="Yes",1,0)</f>
        <v>0</v>
      </c>
    </row>
    <row r="56" customFormat="false" ht="15" hidden="false" customHeight="true" outlineLevel="0" collapsed="false">
      <c r="A56" s="1" t="str">
        <f aca="false">'Cleaned Data'!A56</f>
        <v>S00052</v>
      </c>
      <c r="B56" s="1" t="str">
        <f aca="false">'Cleaned Data'!B56</f>
        <v>P8266</v>
      </c>
      <c r="C56" s="1" t="str">
        <f aca="false">'Cleaned Data'!C56</f>
        <v>cynthiapoole</v>
      </c>
      <c r="D56" s="1" t="str">
        <f aca="false">'Cleaned Data'!D56</f>
        <v>Zombie Rush</v>
      </c>
      <c r="E56" s="1" t="str">
        <f aca="false">'Cleaned Data'!E56</f>
        <v>PC</v>
      </c>
      <c r="F56" s="1" t="str">
        <f aca="false">'Cleaned Data'!F56</f>
        <v>East</v>
      </c>
      <c r="G56" s="23" t="n">
        <f aca="false">'Cleaned Data'!G56</f>
        <v>45645</v>
      </c>
      <c r="H56" s="1" t="n">
        <f aca="false">'Cleaned Data'!H56</f>
        <v>108</v>
      </c>
      <c r="I56" s="24" t="n">
        <f aca="false">'Cleaned Data'!I56</f>
        <v>0</v>
      </c>
      <c r="J56" s="1" t="str">
        <f aca="false">'Cleaned Data'!J56</f>
        <v>None</v>
      </c>
      <c r="K56" s="1" t="str">
        <f aca="false">'Cleaned Data'!K56</f>
        <v>Completed</v>
      </c>
      <c r="L56" s="1" t="str">
        <f aca="false">'Cleaned Data'!L56</f>
        <v>Free</v>
      </c>
      <c r="M56" s="1" t="n">
        <f aca="false">'Cleaned Data'!M56</f>
        <v>35</v>
      </c>
      <c r="N56" s="1" t="str">
        <f aca="false">'Cleaned Data'!N56</f>
        <v>No</v>
      </c>
      <c r="O56" s="1" t="str">
        <f aca="false">TEXT(G56,"yyyy-mm")</f>
        <v>2024-12</v>
      </c>
      <c r="P56" s="1" t="str">
        <f aca="false">IF(H56&lt;20,"Low",IF(H56&lt;=60,"Medium","High"))</f>
        <v>High</v>
      </c>
      <c r="Q56" s="1" t="str">
        <f aca="false">IF(I56&gt;0,"Yes","No")</f>
        <v>No</v>
      </c>
      <c r="R56" s="1" t="n">
        <f aca="false">IF(N56="Yes",1,0)</f>
        <v>0</v>
      </c>
    </row>
    <row r="57" customFormat="false" ht="15" hidden="false" customHeight="true" outlineLevel="0" collapsed="false">
      <c r="A57" s="1" t="str">
        <f aca="false">'Cleaned Data'!A57</f>
        <v>S00053</v>
      </c>
      <c r="B57" s="1" t="str">
        <f aca="false">'Cleaned Data'!B57</f>
        <v>P9579</v>
      </c>
      <c r="C57" s="1" t="str">
        <f aca="false">'Cleaned Data'!C57</f>
        <v>richardsjessica</v>
      </c>
      <c r="D57" s="1" t="str">
        <f aca="false">'Cleaned Data'!D57</f>
        <v>SpeedX</v>
      </c>
      <c r="E57" s="1" t="str">
        <f aca="false">'Cleaned Data'!E57</f>
        <v>Console</v>
      </c>
      <c r="F57" s="1" t="str">
        <f aca="false">'Cleaned Data'!F57</f>
        <v>West</v>
      </c>
      <c r="G57" s="23" t="n">
        <f aca="false">'Cleaned Data'!G57</f>
        <v>45758</v>
      </c>
      <c r="H57" s="1" t="n">
        <f aca="false">'Cleaned Data'!H57</f>
        <v>38</v>
      </c>
      <c r="I57" s="24" t="n">
        <f aca="false">'Cleaned Data'!I57</f>
        <v>0</v>
      </c>
      <c r="J57" s="1" t="str">
        <f aca="false">'Cleaned Data'!J57</f>
        <v>None</v>
      </c>
      <c r="K57" s="1" t="str">
        <f aca="false">'Cleaned Data'!K57</f>
        <v>Completed</v>
      </c>
      <c r="L57" s="1" t="str">
        <f aca="false">'Cleaned Data'!L57</f>
        <v>Free</v>
      </c>
      <c r="M57" s="1" t="n">
        <f aca="false">'Cleaned Data'!M57</f>
        <v>34</v>
      </c>
      <c r="N57" s="1" t="str">
        <f aca="false">'Cleaned Data'!N57</f>
        <v>No</v>
      </c>
      <c r="O57" s="1" t="str">
        <f aca="false">TEXT(G57,"yyyy-mm")</f>
        <v>2025-04</v>
      </c>
      <c r="P57" s="1" t="str">
        <f aca="false">IF(H57&lt;20,"Low",IF(H57&lt;=60,"Medium","High"))</f>
        <v>Medium</v>
      </c>
      <c r="Q57" s="1" t="str">
        <f aca="false">IF(I57&gt;0,"Yes","No")</f>
        <v>No</v>
      </c>
      <c r="R57" s="1" t="n">
        <f aca="false">IF(N57="Yes",1,0)</f>
        <v>0</v>
      </c>
    </row>
    <row r="58" customFormat="false" ht="15" hidden="false" customHeight="true" outlineLevel="0" collapsed="false">
      <c r="A58" s="1" t="str">
        <f aca="false">'Cleaned Data'!A58</f>
        <v>S00054</v>
      </c>
      <c r="B58" s="1" t="str">
        <f aca="false">'Cleaned Data'!B58</f>
        <v>P5714</v>
      </c>
      <c r="C58" s="1" t="str">
        <f aca="false">'Cleaned Data'!C58</f>
        <v>fforbes</v>
      </c>
      <c r="D58" s="1" t="str">
        <f aca="false">'Cleaned Data'!D58</f>
        <v>BattleZone</v>
      </c>
      <c r="E58" s="1" t="str">
        <f aca="false">'Cleaned Data'!E58</f>
        <v>PC</v>
      </c>
      <c r="F58" s="1" t="str">
        <f aca="false">'Cleaned Data'!F58</f>
        <v>West</v>
      </c>
      <c r="G58" s="23" t="n">
        <f aca="false">'Cleaned Data'!G58</f>
        <v>45727</v>
      </c>
      <c r="H58" s="1" t="n">
        <f aca="false">'Cleaned Data'!H58</f>
        <v>136</v>
      </c>
      <c r="I58" s="24" t="n">
        <f aca="false">'Cleaned Data'!I58</f>
        <v>0</v>
      </c>
      <c r="J58" s="1" t="str">
        <f aca="false">'Cleaned Data'!J58</f>
        <v>None</v>
      </c>
      <c r="K58" s="1" t="str">
        <f aca="false">'Cleaned Data'!K58</f>
        <v>Completed</v>
      </c>
      <c r="L58" s="1" t="str">
        <f aca="false">'Cleaned Data'!L58</f>
        <v>Free</v>
      </c>
      <c r="M58" s="1" t="n">
        <f aca="false">'Cleaned Data'!M58</f>
        <v>11</v>
      </c>
      <c r="N58" s="1" t="str">
        <f aca="false">'Cleaned Data'!N58</f>
        <v>No</v>
      </c>
      <c r="O58" s="1" t="str">
        <f aca="false">TEXT(G58,"yyyy-mm")</f>
        <v>2025-03</v>
      </c>
      <c r="P58" s="1" t="str">
        <f aca="false">IF(H58&lt;20,"Low",IF(H58&lt;=60,"Medium","High"))</f>
        <v>High</v>
      </c>
      <c r="Q58" s="1" t="str">
        <f aca="false">IF(I58&gt;0,"Yes","No")</f>
        <v>No</v>
      </c>
      <c r="R58" s="1" t="n">
        <f aca="false">IF(N58="Yes",1,0)</f>
        <v>0</v>
      </c>
    </row>
    <row r="59" customFormat="false" ht="15" hidden="false" customHeight="true" outlineLevel="0" collapsed="false">
      <c r="A59" s="1" t="str">
        <f aca="false">'Cleaned Data'!A59</f>
        <v>S00055</v>
      </c>
      <c r="B59" s="1" t="str">
        <f aca="false">'Cleaned Data'!B59</f>
        <v>P4102</v>
      </c>
      <c r="C59" s="1" t="str">
        <f aca="false">'Cleaned Data'!C59</f>
        <v>odonnelljennifer</v>
      </c>
      <c r="D59" s="1" t="str">
        <f aca="false">'Cleaned Data'!D59</f>
        <v>BattleZone</v>
      </c>
      <c r="E59" s="1" t="str">
        <f aca="false">'Cleaned Data'!E59</f>
        <v>Mobile</v>
      </c>
      <c r="F59" s="1" t="str">
        <f aca="false">'Cleaned Data'!F59</f>
        <v>Central</v>
      </c>
      <c r="G59" s="23" t="n">
        <f aca="false">'Cleaned Data'!G59</f>
        <v>45814</v>
      </c>
      <c r="H59" s="1" t="n">
        <f aca="false">'Cleaned Data'!H59</f>
        <v>20</v>
      </c>
      <c r="I59" s="24" t="n">
        <f aca="false">'Cleaned Data'!I59</f>
        <v>0</v>
      </c>
      <c r="J59" s="1" t="str">
        <f aca="false">'Cleaned Data'!J59</f>
        <v>None</v>
      </c>
      <c r="K59" s="1" t="str">
        <f aca="false">'Cleaned Data'!K59</f>
        <v>Incomplete</v>
      </c>
      <c r="L59" s="1" t="str">
        <f aca="false">'Cleaned Data'!L59</f>
        <v>Free</v>
      </c>
      <c r="M59" s="1" t="n">
        <f aca="false">'Cleaned Data'!M59</f>
        <v>49</v>
      </c>
      <c r="N59" s="1" t="str">
        <f aca="false">'Cleaned Data'!N59</f>
        <v>No</v>
      </c>
      <c r="O59" s="1" t="str">
        <f aca="false">TEXT(G59,"yyyy-mm")</f>
        <v>2025-06</v>
      </c>
      <c r="P59" s="1" t="str">
        <f aca="false">IF(H59&lt;20,"Low",IF(H59&lt;=60,"Medium","High"))</f>
        <v>Medium</v>
      </c>
      <c r="Q59" s="1" t="str">
        <f aca="false">IF(I59&gt;0,"Yes","No")</f>
        <v>No</v>
      </c>
      <c r="R59" s="1" t="n">
        <f aca="false">IF(N59="Yes",1,0)</f>
        <v>0</v>
      </c>
    </row>
    <row r="60" customFormat="false" ht="15" hidden="false" customHeight="true" outlineLevel="0" collapsed="false">
      <c r="A60" s="1" t="str">
        <f aca="false">'Cleaned Data'!A60</f>
        <v>S00056</v>
      </c>
      <c r="B60" s="1" t="str">
        <f aca="false">'Cleaned Data'!B60</f>
        <v>P1285</v>
      </c>
      <c r="C60" s="1" t="str">
        <f aca="false">'Cleaned Data'!C60</f>
        <v>amylong</v>
      </c>
      <c r="D60" s="1" t="str">
        <f aca="false">'Cleaned Data'!D60</f>
        <v>BattleZone</v>
      </c>
      <c r="E60" s="1" t="str">
        <f aca="false">'Cleaned Data'!E60</f>
        <v>Mobile</v>
      </c>
      <c r="F60" s="1" t="str">
        <f aca="false">'Cleaned Data'!F60</f>
        <v>North</v>
      </c>
      <c r="G60" s="23" t="n">
        <f aca="false">'Cleaned Data'!G60</f>
        <v>45788</v>
      </c>
      <c r="H60" s="1" t="n">
        <f aca="false">'Cleaned Data'!H60</f>
        <v>117</v>
      </c>
      <c r="I60" s="24" t="n">
        <f aca="false">'Cleaned Data'!I60</f>
        <v>0</v>
      </c>
      <c r="J60" s="1" t="str">
        <f aca="false">'Cleaned Data'!J60</f>
        <v>None</v>
      </c>
      <c r="K60" s="1" t="str">
        <f aca="false">'Cleaned Data'!K60</f>
        <v>Exited Early</v>
      </c>
      <c r="L60" s="1" t="str">
        <f aca="false">'Cleaned Data'!L60</f>
        <v>Free</v>
      </c>
      <c r="M60" s="1" t="n">
        <f aca="false">'Cleaned Data'!M60</f>
        <v>11</v>
      </c>
      <c r="N60" s="1" t="str">
        <f aca="false">'Cleaned Data'!N60</f>
        <v>No</v>
      </c>
      <c r="O60" s="1" t="str">
        <f aca="false">TEXT(G60,"yyyy-mm")</f>
        <v>2025-05</v>
      </c>
      <c r="P60" s="1" t="str">
        <f aca="false">IF(H60&lt;20,"Low",IF(H60&lt;=60,"Medium","High"))</f>
        <v>High</v>
      </c>
      <c r="Q60" s="1" t="str">
        <f aca="false">IF(I60&gt;0,"Yes","No")</f>
        <v>No</v>
      </c>
      <c r="R60" s="1" t="n">
        <f aca="false">IF(N60="Yes",1,0)</f>
        <v>0</v>
      </c>
    </row>
    <row r="61" customFormat="false" ht="15" hidden="false" customHeight="true" outlineLevel="0" collapsed="false">
      <c r="A61" s="1" t="str">
        <f aca="false">'Cleaned Data'!A61</f>
        <v>S00057</v>
      </c>
      <c r="B61" s="1" t="str">
        <f aca="false">'Cleaned Data'!B61</f>
        <v>P7588</v>
      </c>
      <c r="C61" s="1" t="str">
        <f aca="false">'Cleaned Data'!C61</f>
        <v>usnyder</v>
      </c>
      <c r="D61" s="1" t="str">
        <f aca="false">'Cleaned Data'!D61</f>
        <v>BattleZone</v>
      </c>
      <c r="E61" s="1" t="str">
        <f aca="false">'Cleaned Data'!E61</f>
        <v>PC</v>
      </c>
      <c r="F61" s="1" t="str">
        <f aca="false">'Cleaned Data'!F61</f>
        <v>North</v>
      </c>
      <c r="G61" s="23" t="n">
        <f aca="false">'Cleaned Data'!G61</f>
        <v>45781</v>
      </c>
      <c r="H61" s="1" t="n">
        <f aca="false">'Cleaned Data'!H61</f>
        <v>139</v>
      </c>
      <c r="I61" s="24" t="n">
        <f aca="false">'Cleaned Data'!I61</f>
        <v>0</v>
      </c>
      <c r="J61" s="1" t="str">
        <f aca="false">'Cleaned Data'!J61</f>
        <v>None</v>
      </c>
      <c r="K61" s="1" t="str">
        <f aca="false">'Cleaned Data'!K61</f>
        <v>Completed</v>
      </c>
      <c r="L61" s="1" t="str">
        <f aca="false">'Cleaned Data'!L61</f>
        <v>Free</v>
      </c>
      <c r="M61" s="1" t="n">
        <f aca="false">'Cleaned Data'!M61</f>
        <v>41</v>
      </c>
      <c r="N61" s="1" t="str">
        <f aca="false">'Cleaned Data'!N61</f>
        <v>No</v>
      </c>
      <c r="O61" s="1" t="str">
        <f aca="false">TEXT(G61,"yyyy-mm")</f>
        <v>2025-05</v>
      </c>
      <c r="P61" s="1" t="str">
        <f aca="false">IF(H61&lt;20,"Low",IF(H61&lt;=60,"Medium","High"))</f>
        <v>High</v>
      </c>
      <c r="Q61" s="1" t="str">
        <f aca="false">IF(I61&gt;0,"Yes","No")</f>
        <v>No</v>
      </c>
      <c r="R61" s="1" t="n">
        <f aca="false">IF(N61="Yes",1,0)</f>
        <v>0</v>
      </c>
    </row>
    <row r="62" customFormat="false" ht="15" hidden="false" customHeight="true" outlineLevel="0" collapsed="false">
      <c r="A62" s="1" t="str">
        <f aca="false">'Cleaned Data'!A62</f>
        <v>S00058</v>
      </c>
      <c r="B62" s="1" t="str">
        <f aca="false">'Cleaned Data'!B62</f>
        <v>P9514</v>
      </c>
      <c r="C62" s="1" t="str">
        <f aca="false">'Cleaned Data'!C62</f>
        <v>dianaburgess</v>
      </c>
      <c r="D62" s="1" t="str">
        <f aca="false">'Cleaned Data'!D62</f>
        <v>Zombie Rush</v>
      </c>
      <c r="E62" s="1" t="str">
        <f aca="false">'Cleaned Data'!E62</f>
        <v>Mobile</v>
      </c>
      <c r="F62" s="1" t="str">
        <f aca="false">'Cleaned Data'!F62</f>
        <v>East</v>
      </c>
      <c r="G62" s="23" t="n">
        <f aca="false">'Cleaned Data'!G62</f>
        <v>45756</v>
      </c>
      <c r="H62" s="1" t="n">
        <f aca="false">'Cleaned Data'!H62</f>
        <v>19</v>
      </c>
      <c r="I62" s="24" t="n">
        <f aca="false">'Cleaned Data'!I62</f>
        <v>44.21</v>
      </c>
      <c r="J62" s="1" t="str">
        <f aca="false">'Cleaned Data'!J62</f>
        <v>Battle Pass</v>
      </c>
      <c r="K62" s="1" t="str">
        <f aca="false">'Cleaned Data'!K62</f>
        <v>Completed</v>
      </c>
      <c r="L62" s="1" t="str">
        <f aca="false">'Cleaned Data'!L62</f>
        <v>Paid</v>
      </c>
      <c r="M62" s="1" t="n">
        <f aca="false">'Cleaned Data'!M62</f>
        <v>24</v>
      </c>
      <c r="N62" s="1" t="str">
        <f aca="false">'Cleaned Data'!N62</f>
        <v>Yes</v>
      </c>
      <c r="O62" s="1" t="str">
        <f aca="false">TEXT(G62,"yyyy-mm")</f>
        <v>2025-04</v>
      </c>
      <c r="P62" s="1" t="str">
        <f aca="false">IF(H62&lt;20,"Low",IF(H62&lt;=60,"Medium","High"))</f>
        <v>Low</v>
      </c>
      <c r="Q62" s="1" t="str">
        <f aca="false">IF(I62&gt;0,"Yes","No")</f>
        <v>Yes</v>
      </c>
      <c r="R62" s="1" t="n">
        <f aca="false">IF(N62="Yes",1,0)</f>
        <v>1</v>
      </c>
    </row>
    <row r="63" customFormat="false" ht="15" hidden="false" customHeight="true" outlineLevel="0" collapsed="false">
      <c r="A63" s="1" t="str">
        <f aca="false">'Cleaned Data'!A63</f>
        <v>S00059</v>
      </c>
      <c r="B63" s="1" t="str">
        <f aca="false">'Cleaned Data'!B63</f>
        <v>P1110</v>
      </c>
      <c r="C63" s="1" t="str">
        <f aca="false">'Cleaned Data'!C63</f>
        <v>joseph32</v>
      </c>
      <c r="D63" s="1" t="str">
        <f aca="false">'Cleaned Data'!D63</f>
        <v>BattleZone</v>
      </c>
      <c r="E63" s="1" t="str">
        <f aca="false">'Cleaned Data'!E63</f>
        <v>PC</v>
      </c>
      <c r="F63" s="1" t="str">
        <f aca="false">'Cleaned Data'!F63</f>
        <v>East</v>
      </c>
      <c r="G63" s="23" t="n">
        <f aca="false">'Cleaned Data'!G63</f>
        <v>45771</v>
      </c>
      <c r="H63" s="1" t="n">
        <f aca="false">'Cleaned Data'!H63</f>
        <v>76</v>
      </c>
      <c r="I63" s="24" t="n">
        <f aca="false">'Cleaned Data'!I63</f>
        <v>0</v>
      </c>
      <c r="J63" s="1" t="str">
        <f aca="false">'Cleaned Data'!J63</f>
        <v>None</v>
      </c>
      <c r="K63" s="1" t="str">
        <f aca="false">'Cleaned Data'!K63</f>
        <v>Completed</v>
      </c>
      <c r="L63" s="1" t="str">
        <f aca="false">'Cleaned Data'!L63</f>
        <v>Free</v>
      </c>
      <c r="M63" s="1" t="n">
        <f aca="false">'Cleaned Data'!M63</f>
        <v>41</v>
      </c>
      <c r="N63" s="1" t="str">
        <f aca="false">'Cleaned Data'!N63</f>
        <v>No</v>
      </c>
      <c r="O63" s="1" t="str">
        <f aca="false">TEXT(G63,"yyyy-mm")</f>
        <v>2025-04</v>
      </c>
      <c r="P63" s="1" t="str">
        <f aca="false">IF(H63&lt;20,"Low",IF(H63&lt;=60,"Medium","High"))</f>
        <v>High</v>
      </c>
      <c r="Q63" s="1" t="str">
        <f aca="false">IF(I63&gt;0,"Yes","No")</f>
        <v>No</v>
      </c>
      <c r="R63" s="1" t="n">
        <f aca="false">IF(N63="Yes",1,0)</f>
        <v>0</v>
      </c>
    </row>
    <row r="64" customFormat="false" ht="15" hidden="false" customHeight="true" outlineLevel="0" collapsed="false">
      <c r="A64" s="1" t="str">
        <f aca="false">'Cleaned Data'!A64</f>
        <v>S00060</v>
      </c>
      <c r="B64" s="1" t="str">
        <f aca="false">'Cleaned Data'!B64</f>
        <v>P2205</v>
      </c>
      <c r="C64" s="1" t="str">
        <f aca="false">'Cleaned Data'!C64</f>
        <v>fstewart</v>
      </c>
      <c r="D64" s="1" t="str">
        <f aca="false">'Cleaned Data'!D64</f>
        <v>Empire Wars</v>
      </c>
      <c r="E64" s="1" t="str">
        <f aca="false">'Cleaned Data'!E64</f>
        <v>PC</v>
      </c>
      <c r="F64" s="1" t="str">
        <f aca="false">'Cleaned Data'!F64</f>
        <v>Central</v>
      </c>
      <c r="G64" s="23" t="n">
        <f aca="false">'Cleaned Data'!G64</f>
        <v>45767</v>
      </c>
      <c r="H64" s="1" t="n">
        <f aca="false">'Cleaned Data'!H64</f>
        <v>153</v>
      </c>
      <c r="I64" s="24" t="n">
        <f aca="false">'Cleaned Data'!I64</f>
        <v>0</v>
      </c>
      <c r="J64" s="1" t="str">
        <f aca="false">'Cleaned Data'!J64</f>
        <v>None</v>
      </c>
      <c r="K64" s="1" t="str">
        <f aca="false">'Cleaned Data'!K64</f>
        <v>Completed</v>
      </c>
      <c r="L64" s="1" t="str">
        <f aca="false">'Cleaned Data'!L64</f>
        <v>Free</v>
      </c>
      <c r="M64" s="1" t="n">
        <f aca="false">'Cleaned Data'!M64</f>
        <v>2</v>
      </c>
      <c r="N64" s="1" t="str">
        <f aca="false">'Cleaned Data'!N64</f>
        <v>Yes</v>
      </c>
      <c r="O64" s="1" t="str">
        <f aca="false">TEXT(G64,"yyyy-mm")</f>
        <v>2025-04</v>
      </c>
      <c r="P64" s="1" t="str">
        <f aca="false">IF(H64&lt;20,"Low",IF(H64&lt;=60,"Medium","High"))</f>
        <v>High</v>
      </c>
      <c r="Q64" s="1" t="str">
        <f aca="false">IF(I64&gt;0,"Yes","No")</f>
        <v>No</v>
      </c>
      <c r="R64" s="1" t="n">
        <f aca="false">IF(N64="Yes",1,0)</f>
        <v>1</v>
      </c>
    </row>
    <row r="65" customFormat="false" ht="15" hidden="false" customHeight="true" outlineLevel="0" collapsed="false">
      <c r="A65" s="1" t="str">
        <f aca="false">'Cleaned Data'!A65</f>
        <v>S00061</v>
      </c>
      <c r="B65" s="1" t="str">
        <f aca="false">'Cleaned Data'!B65</f>
        <v>P7473</v>
      </c>
      <c r="C65" s="1" t="str">
        <f aca="false">'Cleaned Data'!C65</f>
        <v>sholmes</v>
      </c>
      <c r="D65" s="1" t="str">
        <f aca="false">'Cleaned Data'!D65</f>
        <v>SpeedX</v>
      </c>
      <c r="E65" s="1" t="str">
        <f aca="false">'Cleaned Data'!E65</f>
        <v>Console</v>
      </c>
      <c r="F65" s="1" t="str">
        <f aca="false">'Cleaned Data'!F65</f>
        <v>North</v>
      </c>
      <c r="G65" s="23" t="n">
        <f aca="false">'Cleaned Data'!G65</f>
        <v>45804</v>
      </c>
      <c r="H65" s="1" t="n">
        <f aca="false">'Cleaned Data'!H65</f>
        <v>156</v>
      </c>
      <c r="I65" s="24" t="n">
        <f aca="false">'Cleaned Data'!I65</f>
        <v>0</v>
      </c>
      <c r="J65" s="1" t="str">
        <f aca="false">'Cleaned Data'!J65</f>
        <v>None</v>
      </c>
      <c r="K65" s="1" t="str">
        <f aca="false">'Cleaned Data'!K65</f>
        <v>Completed</v>
      </c>
      <c r="L65" s="1" t="str">
        <f aca="false">'Cleaned Data'!L65</f>
        <v>Paid</v>
      </c>
      <c r="M65" s="1" t="n">
        <f aca="false">'Cleaned Data'!M65</f>
        <v>50</v>
      </c>
      <c r="N65" s="1" t="str">
        <f aca="false">'Cleaned Data'!N65</f>
        <v>Yes</v>
      </c>
      <c r="O65" s="1" t="str">
        <f aca="false">TEXT(G65,"yyyy-mm")</f>
        <v>2025-05</v>
      </c>
      <c r="P65" s="1" t="str">
        <f aca="false">IF(H65&lt;20,"Low",IF(H65&lt;=60,"Medium","High"))</f>
        <v>High</v>
      </c>
      <c r="Q65" s="1" t="str">
        <f aca="false">IF(I65&gt;0,"Yes","No")</f>
        <v>No</v>
      </c>
      <c r="R65" s="1" t="n">
        <f aca="false">IF(N65="Yes",1,0)</f>
        <v>1</v>
      </c>
    </row>
    <row r="66" customFormat="false" ht="15" hidden="false" customHeight="true" outlineLevel="0" collapsed="false">
      <c r="A66" s="1" t="str">
        <f aca="false">'Cleaned Data'!A66</f>
        <v>S00062</v>
      </c>
      <c r="B66" s="1" t="str">
        <f aca="false">'Cleaned Data'!B66</f>
        <v>P1805</v>
      </c>
      <c r="C66" s="1" t="str">
        <f aca="false">'Cleaned Data'!C66</f>
        <v>charlesjohnson</v>
      </c>
      <c r="D66" s="1" t="str">
        <f aca="false">'Cleaned Data'!D66</f>
        <v>SpeedX</v>
      </c>
      <c r="E66" s="1" t="str">
        <f aca="false">'Cleaned Data'!E66</f>
        <v>Mobile</v>
      </c>
      <c r="F66" s="1" t="str">
        <f aca="false">'Cleaned Data'!F66</f>
        <v>West</v>
      </c>
      <c r="G66" s="23" t="n">
        <f aca="false">'Cleaned Data'!G66</f>
        <v>45739</v>
      </c>
      <c r="H66" s="1" t="n">
        <f aca="false">'Cleaned Data'!H66</f>
        <v>153</v>
      </c>
      <c r="I66" s="24" t="n">
        <f aca="false">'Cleaned Data'!I66</f>
        <v>0</v>
      </c>
      <c r="J66" s="1" t="str">
        <f aca="false">'Cleaned Data'!J66</f>
        <v>None</v>
      </c>
      <c r="K66" s="1" t="str">
        <f aca="false">'Cleaned Data'!K66</f>
        <v>Completed</v>
      </c>
      <c r="L66" s="1" t="str">
        <f aca="false">'Cleaned Data'!L66</f>
        <v>Paid</v>
      </c>
      <c r="M66" s="1" t="n">
        <f aca="false">'Cleaned Data'!M66</f>
        <v>44</v>
      </c>
      <c r="N66" s="1" t="str">
        <f aca="false">'Cleaned Data'!N66</f>
        <v>Yes</v>
      </c>
      <c r="O66" s="1" t="str">
        <f aca="false">TEXT(G66,"yyyy-mm")</f>
        <v>2025-03</v>
      </c>
      <c r="P66" s="1" t="str">
        <f aca="false">IF(H66&lt;20,"Low",IF(H66&lt;=60,"Medium","High"))</f>
        <v>High</v>
      </c>
      <c r="Q66" s="1" t="str">
        <f aca="false">IF(I66&gt;0,"Yes","No")</f>
        <v>No</v>
      </c>
      <c r="R66" s="1" t="n">
        <f aca="false">IF(N66="Yes",1,0)</f>
        <v>1</v>
      </c>
    </row>
    <row r="67" customFormat="false" ht="15" hidden="false" customHeight="true" outlineLevel="0" collapsed="false">
      <c r="A67" s="1" t="str">
        <f aca="false">'Cleaned Data'!A67</f>
        <v>S00063</v>
      </c>
      <c r="B67" s="1" t="str">
        <f aca="false">'Cleaned Data'!B67</f>
        <v>P3641</v>
      </c>
      <c r="C67" s="1" t="str">
        <f aca="false">'Cleaned Data'!C67</f>
        <v>davischristopher</v>
      </c>
      <c r="D67" s="1" t="str">
        <f aca="false">'Cleaned Data'!D67</f>
        <v>Zombie Rush</v>
      </c>
      <c r="E67" s="1" t="str">
        <f aca="false">'Cleaned Data'!E67</f>
        <v>Console</v>
      </c>
      <c r="F67" s="1" t="str">
        <f aca="false">'Cleaned Data'!F67</f>
        <v>West</v>
      </c>
      <c r="G67" s="23" t="n">
        <f aca="false">'Cleaned Data'!G67</f>
        <v>45658</v>
      </c>
      <c r="H67" s="1" t="n">
        <f aca="false">'Cleaned Data'!H67</f>
        <v>77</v>
      </c>
      <c r="I67" s="24" t="n">
        <f aca="false">'Cleaned Data'!I67</f>
        <v>39.88</v>
      </c>
      <c r="J67" s="1" t="str">
        <f aca="false">'Cleaned Data'!J67</f>
        <v>Skins</v>
      </c>
      <c r="K67" s="1" t="str">
        <f aca="false">'Cleaned Data'!K67</f>
        <v>Completed</v>
      </c>
      <c r="L67" s="1" t="str">
        <f aca="false">'Cleaned Data'!L67</f>
        <v>Paid</v>
      </c>
      <c r="M67" s="1" t="n">
        <f aca="false">'Cleaned Data'!M67</f>
        <v>25</v>
      </c>
      <c r="N67" s="1" t="str">
        <f aca="false">'Cleaned Data'!N67</f>
        <v>No</v>
      </c>
      <c r="O67" s="1" t="str">
        <f aca="false">TEXT(G67,"yyyy-mm")</f>
        <v>2025-01</v>
      </c>
      <c r="P67" s="1" t="str">
        <f aca="false">IF(H67&lt;20,"Low",IF(H67&lt;=60,"Medium","High"))</f>
        <v>High</v>
      </c>
      <c r="Q67" s="1" t="str">
        <f aca="false">IF(I67&gt;0,"Yes","No")</f>
        <v>Yes</v>
      </c>
      <c r="R67" s="1" t="n">
        <f aca="false">IF(N67="Yes",1,0)</f>
        <v>0</v>
      </c>
    </row>
    <row r="68" customFormat="false" ht="15" hidden="false" customHeight="true" outlineLevel="0" collapsed="false">
      <c r="A68" s="1" t="str">
        <f aca="false">'Cleaned Data'!A68</f>
        <v>S00064</v>
      </c>
      <c r="B68" s="1" t="str">
        <f aca="false">'Cleaned Data'!B68</f>
        <v>P6094</v>
      </c>
      <c r="C68" s="1" t="str">
        <f aca="false">'Cleaned Data'!C68</f>
        <v>jenniferarnold</v>
      </c>
      <c r="D68" s="1" t="str">
        <f aca="false">'Cleaned Data'!D68</f>
        <v>Zombie Rush</v>
      </c>
      <c r="E68" s="1" t="str">
        <f aca="false">'Cleaned Data'!E68</f>
        <v>PC</v>
      </c>
      <c r="F68" s="1" t="str">
        <f aca="false">'Cleaned Data'!F68</f>
        <v>South</v>
      </c>
      <c r="G68" s="23" t="n">
        <f aca="false">'Cleaned Data'!G68</f>
        <v>45818</v>
      </c>
      <c r="H68" s="1" t="n">
        <f aca="false">'Cleaned Data'!H68</f>
        <v>81</v>
      </c>
      <c r="I68" s="24" t="n">
        <f aca="false">'Cleaned Data'!I68</f>
        <v>10.1</v>
      </c>
      <c r="J68" s="1" t="str">
        <f aca="false">'Cleaned Data'!J68</f>
        <v>Subscriptions</v>
      </c>
      <c r="K68" s="1" t="str">
        <f aca="false">'Cleaned Data'!K68</f>
        <v>Crashed</v>
      </c>
      <c r="L68" s="1" t="str">
        <f aca="false">'Cleaned Data'!L68</f>
        <v>Paid</v>
      </c>
      <c r="M68" s="1" t="n">
        <f aca="false">'Cleaned Data'!M68</f>
        <v>24</v>
      </c>
      <c r="N68" s="1" t="str">
        <f aca="false">'Cleaned Data'!N68</f>
        <v>No</v>
      </c>
      <c r="O68" s="1" t="str">
        <f aca="false">TEXT(G68,"yyyy-mm")</f>
        <v>2025-06</v>
      </c>
      <c r="P68" s="1" t="str">
        <f aca="false">IF(H68&lt;20,"Low",IF(H68&lt;=60,"Medium","High"))</f>
        <v>High</v>
      </c>
      <c r="Q68" s="1" t="str">
        <f aca="false">IF(I68&gt;0,"Yes","No")</f>
        <v>Yes</v>
      </c>
      <c r="R68" s="1" t="n">
        <f aca="false">IF(N68="Yes",1,0)</f>
        <v>0</v>
      </c>
    </row>
    <row r="69" customFormat="false" ht="15" hidden="false" customHeight="true" outlineLevel="0" collapsed="false">
      <c r="A69" s="1" t="str">
        <f aca="false">'Cleaned Data'!A69</f>
        <v>S00065</v>
      </c>
      <c r="B69" s="1" t="str">
        <f aca="false">'Cleaned Data'!B69</f>
        <v>P5717</v>
      </c>
      <c r="C69" s="1" t="str">
        <f aca="false">'Cleaned Data'!C69</f>
        <v>palmerashley</v>
      </c>
      <c r="D69" s="1" t="str">
        <f aca="false">'Cleaned Data'!D69</f>
        <v>Empire Wars</v>
      </c>
      <c r="E69" s="1" t="str">
        <f aca="false">'Cleaned Data'!E69</f>
        <v>PC</v>
      </c>
      <c r="F69" s="1" t="str">
        <f aca="false">'Cleaned Data'!F69</f>
        <v>East</v>
      </c>
      <c r="G69" s="23" t="n">
        <f aca="false">'Cleaned Data'!G69</f>
        <v>45713</v>
      </c>
      <c r="H69" s="1" t="n">
        <f aca="false">'Cleaned Data'!H69</f>
        <v>7</v>
      </c>
      <c r="I69" s="24" t="n">
        <f aca="false">'Cleaned Data'!I69</f>
        <v>0</v>
      </c>
      <c r="J69" s="1" t="str">
        <f aca="false">'Cleaned Data'!J69</f>
        <v>None</v>
      </c>
      <c r="K69" s="1" t="str">
        <f aca="false">'Cleaned Data'!K69</f>
        <v>Incomplete</v>
      </c>
      <c r="L69" s="1" t="str">
        <f aca="false">'Cleaned Data'!L69</f>
        <v>Free</v>
      </c>
      <c r="M69" s="1" t="n">
        <f aca="false">'Cleaned Data'!M69</f>
        <v>32</v>
      </c>
      <c r="N69" s="1" t="str">
        <f aca="false">'Cleaned Data'!N69</f>
        <v>No</v>
      </c>
      <c r="O69" s="1" t="str">
        <f aca="false">TEXT(G69,"yyyy-mm")</f>
        <v>2025-02</v>
      </c>
      <c r="P69" s="1" t="str">
        <f aca="false">IF(H69&lt;20,"Low",IF(H69&lt;=60,"Medium","High"))</f>
        <v>Low</v>
      </c>
      <c r="Q69" s="1" t="str">
        <f aca="false">IF(I69&gt;0,"Yes","No")</f>
        <v>No</v>
      </c>
      <c r="R69" s="1" t="n">
        <f aca="false">IF(N69="Yes",1,0)</f>
        <v>0</v>
      </c>
    </row>
    <row r="70" customFormat="false" ht="15" hidden="false" customHeight="true" outlineLevel="0" collapsed="false">
      <c r="A70" s="1" t="str">
        <f aca="false">'Cleaned Data'!A70</f>
        <v>S00066</v>
      </c>
      <c r="B70" s="1" t="str">
        <f aca="false">'Cleaned Data'!B70</f>
        <v>P2499</v>
      </c>
      <c r="C70" s="1" t="str">
        <f aca="false">'Cleaned Data'!C70</f>
        <v>mbowen</v>
      </c>
      <c r="D70" s="1" t="str">
        <f aca="false">'Cleaned Data'!D70</f>
        <v>Empire Wars</v>
      </c>
      <c r="E70" s="1" t="str">
        <f aca="false">'Cleaned Data'!E70</f>
        <v>PC</v>
      </c>
      <c r="F70" s="1" t="str">
        <f aca="false">'Cleaned Data'!F70</f>
        <v>Central</v>
      </c>
      <c r="G70" s="23" t="n">
        <f aca="false">'Cleaned Data'!G70</f>
        <v>45814</v>
      </c>
      <c r="H70" s="1" t="n">
        <f aca="false">'Cleaned Data'!H70</f>
        <v>152</v>
      </c>
      <c r="I70" s="24" t="n">
        <f aca="false">'Cleaned Data'!I70</f>
        <v>0</v>
      </c>
      <c r="J70" s="1" t="str">
        <f aca="false">'Cleaned Data'!J70</f>
        <v>None</v>
      </c>
      <c r="K70" s="1" t="str">
        <f aca="false">'Cleaned Data'!K70</f>
        <v>Completed</v>
      </c>
      <c r="L70" s="1" t="str">
        <f aca="false">'Cleaned Data'!L70</f>
        <v>Free</v>
      </c>
      <c r="M70" s="1" t="n">
        <f aca="false">'Cleaned Data'!M70</f>
        <v>21</v>
      </c>
      <c r="N70" s="1" t="str">
        <f aca="false">'Cleaned Data'!N70</f>
        <v>Yes</v>
      </c>
      <c r="O70" s="1" t="str">
        <f aca="false">TEXT(G70,"yyyy-mm")</f>
        <v>2025-06</v>
      </c>
      <c r="P70" s="1" t="str">
        <f aca="false">IF(H70&lt;20,"Low",IF(H70&lt;=60,"Medium","High"))</f>
        <v>High</v>
      </c>
      <c r="Q70" s="1" t="str">
        <f aca="false">IF(I70&gt;0,"Yes","No")</f>
        <v>No</v>
      </c>
      <c r="R70" s="1" t="n">
        <f aca="false">IF(N70="Yes",1,0)</f>
        <v>1</v>
      </c>
    </row>
    <row r="71" customFormat="false" ht="15" hidden="false" customHeight="true" outlineLevel="0" collapsed="false">
      <c r="A71" s="1" t="str">
        <f aca="false">'Cleaned Data'!A71</f>
        <v>S00067</v>
      </c>
      <c r="B71" s="1" t="str">
        <f aca="false">'Cleaned Data'!B71</f>
        <v>P9667</v>
      </c>
      <c r="C71" s="1" t="str">
        <f aca="false">'Cleaned Data'!C71</f>
        <v>harrisonsteven</v>
      </c>
      <c r="D71" s="1" t="str">
        <f aca="false">'Cleaned Data'!D71</f>
        <v>SpeedX</v>
      </c>
      <c r="E71" s="1" t="str">
        <f aca="false">'Cleaned Data'!E71</f>
        <v>PC</v>
      </c>
      <c r="F71" s="1" t="str">
        <f aca="false">'Cleaned Data'!F71</f>
        <v>West</v>
      </c>
      <c r="G71" s="23" t="n">
        <f aca="false">'Cleaned Data'!G71</f>
        <v>45662</v>
      </c>
      <c r="H71" s="1" t="n">
        <f aca="false">'Cleaned Data'!H71</f>
        <v>64</v>
      </c>
      <c r="I71" s="24" t="n">
        <f aca="false">'Cleaned Data'!I71</f>
        <v>0</v>
      </c>
      <c r="J71" s="1" t="str">
        <f aca="false">'Cleaned Data'!J71</f>
        <v>None</v>
      </c>
      <c r="K71" s="1" t="str">
        <f aca="false">'Cleaned Data'!K71</f>
        <v>Exited Early</v>
      </c>
      <c r="L71" s="1" t="str">
        <f aca="false">'Cleaned Data'!L71</f>
        <v>Free</v>
      </c>
      <c r="M71" s="1" t="n">
        <f aca="false">'Cleaned Data'!M71</f>
        <v>13</v>
      </c>
      <c r="N71" s="1" t="str">
        <f aca="false">'Cleaned Data'!N71</f>
        <v>No</v>
      </c>
      <c r="O71" s="1" t="str">
        <f aca="false">TEXT(G71,"yyyy-mm")</f>
        <v>2025-01</v>
      </c>
      <c r="P71" s="1" t="str">
        <f aca="false">IF(H71&lt;20,"Low",IF(H71&lt;=60,"Medium","High"))</f>
        <v>High</v>
      </c>
      <c r="Q71" s="1" t="str">
        <f aca="false">IF(I71&gt;0,"Yes","No")</f>
        <v>No</v>
      </c>
      <c r="R71" s="1" t="n">
        <f aca="false">IF(N71="Yes",1,0)</f>
        <v>0</v>
      </c>
    </row>
    <row r="72" customFormat="false" ht="15" hidden="false" customHeight="true" outlineLevel="0" collapsed="false">
      <c r="A72" s="1" t="str">
        <f aca="false">'Cleaned Data'!A72</f>
        <v>S00068</v>
      </c>
      <c r="B72" s="1" t="str">
        <f aca="false">'Cleaned Data'!B72</f>
        <v>P9995</v>
      </c>
      <c r="C72" s="1" t="str">
        <f aca="false">'Cleaned Data'!C72</f>
        <v>tinapreston</v>
      </c>
      <c r="D72" s="1" t="str">
        <f aca="false">'Cleaned Data'!D72</f>
        <v>BattleZone</v>
      </c>
      <c r="E72" s="1" t="str">
        <f aca="false">'Cleaned Data'!E72</f>
        <v>Console</v>
      </c>
      <c r="F72" s="1" t="str">
        <f aca="false">'Cleaned Data'!F72</f>
        <v>North</v>
      </c>
      <c r="G72" s="23" t="n">
        <f aca="false">'Cleaned Data'!G72</f>
        <v>45811</v>
      </c>
      <c r="H72" s="1" t="n">
        <f aca="false">'Cleaned Data'!H72</f>
        <v>165</v>
      </c>
      <c r="I72" s="24" t="n">
        <f aca="false">'Cleaned Data'!I72</f>
        <v>0</v>
      </c>
      <c r="J72" s="1" t="str">
        <f aca="false">'Cleaned Data'!J72</f>
        <v>None</v>
      </c>
      <c r="K72" s="1" t="str">
        <f aca="false">'Cleaned Data'!K72</f>
        <v>Completed</v>
      </c>
      <c r="L72" s="1" t="str">
        <f aca="false">'Cleaned Data'!L72</f>
        <v>Free</v>
      </c>
      <c r="M72" s="1" t="n">
        <f aca="false">'Cleaned Data'!M72</f>
        <v>41</v>
      </c>
      <c r="N72" s="1" t="str">
        <f aca="false">'Cleaned Data'!N72</f>
        <v>Yes</v>
      </c>
      <c r="O72" s="1" t="str">
        <f aca="false">TEXT(G72,"yyyy-mm")</f>
        <v>2025-06</v>
      </c>
      <c r="P72" s="1" t="str">
        <f aca="false">IF(H72&lt;20,"Low",IF(H72&lt;=60,"Medium","High"))</f>
        <v>High</v>
      </c>
      <c r="Q72" s="1" t="str">
        <f aca="false">IF(I72&gt;0,"Yes","No")</f>
        <v>No</v>
      </c>
      <c r="R72" s="1" t="n">
        <f aca="false">IF(N72="Yes",1,0)</f>
        <v>1</v>
      </c>
    </row>
    <row r="73" customFormat="false" ht="15" hidden="false" customHeight="true" outlineLevel="0" collapsed="false">
      <c r="A73" s="1" t="str">
        <f aca="false">'Cleaned Data'!A73</f>
        <v>S00069</v>
      </c>
      <c r="B73" s="1" t="str">
        <f aca="false">'Cleaned Data'!B73</f>
        <v>P8527</v>
      </c>
      <c r="C73" s="1" t="str">
        <f aca="false">'Cleaned Data'!C73</f>
        <v>claudiasilva</v>
      </c>
      <c r="D73" s="1" t="str">
        <f aca="false">'Cleaned Data'!D73</f>
        <v>Empire Wars</v>
      </c>
      <c r="E73" s="1" t="str">
        <f aca="false">'Cleaned Data'!E73</f>
        <v>Console</v>
      </c>
      <c r="F73" s="1" t="str">
        <f aca="false">'Cleaned Data'!F73</f>
        <v>East</v>
      </c>
      <c r="G73" s="23" t="n">
        <f aca="false">'Cleaned Data'!G73</f>
        <v>45674</v>
      </c>
      <c r="H73" s="1" t="n">
        <f aca="false">'Cleaned Data'!H73</f>
        <v>165</v>
      </c>
      <c r="I73" s="24" t="n">
        <f aca="false">'Cleaned Data'!I73</f>
        <v>0</v>
      </c>
      <c r="J73" s="1" t="str">
        <f aca="false">'Cleaned Data'!J73</f>
        <v>None</v>
      </c>
      <c r="K73" s="1" t="str">
        <f aca="false">'Cleaned Data'!K73</f>
        <v>Completed</v>
      </c>
      <c r="L73" s="1" t="str">
        <f aca="false">'Cleaned Data'!L73</f>
        <v>Free</v>
      </c>
      <c r="M73" s="1" t="n">
        <f aca="false">'Cleaned Data'!M73</f>
        <v>15</v>
      </c>
      <c r="N73" s="1" t="str">
        <f aca="false">'Cleaned Data'!N73</f>
        <v>Yes</v>
      </c>
      <c r="O73" s="1" t="str">
        <f aca="false">TEXT(G73,"yyyy-mm")</f>
        <v>2025-01</v>
      </c>
      <c r="P73" s="1" t="str">
        <f aca="false">IF(H73&lt;20,"Low",IF(H73&lt;=60,"Medium","High"))</f>
        <v>High</v>
      </c>
      <c r="Q73" s="1" t="str">
        <f aca="false">IF(I73&gt;0,"Yes","No")</f>
        <v>No</v>
      </c>
      <c r="R73" s="1" t="n">
        <f aca="false">IF(N73="Yes",1,0)</f>
        <v>1</v>
      </c>
    </row>
    <row r="74" customFormat="false" ht="15" hidden="false" customHeight="true" outlineLevel="0" collapsed="false">
      <c r="A74" s="1" t="str">
        <f aca="false">'Cleaned Data'!A74</f>
        <v>S00070</v>
      </c>
      <c r="B74" s="1" t="str">
        <f aca="false">'Cleaned Data'!B74</f>
        <v>P6322</v>
      </c>
      <c r="C74" s="1" t="str">
        <f aca="false">'Cleaned Data'!C74</f>
        <v>noah21</v>
      </c>
      <c r="D74" s="1" t="str">
        <f aca="false">'Cleaned Data'!D74</f>
        <v>Clash of Realms</v>
      </c>
      <c r="E74" s="1" t="str">
        <f aca="false">'Cleaned Data'!E74</f>
        <v>PC</v>
      </c>
      <c r="F74" s="1" t="str">
        <f aca="false">'Cleaned Data'!F74</f>
        <v>West</v>
      </c>
      <c r="G74" s="23" t="n">
        <f aca="false">'Cleaned Data'!G74</f>
        <v>45682</v>
      </c>
      <c r="H74" s="1" t="n">
        <f aca="false">'Cleaned Data'!H74</f>
        <v>79</v>
      </c>
      <c r="I74" s="24" t="n">
        <f aca="false">'Cleaned Data'!I74</f>
        <v>0</v>
      </c>
      <c r="J74" s="1" t="str">
        <f aca="false">'Cleaned Data'!J74</f>
        <v>None</v>
      </c>
      <c r="K74" s="1" t="str">
        <f aca="false">'Cleaned Data'!K74</f>
        <v>Exited Early</v>
      </c>
      <c r="L74" s="1" t="str">
        <f aca="false">'Cleaned Data'!L74</f>
        <v>Free</v>
      </c>
      <c r="M74" s="1" t="n">
        <f aca="false">'Cleaned Data'!M74</f>
        <v>18</v>
      </c>
      <c r="N74" s="1" t="str">
        <f aca="false">'Cleaned Data'!N74</f>
        <v>No</v>
      </c>
      <c r="O74" s="1" t="str">
        <f aca="false">TEXT(G74,"yyyy-mm")</f>
        <v>2025-01</v>
      </c>
      <c r="P74" s="1" t="str">
        <f aca="false">IF(H74&lt;20,"Low",IF(H74&lt;=60,"Medium","High"))</f>
        <v>High</v>
      </c>
      <c r="Q74" s="1" t="str">
        <f aca="false">IF(I74&gt;0,"Yes","No")</f>
        <v>No</v>
      </c>
      <c r="R74" s="1" t="n">
        <f aca="false">IF(N74="Yes",1,0)</f>
        <v>0</v>
      </c>
    </row>
    <row r="75" customFormat="false" ht="15" hidden="false" customHeight="true" outlineLevel="0" collapsed="false">
      <c r="A75" s="1" t="str">
        <f aca="false">'Cleaned Data'!A75</f>
        <v>S00071</v>
      </c>
      <c r="B75" s="1" t="str">
        <f aca="false">'Cleaned Data'!B75</f>
        <v>P8019</v>
      </c>
      <c r="C75" s="1" t="str">
        <f aca="false">'Cleaned Data'!C75</f>
        <v>nwatkins</v>
      </c>
      <c r="D75" s="1" t="str">
        <f aca="false">'Cleaned Data'!D75</f>
        <v>Empire Wars</v>
      </c>
      <c r="E75" s="1" t="str">
        <f aca="false">'Cleaned Data'!E75</f>
        <v>PC</v>
      </c>
      <c r="F75" s="1" t="str">
        <f aca="false">'Cleaned Data'!F75</f>
        <v>Central</v>
      </c>
      <c r="G75" s="23" t="n">
        <f aca="false">'Cleaned Data'!G75</f>
        <v>45820</v>
      </c>
      <c r="H75" s="1" t="n">
        <f aca="false">'Cleaned Data'!H75</f>
        <v>81</v>
      </c>
      <c r="I75" s="24" t="n">
        <f aca="false">'Cleaned Data'!I75</f>
        <v>0</v>
      </c>
      <c r="J75" s="1" t="str">
        <f aca="false">'Cleaned Data'!J75</f>
        <v>None</v>
      </c>
      <c r="K75" s="1" t="str">
        <f aca="false">'Cleaned Data'!K75</f>
        <v>Exited Early</v>
      </c>
      <c r="L75" s="1" t="str">
        <f aca="false">'Cleaned Data'!L75</f>
        <v>Free</v>
      </c>
      <c r="M75" s="1" t="n">
        <f aca="false">'Cleaned Data'!M75</f>
        <v>37</v>
      </c>
      <c r="N75" s="1" t="str">
        <f aca="false">'Cleaned Data'!N75</f>
        <v>No</v>
      </c>
      <c r="O75" s="1" t="str">
        <f aca="false">TEXT(G75,"yyyy-mm")</f>
        <v>2025-06</v>
      </c>
      <c r="P75" s="1" t="str">
        <f aca="false">IF(H75&lt;20,"Low",IF(H75&lt;=60,"Medium","High"))</f>
        <v>High</v>
      </c>
      <c r="Q75" s="1" t="str">
        <f aca="false">IF(I75&gt;0,"Yes","No")</f>
        <v>No</v>
      </c>
      <c r="R75" s="1" t="n">
        <f aca="false">IF(N75="Yes",1,0)</f>
        <v>0</v>
      </c>
    </row>
    <row r="76" customFormat="false" ht="15" hidden="false" customHeight="true" outlineLevel="0" collapsed="false">
      <c r="A76" s="1" t="str">
        <f aca="false">'Cleaned Data'!A76</f>
        <v>S00072</v>
      </c>
      <c r="B76" s="1" t="str">
        <f aca="false">'Cleaned Data'!B76</f>
        <v>P3539</v>
      </c>
      <c r="C76" s="1" t="str">
        <f aca="false">'Cleaned Data'!C76</f>
        <v>martinderrick</v>
      </c>
      <c r="D76" s="1" t="str">
        <f aca="false">'Cleaned Data'!D76</f>
        <v>Zombie Rush</v>
      </c>
      <c r="E76" s="1" t="str">
        <f aca="false">'Cleaned Data'!E76</f>
        <v>Console</v>
      </c>
      <c r="F76" s="1" t="str">
        <f aca="false">'Cleaned Data'!F76</f>
        <v>South</v>
      </c>
      <c r="G76" s="23" t="n">
        <f aca="false">'Cleaned Data'!G76</f>
        <v>45659</v>
      </c>
      <c r="H76" s="1" t="n">
        <f aca="false">'Cleaned Data'!H76</f>
        <v>84</v>
      </c>
      <c r="I76" s="24" t="n">
        <f aca="false">'Cleaned Data'!I76</f>
        <v>0</v>
      </c>
      <c r="J76" s="1" t="str">
        <f aca="false">'Cleaned Data'!J76</f>
        <v>None</v>
      </c>
      <c r="K76" s="1" t="str">
        <f aca="false">'Cleaned Data'!K76</f>
        <v>Completed</v>
      </c>
      <c r="L76" s="1" t="str">
        <f aca="false">'Cleaned Data'!L76</f>
        <v>Free</v>
      </c>
      <c r="M76" s="1" t="n">
        <f aca="false">'Cleaned Data'!M76</f>
        <v>11</v>
      </c>
      <c r="N76" s="1" t="str">
        <f aca="false">'Cleaned Data'!N76</f>
        <v>No</v>
      </c>
      <c r="O76" s="1" t="str">
        <f aca="false">TEXT(G76,"yyyy-mm")</f>
        <v>2025-01</v>
      </c>
      <c r="P76" s="1" t="str">
        <f aca="false">IF(H76&lt;20,"Low",IF(H76&lt;=60,"Medium","High"))</f>
        <v>High</v>
      </c>
      <c r="Q76" s="1" t="str">
        <f aca="false">IF(I76&gt;0,"Yes","No")</f>
        <v>No</v>
      </c>
      <c r="R76" s="1" t="n">
        <f aca="false">IF(N76="Yes",1,0)</f>
        <v>0</v>
      </c>
    </row>
    <row r="77" customFormat="false" ht="15" hidden="false" customHeight="true" outlineLevel="0" collapsed="false">
      <c r="A77" s="1" t="str">
        <f aca="false">'Cleaned Data'!A77</f>
        <v>S00073</v>
      </c>
      <c r="B77" s="1" t="str">
        <f aca="false">'Cleaned Data'!B77</f>
        <v>P8666</v>
      </c>
      <c r="C77" s="1" t="str">
        <f aca="false">'Cleaned Data'!C77</f>
        <v>craiggail</v>
      </c>
      <c r="D77" s="1" t="str">
        <f aca="false">'Cleaned Data'!D77</f>
        <v>SpeedX</v>
      </c>
      <c r="E77" s="1" t="str">
        <f aca="false">'Cleaned Data'!E77</f>
        <v>Mobile</v>
      </c>
      <c r="F77" s="1" t="str">
        <f aca="false">'Cleaned Data'!F77</f>
        <v>North</v>
      </c>
      <c r="G77" s="23" t="n">
        <f aca="false">'Cleaned Data'!G77</f>
        <v>45782</v>
      </c>
      <c r="H77" s="1" t="n">
        <f aca="false">'Cleaned Data'!H77</f>
        <v>79</v>
      </c>
      <c r="I77" s="24" t="n">
        <f aca="false">'Cleaned Data'!I77</f>
        <v>0</v>
      </c>
      <c r="J77" s="1" t="str">
        <f aca="false">'Cleaned Data'!J77</f>
        <v>None</v>
      </c>
      <c r="K77" s="1" t="str">
        <f aca="false">'Cleaned Data'!K77</f>
        <v>Completed</v>
      </c>
      <c r="L77" s="1" t="str">
        <f aca="false">'Cleaned Data'!L77</f>
        <v>Free</v>
      </c>
      <c r="M77" s="1" t="n">
        <f aca="false">'Cleaned Data'!M77</f>
        <v>49</v>
      </c>
      <c r="N77" s="1" t="str">
        <f aca="false">'Cleaned Data'!N77</f>
        <v>No</v>
      </c>
      <c r="O77" s="1" t="str">
        <f aca="false">TEXT(G77,"yyyy-mm")</f>
        <v>2025-05</v>
      </c>
      <c r="P77" s="1" t="str">
        <f aca="false">IF(H77&lt;20,"Low",IF(H77&lt;=60,"Medium","High"))</f>
        <v>High</v>
      </c>
      <c r="Q77" s="1" t="str">
        <f aca="false">IF(I77&gt;0,"Yes","No")</f>
        <v>No</v>
      </c>
      <c r="R77" s="1" t="n">
        <f aca="false">IF(N77="Yes",1,0)</f>
        <v>0</v>
      </c>
    </row>
    <row r="78" customFormat="false" ht="15" hidden="false" customHeight="true" outlineLevel="0" collapsed="false">
      <c r="A78" s="1" t="str">
        <f aca="false">'Cleaned Data'!A78</f>
        <v>S00074</v>
      </c>
      <c r="B78" s="1" t="str">
        <f aca="false">'Cleaned Data'!B78</f>
        <v>P8845</v>
      </c>
      <c r="C78" s="1" t="str">
        <f aca="false">'Cleaned Data'!C78</f>
        <v>connerkevin</v>
      </c>
      <c r="D78" s="1" t="str">
        <f aca="false">'Cleaned Data'!D78</f>
        <v>BattleZone</v>
      </c>
      <c r="E78" s="1" t="str">
        <f aca="false">'Cleaned Data'!E78</f>
        <v>Console</v>
      </c>
      <c r="F78" s="1" t="str">
        <f aca="false">'Cleaned Data'!F78</f>
        <v>North</v>
      </c>
      <c r="G78" s="23" t="n">
        <f aca="false">'Cleaned Data'!G78</f>
        <v>45665</v>
      </c>
      <c r="H78" s="1" t="n">
        <f aca="false">'Cleaned Data'!H78</f>
        <v>147</v>
      </c>
      <c r="I78" s="24" t="n">
        <f aca="false">'Cleaned Data'!I78</f>
        <v>0</v>
      </c>
      <c r="J78" s="1" t="str">
        <f aca="false">'Cleaned Data'!J78</f>
        <v>None</v>
      </c>
      <c r="K78" s="1" t="str">
        <f aca="false">'Cleaned Data'!K78</f>
        <v>Completed</v>
      </c>
      <c r="L78" s="1" t="str">
        <f aca="false">'Cleaned Data'!L78</f>
        <v>Free</v>
      </c>
      <c r="M78" s="1" t="n">
        <f aca="false">'Cleaned Data'!M78</f>
        <v>14</v>
      </c>
      <c r="N78" s="1" t="str">
        <f aca="false">'Cleaned Data'!N78</f>
        <v>No</v>
      </c>
      <c r="O78" s="1" t="str">
        <f aca="false">TEXT(G78,"yyyy-mm")</f>
        <v>2025-01</v>
      </c>
      <c r="P78" s="1" t="str">
        <f aca="false">IF(H78&lt;20,"Low",IF(H78&lt;=60,"Medium","High"))</f>
        <v>High</v>
      </c>
      <c r="Q78" s="1" t="str">
        <f aca="false">IF(I78&gt;0,"Yes","No")</f>
        <v>No</v>
      </c>
      <c r="R78" s="1" t="n">
        <f aca="false">IF(N78="Yes",1,0)</f>
        <v>0</v>
      </c>
    </row>
    <row r="79" customFormat="false" ht="15" hidden="false" customHeight="true" outlineLevel="0" collapsed="false">
      <c r="A79" s="1" t="str">
        <f aca="false">'Cleaned Data'!A79</f>
        <v>S00075</v>
      </c>
      <c r="B79" s="1" t="str">
        <f aca="false">'Cleaned Data'!B79</f>
        <v>P3222</v>
      </c>
      <c r="C79" s="1" t="str">
        <f aca="false">'Cleaned Data'!C79</f>
        <v>fmayer</v>
      </c>
      <c r="D79" s="1" t="str">
        <f aca="false">'Cleaned Data'!D79</f>
        <v>Empire Wars</v>
      </c>
      <c r="E79" s="1" t="str">
        <f aca="false">'Cleaned Data'!E79</f>
        <v>Console</v>
      </c>
      <c r="F79" s="1" t="str">
        <f aca="false">'Cleaned Data'!F79</f>
        <v>West</v>
      </c>
      <c r="G79" s="23" t="n">
        <f aca="false">'Cleaned Data'!G79</f>
        <v>45750</v>
      </c>
      <c r="H79" s="1" t="n">
        <f aca="false">'Cleaned Data'!H79</f>
        <v>70</v>
      </c>
      <c r="I79" s="24" t="n">
        <f aca="false">'Cleaned Data'!I79</f>
        <v>0</v>
      </c>
      <c r="J79" s="1" t="str">
        <f aca="false">'Cleaned Data'!J79</f>
        <v>None</v>
      </c>
      <c r="K79" s="1" t="str">
        <f aca="false">'Cleaned Data'!K79</f>
        <v>Completed</v>
      </c>
      <c r="L79" s="1" t="str">
        <f aca="false">'Cleaned Data'!L79</f>
        <v>Free</v>
      </c>
      <c r="M79" s="1" t="n">
        <f aca="false">'Cleaned Data'!M79</f>
        <v>12</v>
      </c>
      <c r="N79" s="1" t="str">
        <f aca="false">'Cleaned Data'!N79</f>
        <v>No</v>
      </c>
      <c r="O79" s="1" t="str">
        <f aca="false">TEXT(G79,"yyyy-mm")</f>
        <v>2025-04</v>
      </c>
      <c r="P79" s="1" t="str">
        <f aca="false">IF(H79&lt;20,"Low",IF(H79&lt;=60,"Medium","High"))</f>
        <v>High</v>
      </c>
      <c r="Q79" s="1" t="str">
        <f aca="false">IF(I79&gt;0,"Yes","No")</f>
        <v>No</v>
      </c>
      <c r="R79" s="1" t="n">
        <f aca="false">IF(N79="Yes",1,0)</f>
        <v>0</v>
      </c>
    </row>
    <row r="80" customFormat="false" ht="15" hidden="false" customHeight="true" outlineLevel="0" collapsed="false">
      <c r="A80" s="1" t="str">
        <f aca="false">'Cleaned Data'!A80</f>
        <v>S00076</v>
      </c>
      <c r="B80" s="1" t="str">
        <f aca="false">'Cleaned Data'!B80</f>
        <v>P1269</v>
      </c>
      <c r="C80" s="1" t="str">
        <f aca="false">'Cleaned Data'!C80</f>
        <v>bryantdawn</v>
      </c>
      <c r="D80" s="1" t="str">
        <f aca="false">'Cleaned Data'!D80</f>
        <v>SpeedX</v>
      </c>
      <c r="E80" s="1" t="str">
        <f aca="false">'Cleaned Data'!E80</f>
        <v>PC</v>
      </c>
      <c r="F80" s="1" t="str">
        <f aca="false">'Cleaned Data'!F80</f>
        <v>East</v>
      </c>
      <c r="G80" s="23" t="n">
        <f aca="false">'Cleaned Data'!G80</f>
        <v>45817</v>
      </c>
      <c r="H80" s="1" t="n">
        <f aca="false">'Cleaned Data'!H80</f>
        <v>33</v>
      </c>
      <c r="I80" s="24" t="n">
        <f aca="false">'Cleaned Data'!I80</f>
        <v>16.41</v>
      </c>
      <c r="J80" s="1" t="str">
        <f aca="false">'Cleaned Data'!J80</f>
        <v>Boosters</v>
      </c>
      <c r="K80" s="1" t="str">
        <f aca="false">'Cleaned Data'!K80</f>
        <v>Incomplete</v>
      </c>
      <c r="L80" s="1" t="str">
        <f aca="false">'Cleaned Data'!L80</f>
        <v>Paid</v>
      </c>
      <c r="M80" s="1" t="n">
        <f aca="false">'Cleaned Data'!M80</f>
        <v>30</v>
      </c>
      <c r="N80" s="1" t="str">
        <f aca="false">'Cleaned Data'!N80</f>
        <v>No</v>
      </c>
      <c r="O80" s="1" t="str">
        <f aca="false">TEXT(G80,"yyyy-mm")</f>
        <v>2025-06</v>
      </c>
      <c r="P80" s="1" t="str">
        <f aca="false">IF(H80&lt;20,"Low",IF(H80&lt;=60,"Medium","High"))</f>
        <v>Medium</v>
      </c>
      <c r="Q80" s="1" t="str">
        <f aca="false">IF(I80&gt;0,"Yes","No")</f>
        <v>Yes</v>
      </c>
      <c r="R80" s="1" t="n">
        <f aca="false">IF(N80="Yes",1,0)</f>
        <v>0</v>
      </c>
    </row>
    <row r="81" customFormat="false" ht="15" hidden="false" customHeight="true" outlineLevel="0" collapsed="false">
      <c r="A81" s="1" t="str">
        <f aca="false">'Cleaned Data'!A81</f>
        <v>S00077</v>
      </c>
      <c r="B81" s="1" t="str">
        <f aca="false">'Cleaned Data'!B81</f>
        <v>P6534</v>
      </c>
      <c r="C81" s="1" t="str">
        <f aca="false">'Cleaned Data'!C81</f>
        <v>lindsay74</v>
      </c>
      <c r="D81" s="1" t="str">
        <f aca="false">'Cleaned Data'!D81</f>
        <v>SpeedX</v>
      </c>
      <c r="E81" s="1" t="str">
        <f aca="false">'Cleaned Data'!E81</f>
        <v>PC</v>
      </c>
      <c r="F81" s="1" t="str">
        <f aca="false">'Cleaned Data'!F81</f>
        <v>West</v>
      </c>
      <c r="G81" s="23" t="n">
        <f aca="false">'Cleaned Data'!G81</f>
        <v>45692</v>
      </c>
      <c r="H81" s="1" t="n">
        <f aca="false">'Cleaned Data'!H81</f>
        <v>128</v>
      </c>
      <c r="I81" s="24" t="n">
        <f aca="false">'Cleaned Data'!I81</f>
        <v>0</v>
      </c>
      <c r="J81" s="1" t="str">
        <f aca="false">'Cleaned Data'!J81</f>
        <v>None</v>
      </c>
      <c r="K81" s="1" t="str">
        <f aca="false">'Cleaned Data'!K81</f>
        <v>Incomplete</v>
      </c>
      <c r="L81" s="1" t="str">
        <f aca="false">'Cleaned Data'!L81</f>
        <v>Free</v>
      </c>
      <c r="M81" s="1" t="n">
        <f aca="false">'Cleaned Data'!M81</f>
        <v>40</v>
      </c>
      <c r="N81" s="1" t="str">
        <f aca="false">'Cleaned Data'!N81</f>
        <v>No</v>
      </c>
      <c r="O81" s="1" t="str">
        <f aca="false">TEXT(G81,"yyyy-mm")</f>
        <v>2025-02</v>
      </c>
      <c r="P81" s="1" t="str">
        <f aca="false">IF(H81&lt;20,"Low",IF(H81&lt;=60,"Medium","High"))</f>
        <v>High</v>
      </c>
      <c r="Q81" s="1" t="str">
        <f aca="false">IF(I81&gt;0,"Yes","No")</f>
        <v>No</v>
      </c>
      <c r="R81" s="1" t="n">
        <f aca="false">IF(N81="Yes",1,0)</f>
        <v>0</v>
      </c>
    </row>
    <row r="82" customFormat="false" ht="15" hidden="false" customHeight="true" outlineLevel="0" collapsed="false">
      <c r="A82" s="1" t="str">
        <f aca="false">'Cleaned Data'!A82</f>
        <v>S00078</v>
      </c>
      <c r="B82" s="1" t="str">
        <f aca="false">'Cleaned Data'!B82</f>
        <v>P1662</v>
      </c>
      <c r="C82" s="1" t="str">
        <f aca="false">'Cleaned Data'!C82</f>
        <v>ehill</v>
      </c>
      <c r="D82" s="1" t="str">
        <f aca="false">'Cleaned Data'!D82</f>
        <v>SpeedX</v>
      </c>
      <c r="E82" s="1" t="str">
        <f aca="false">'Cleaned Data'!E82</f>
        <v>Console</v>
      </c>
      <c r="F82" s="1" t="str">
        <f aca="false">'Cleaned Data'!F82</f>
        <v>Central</v>
      </c>
      <c r="G82" s="23" t="n">
        <f aca="false">'Cleaned Data'!G82</f>
        <v>45815</v>
      </c>
      <c r="H82" s="1" t="n">
        <f aca="false">'Cleaned Data'!H82</f>
        <v>28</v>
      </c>
      <c r="I82" s="24" t="n">
        <f aca="false">'Cleaned Data'!I82</f>
        <v>0</v>
      </c>
      <c r="J82" s="1" t="str">
        <f aca="false">'Cleaned Data'!J82</f>
        <v>None</v>
      </c>
      <c r="K82" s="1" t="str">
        <f aca="false">'Cleaned Data'!K82</f>
        <v>Completed</v>
      </c>
      <c r="L82" s="1" t="str">
        <f aca="false">'Cleaned Data'!L82</f>
        <v>Free</v>
      </c>
      <c r="M82" s="1" t="n">
        <f aca="false">'Cleaned Data'!M82</f>
        <v>4</v>
      </c>
      <c r="N82" s="1" t="str">
        <f aca="false">'Cleaned Data'!N82</f>
        <v>No</v>
      </c>
      <c r="O82" s="1" t="str">
        <f aca="false">TEXT(G82,"yyyy-mm")</f>
        <v>2025-06</v>
      </c>
      <c r="P82" s="1" t="str">
        <f aca="false">IF(H82&lt;20,"Low",IF(H82&lt;=60,"Medium","High"))</f>
        <v>Medium</v>
      </c>
      <c r="Q82" s="1" t="str">
        <f aca="false">IF(I82&gt;0,"Yes","No")</f>
        <v>No</v>
      </c>
      <c r="R82" s="1" t="n">
        <f aca="false">IF(N82="Yes",1,0)</f>
        <v>0</v>
      </c>
    </row>
    <row r="83" customFormat="false" ht="15" hidden="false" customHeight="true" outlineLevel="0" collapsed="false">
      <c r="A83" s="1" t="str">
        <f aca="false">'Cleaned Data'!A83</f>
        <v>S00079</v>
      </c>
      <c r="B83" s="1" t="str">
        <f aca="false">'Cleaned Data'!B83</f>
        <v>P9765</v>
      </c>
      <c r="C83" s="1" t="str">
        <f aca="false">'Cleaned Data'!C83</f>
        <v>hannah41</v>
      </c>
      <c r="D83" s="1" t="str">
        <f aca="false">'Cleaned Data'!D83</f>
        <v>SpeedX</v>
      </c>
      <c r="E83" s="1" t="str">
        <f aca="false">'Cleaned Data'!E83</f>
        <v>PC</v>
      </c>
      <c r="F83" s="1" t="str">
        <f aca="false">'Cleaned Data'!F83</f>
        <v>North</v>
      </c>
      <c r="G83" s="23" t="n">
        <f aca="false">'Cleaned Data'!G83</f>
        <v>45743</v>
      </c>
      <c r="H83" s="1" t="n">
        <f aca="false">'Cleaned Data'!H83</f>
        <v>112</v>
      </c>
      <c r="I83" s="24" t="n">
        <f aca="false">'Cleaned Data'!I83</f>
        <v>0</v>
      </c>
      <c r="J83" s="1" t="str">
        <f aca="false">'Cleaned Data'!J83</f>
        <v>None</v>
      </c>
      <c r="K83" s="1" t="str">
        <f aca="false">'Cleaned Data'!K83</f>
        <v>Completed</v>
      </c>
      <c r="L83" s="1" t="str">
        <f aca="false">'Cleaned Data'!L83</f>
        <v>Free</v>
      </c>
      <c r="M83" s="1" t="n">
        <f aca="false">'Cleaned Data'!M83</f>
        <v>21</v>
      </c>
      <c r="N83" s="1" t="str">
        <f aca="false">'Cleaned Data'!N83</f>
        <v>No</v>
      </c>
      <c r="O83" s="1" t="str">
        <f aca="false">TEXT(G83,"yyyy-mm")</f>
        <v>2025-03</v>
      </c>
      <c r="P83" s="1" t="str">
        <f aca="false">IF(H83&lt;20,"Low",IF(H83&lt;=60,"Medium","High"))</f>
        <v>High</v>
      </c>
      <c r="Q83" s="1" t="str">
        <f aca="false">IF(I83&gt;0,"Yes","No")</f>
        <v>No</v>
      </c>
      <c r="R83" s="1" t="n">
        <f aca="false">IF(N83="Yes",1,0)</f>
        <v>0</v>
      </c>
    </row>
    <row r="84" customFormat="false" ht="15" hidden="false" customHeight="true" outlineLevel="0" collapsed="false">
      <c r="A84" s="1" t="str">
        <f aca="false">'Cleaned Data'!A84</f>
        <v>S00080</v>
      </c>
      <c r="B84" s="1" t="str">
        <f aca="false">'Cleaned Data'!B84</f>
        <v>P2463</v>
      </c>
      <c r="C84" s="1" t="str">
        <f aca="false">'Cleaned Data'!C84</f>
        <v>bentonashley</v>
      </c>
      <c r="D84" s="1" t="str">
        <f aca="false">'Cleaned Data'!D84</f>
        <v>SpeedX</v>
      </c>
      <c r="E84" s="1" t="str">
        <f aca="false">'Cleaned Data'!E84</f>
        <v>Mobile</v>
      </c>
      <c r="F84" s="1" t="str">
        <f aca="false">'Cleaned Data'!F84</f>
        <v>South</v>
      </c>
      <c r="G84" s="23" t="n">
        <f aca="false">'Cleaned Data'!G84</f>
        <v>45779</v>
      </c>
      <c r="H84" s="1" t="n">
        <f aca="false">'Cleaned Data'!H84</f>
        <v>175</v>
      </c>
      <c r="I84" s="24" t="n">
        <f aca="false">'Cleaned Data'!I84</f>
        <v>27.19</v>
      </c>
      <c r="J84" s="1" t="str">
        <f aca="false">'Cleaned Data'!J84</f>
        <v>Skins</v>
      </c>
      <c r="K84" s="1" t="str">
        <f aca="false">'Cleaned Data'!K84</f>
        <v>Completed</v>
      </c>
      <c r="L84" s="1" t="str">
        <f aca="false">'Cleaned Data'!L84</f>
        <v>Paid</v>
      </c>
      <c r="M84" s="1" t="n">
        <f aca="false">'Cleaned Data'!M84</f>
        <v>1</v>
      </c>
      <c r="N84" s="1" t="str">
        <f aca="false">'Cleaned Data'!N84</f>
        <v>Yes</v>
      </c>
      <c r="O84" s="1" t="str">
        <f aca="false">TEXT(G84,"yyyy-mm")</f>
        <v>2025-05</v>
      </c>
      <c r="P84" s="1" t="str">
        <f aca="false">IF(H84&lt;20,"Low",IF(H84&lt;=60,"Medium","High"))</f>
        <v>High</v>
      </c>
      <c r="Q84" s="1" t="str">
        <f aca="false">IF(I84&gt;0,"Yes","No")</f>
        <v>Yes</v>
      </c>
      <c r="R84" s="1" t="n">
        <f aca="false">IF(N84="Yes",1,0)</f>
        <v>1</v>
      </c>
    </row>
    <row r="85" customFormat="false" ht="15" hidden="false" customHeight="true" outlineLevel="0" collapsed="false">
      <c r="A85" s="1" t="str">
        <f aca="false">'Cleaned Data'!A85</f>
        <v>S00081</v>
      </c>
      <c r="B85" s="1" t="str">
        <f aca="false">'Cleaned Data'!B85</f>
        <v>P3235</v>
      </c>
      <c r="C85" s="1" t="str">
        <f aca="false">'Cleaned Data'!C85</f>
        <v>kellyhill</v>
      </c>
      <c r="D85" s="1" t="str">
        <f aca="false">'Cleaned Data'!D85</f>
        <v>Clash of Realms</v>
      </c>
      <c r="E85" s="1" t="str">
        <f aca="false">'Cleaned Data'!E85</f>
        <v>PC</v>
      </c>
      <c r="F85" s="1" t="str">
        <f aca="false">'Cleaned Data'!F85</f>
        <v>Central</v>
      </c>
      <c r="G85" s="23" t="n">
        <f aca="false">'Cleaned Data'!G85</f>
        <v>45809</v>
      </c>
      <c r="H85" s="1" t="n">
        <f aca="false">'Cleaned Data'!H85</f>
        <v>60</v>
      </c>
      <c r="I85" s="24" t="n">
        <f aca="false">'Cleaned Data'!I85</f>
        <v>0</v>
      </c>
      <c r="J85" s="1" t="str">
        <f aca="false">'Cleaned Data'!J85</f>
        <v>None</v>
      </c>
      <c r="K85" s="1" t="str">
        <f aca="false">'Cleaned Data'!K85</f>
        <v>Completed</v>
      </c>
      <c r="L85" s="1" t="str">
        <f aca="false">'Cleaned Data'!L85</f>
        <v>Free</v>
      </c>
      <c r="M85" s="1" t="n">
        <f aca="false">'Cleaned Data'!M85</f>
        <v>44</v>
      </c>
      <c r="N85" s="1" t="str">
        <f aca="false">'Cleaned Data'!N85</f>
        <v>No</v>
      </c>
      <c r="O85" s="1" t="str">
        <f aca="false">TEXT(G85,"yyyy-mm")</f>
        <v>2025-06</v>
      </c>
      <c r="P85" s="1" t="str">
        <f aca="false">IF(H85&lt;20,"Low",IF(H85&lt;=60,"Medium","High"))</f>
        <v>Medium</v>
      </c>
      <c r="Q85" s="1" t="str">
        <f aca="false">IF(I85&gt;0,"Yes","No")</f>
        <v>No</v>
      </c>
      <c r="R85" s="1" t="n">
        <f aca="false">IF(N85="Yes",1,0)</f>
        <v>0</v>
      </c>
    </row>
    <row r="86" customFormat="false" ht="15" hidden="false" customHeight="true" outlineLevel="0" collapsed="false">
      <c r="A86" s="1" t="str">
        <f aca="false">'Cleaned Data'!A86</f>
        <v>S00082</v>
      </c>
      <c r="B86" s="1" t="str">
        <f aca="false">'Cleaned Data'!B86</f>
        <v>P7193</v>
      </c>
      <c r="C86" s="1" t="str">
        <f aca="false">'Cleaned Data'!C86</f>
        <v>tlloyd</v>
      </c>
      <c r="D86" s="1" t="str">
        <f aca="false">'Cleaned Data'!D86</f>
        <v>Zombie Rush</v>
      </c>
      <c r="E86" s="1" t="str">
        <f aca="false">'Cleaned Data'!E86</f>
        <v>PC</v>
      </c>
      <c r="F86" s="1" t="str">
        <f aca="false">'Cleaned Data'!F86</f>
        <v>South</v>
      </c>
      <c r="G86" s="23" t="n">
        <f aca="false">'Cleaned Data'!G86</f>
        <v>45739</v>
      </c>
      <c r="H86" s="1" t="n">
        <f aca="false">'Cleaned Data'!H86</f>
        <v>144</v>
      </c>
      <c r="I86" s="24" t="n">
        <f aca="false">'Cleaned Data'!I86</f>
        <v>0</v>
      </c>
      <c r="J86" s="1" t="str">
        <f aca="false">'Cleaned Data'!J86</f>
        <v>None</v>
      </c>
      <c r="K86" s="1" t="str">
        <f aca="false">'Cleaned Data'!K86</f>
        <v>Completed</v>
      </c>
      <c r="L86" s="1" t="str">
        <f aca="false">'Cleaned Data'!L86</f>
        <v>Free</v>
      </c>
      <c r="M86" s="1" t="n">
        <f aca="false">'Cleaned Data'!M86</f>
        <v>35</v>
      </c>
      <c r="N86" s="1" t="str">
        <f aca="false">'Cleaned Data'!N86</f>
        <v>No</v>
      </c>
      <c r="O86" s="1" t="str">
        <f aca="false">TEXT(G86,"yyyy-mm")</f>
        <v>2025-03</v>
      </c>
      <c r="P86" s="1" t="str">
        <f aca="false">IF(H86&lt;20,"Low",IF(H86&lt;=60,"Medium","High"))</f>
        <v>High</v>
      </c>
      <c r="Q86" s="1" t="str">
        <f aca="false">IF(I86&gt;0,"Yes","No")</f>
        <v>No</v>
      </c>
      <c r="R86" s="1" t="n">
        <f aca="false">IF(N86="Yes",1,0)</f>
        <v>0</v>
      </c>
    </row>
    <row r="87" customFormat="false" ht="15" hidden="false" customHeight="true" outlineLevel="0" collapsed="false">
      <c r="A87" s="1" t="str">
        <f aca="false">'Cleaned Data'!A87</f>
        <v>S00083</v>
      </c>
      <c r="B87" s="1" t="str">
        <f aca="false">'Cleaned Data'!B87</f>
        <v>P1366</v>
      </c>
      <c r="C87" s="1" t="str">
        <f aca="false">'Cleaned Data'!C87</f>
        <v>robinatkinson</v>
      </c>
      <c r="D87" s="1" t="str">
        <f aca="false">'Cleaned Data'!D87</f>
        <v>SpeedX</v>
      </c>
      <c r="E87" s="1" t="str">
        <f aca="false">'Cleaned Data'!E87</f>
        <v>PC</v>
      </c>
      <c r="F87" s="1" t="str">
        <f aca="false">'Cleaned Data'!F87</f>
        <v>East</v>
      </c>
      <c r="G87" s="23" t="n">
        <f aca="false">'Cleaned Data'!G87</f>
        <v>45778</v>
      </c>
      <c r="H87" s="1" t="n">
        <f aca="false">'Cleaned Data'!H87</f>
        <v>47</v>
      </c>
      <c r="I87" s="24" t="n">
        <f aca="false">'Cleaned Data'!I87</f>
        <v>0</v>
      </c>
      <c r="J87" s="1" t="str">
        <f aca="false">'Cleaned Data'!J87</f>
        <v>None</v>
      </c>
      <c r="K87" s="1" t="str">
        <f aca="false">'Cleaned Data'!K87</f>
        <v>Crashed</v>
      </c>
      <c r="L87" s="1" t="str">
        <f aca="false">'Cleaned Data'!L87</f>
        <v>Free</v>
      </c>
      <c r="M87" s="1" t="n">
        <f aca="false">'Cleaned Data'!M87</f>
        <v>50</v>
      </c>
      <c r="N87" s="1" t="str">
        <f aca="false">'Cleaned Data'!N87</f>
        <v>No</v>
      </c>
      <c r="O87" s="1" t="str">
        <f aca="false">TEXT(G87,"yyyy-mm")</f>
        <v>2025-05</v>
      </c>
      <c r="P87" s="1" t="str">
        <f aca="false">IF(H87&lt;20,"Low",IF(H87&lt;=60,"Medium","High"))</f>
        <v>Medium</v>
      </c>
      <c r="Q87" s="1" t="str">
        <f aca="false">IF(I87&gt;0,"Yes","No")</f>
        <v>No</v>
      </c>
      <c r="R87" s="1" t="n">
        <f aca="false">IF(N87="Yes",1,0)</f>
        <v>0</v>
      </c>
    </row>
    <row r="88" customFormat="false" ht="15" hidden="false" customHeight="true" outlineLevel="0" collapsed="false">
      <c r="A88" s="1" t="str">
        <f aca="false">'Cleaned Data'!A88</f>
        <v>S00084</v>
      </c>
      <c r="B88" s="1" t="str">
        <f aca="false">'Cleaned Data'!B88</f>
        <v>P3144</v>
      </c>
      <c r="C88" s="1" t="str">
        <f aca="false">'Cleaned Data'!C88</f>
        <v>karen96</v>
      </c>
      <c r="D88" s="1" t="str">
        <f aca="false">'Cleaned Data'!D88</f>
        <v>Clash of Realms</v>
      </c>
      <c r="E88" s="1" t="str">
        <f aca="false">'Cleaned Data'!E88</f>
        <v>Mobile</v>
      </c>
      <c r="F88" s="1" t="str">
        <f aca="false">'Cleaned Data'!F88</f>
        <v>South</v>
      </c>
      <c r="G88" s="23" t="n">
        <f aca="false">'Cleaned Data'!G88</f>
        <v>45677</v>
      </c>
      <c r="H88" s="1" t="n">
        <f aca="false">'Cleaned Data'!H88</f>
        <v>53</v>
      </c>
      <c r="I88" s="24" t="n">
        <f aca="false">'Cleaned Data'!I88</f>
        <v>0</v>
      </c>
      <c r="J88" s="1" t="str">
        <f aca="false">'Cleaned Data'!J88</f>
        <v>None</v>
      </c>
      <c r="K88" s="1" t="str">
        <f aca="false">'Cleaned Data'!K88</f>
        <v>Completed</v>
      </c>
      <c r="L88" s="1" t="str">
        <f aca="false">'Cleaned Data'!L88</f>
        <v>Free</v>
      </c>
      <c r="M88" s="1" t="n">
        <f aca="false">'Cleaned Data'!M88</f>
        <v>4</v>
      </c>
      <c r="N88" s="1" t="str">
        <f aca="false">'Cleaned Data'!N88</f>
        <v>No</v>
      </c>
      <c r="O88" s="1" t="str">
        <f aca="false">TEXT(G88,"yyyy-mm")</f>
        <v>2025-01</v>
      </c>
      <c r="P88" s="1" t="str">
        <f aca="false">IF(H88&lt;20,"Low",IF(H88&lt;=60,"Medium","High"))</f>
        <v>Medium</v>
      </c>
      <c r="Q88" s="1" t="str">
        <f aca="false">IF(I88&gt;0,"Yes","No")</f>
        <v>No</v>
      </c>
      <c r="R88" s="1" t="n">
        <f aca="false">IF(N88="Yes",1,0)</f>
        <v>0</v>
      </c>
    </row>
    <row r="89" customFormat="false" ht="15" hidden="false" customHeight="true" outlineLevel="0" collapsed="false">
      <c r="A89" s="1" t="str">
        <f aca="false">'Cleaned Data'!A89</f>
        <v>S00085</v>
      </c>
      <c r="B89" s="1" t="str">
        <f aca="false">'Cleaned Data'!B89</f>
        <v>P2977</v>
      </c>
      <c r="C89" s="1" t="str">
        <f aca="false">'Cleaned Data'!C89</f>
        <v>mark79</v>
      </c>
      <c r="D89" s="1" t="str">
        <f aca="false">'Cleaned Data'!D89</f>
        <v>Empire Wars</v>
      </c>
      <c r="E89" s="1" t="str">
        <f aca="false">'Cleaned Data'!E89</f>
        <v>Console</v>
      </c>
      <c r="F89" s="1" t="str">
        <f aca="false">'Cleaned Data'!F89</f>
        <v>East</v>
      </c>
      <c r="G89" s="23" t="n">
        <f aca="false">'Cleaned Data'!G89</f>
        <v>45756</v>
      </c>
      <c r="H89" s="1" t="n">
        <f aca="false">'Cleaned Data'!H89</f>
        <v>43</v>
      </c>
      <c r="I89" s="24" t="n">
        <f aca="false">'Cleaned Data'!I89</f>
        <v>0</v>
      </c>
      <c r="J89" s="1" t="str">
        <f aca="false">'Cleaned Data'!J89</f>
        <v>None</v>
      </c>
      <c r="K89" s="1" t="str">
        <f aca="false">'Cleaned Data'!K89</f>
        <v>Completed</v>
      </c>
      <c r="L89" s="1" t="str">
        <f aca="false">'Cleaned Data'!L89</f>
        <v>Free</v>
      </c>
      <c r="M89" s="1" t="n">
        <f aca="false">'Cleaned Data'!M89</f>
        <v>20</v>
      </c>
      <c r="N89" s="1" t="str">
        <f aca="false">'Cleaned Data'!N89</f>
        <v>No</v>
      </c>
      <c r="O89" s="1" t="str">
        <f aca="false">TEXT(G89,"yyyy-mm")</f>
        <v>2025-04</v>
      </c>
      <c r="P89" s="1" t="str">
        <f aca="false">IF(H89&lt;20,"Low",IF(H89&lt;=60,"Medium","High"))</f>
        <v>Medium</v>
      </c>
      <c r="Q89" s="1" t="str">
        <f aca="false">IF(I89&gt;0,"Yes","No")</f>
        <v>No</v>
      </c>
      <c r="R89" s="1" t="n">
        <f aca="false">IF(N89="Yes",1,0)</f>
        <v>0</v>
      </c>
    </row>
    <row r="90" customFormat="false" ht="15" hidden="false" customHeight="true" outlineLevel="0" collapsed="false">
      <c r="A90" s="1" t="str">
        <f aca="false">'Cleaned Data'!A90</f>
        <v>S00086</v>
      </c>
      <c r="B90" s="1" t="str">
        <f aca="false">'Cleaned Data'!B90</f>
        <v>P8703</v>
      </c>
      <c r="C90" s="1" t="str">
        <f aca="false">'Cleaned Data'!C90</f>
        <v>wayne88</v>
      </c>
      <c r="D90" s="1" t="str">
        <f aca="false">'Cleaned Data'!D90</f>
        <v>BattleZone</v>
      </c>
      <c r="E90" s="1" t="str">
        <f aca="false">'Cleaned Data'!E90</f>
        <v>PC</v>
      </c>
      <c r="F90" s="1" t="str">
        <f aca="false">'Cleaned Data'!F90</f>
        <v>South</v>
      </c>
      <c r="G90" s="23" t="n">
        <f aca="false">'Cleaned Data'!G90</f>
        <v>45689</v>
      </c>
      <c r="H90" s="1" t="n">
        <f aca="false">'Cleaned Data'!H90</f>
        <v>11</v>
      </c>
      <c r="I90" s="24" t="n">
        <f aca="false">'Cleaned Data'!I90</f>
        <v>0</v>
      </c>
      <c r="J90" s="1" t="str">
        <f aca="false">'Cleaned Data'!J90</f>
        <v>None</v>
      </c>
      <c r="K90" s="1" t="str">
        <f aca="false">'Cleaned Data'!K90</f>
        <v>Crashed</v>
      </c>
      <c r="L90" s="1" t="str">
        <f aca="false">'Cleaned Data'!L90</f>
        <v>Free</v>
      </c>
      <c r="M90" s="1" t="n">
        <f aca="false">'Cleaned Data'!M90</f>
        <v>18</v>
      </c>
      <c r="N90" s="1" t="str">
        <f aca="false">'Cleaned Data'!N90</f>
        <v>No</v>
      </c>
      <c r="O90" s="1" t="str">
        <f aca="false">TEXT(G90,"yyyy-mm")</f>
        <v>2025-02</v>
      </c>
      <c r="P90" s="1" t="str">
        <f aca="false">IF(H90&lt;20,"Low",IF(H90&lt;=60,"Medium","High"))</f>
        <v>Low</v>
      </c>
      <c r="Q90" s="1" t="str">
        <f aca="false">IF(I90&gt;0,"Yes","No")</f>
        <v>No</v>
      </c>
      <c r="R90" s="1" t="n">
        <f aca="false">IF(N90="Yes",1,0)</f>
        <v>0</v>
      </c>
    </row>
    <row r="91" customFormat="false" ht="15" hidden="false" customHeight="true" outlineLevel="0" collapsed="false">
      <c r="A91" s="1" t="str">
        <f aca="false">'Cleaned Data'!A91</f>
        <v>S00087</v>
      </c>
      <c r="B91" s="1" t="str">
        <f aca="false">'Cleaned Data'!B91</f>
        <v>P9792</v>
      </c>
      <c r="C91" s="1" t="str">
        <f aca="false">'Cleaned Data'!C91</f>
        <v>jack75</v>
      </c>
      <c r="D91" s="1" t="str">
        <f aca="false">'Cleaned Data'!D91</f>
        <v>BattleZone</v>
      </c>
      <c r="E91" s="1" t="str">
        <f aca="false">'Cleaned Data'!E91</f>
        <v>Console</v>
      </c>
      <c r="F91" s="1" t="str">
        <f aca="false">'Cleaned Data'!F91</f>
        <v>South</v>
      </c>
      <c r="G91" s="23" t="n">
        <f aca="false">'Cleaned Data'!G91</f>
        <v>45719</v>
      </c>
      <c r="H91" s="1" t="n">
        <f aca="false">'Cleaned Data'!H91</f>
        <v>100</v>
      </c>
      <c r="I91" s="24" t="n">
        <f aca="false">'Cleaned Data'!I91</f>
        <v>0</v>
      </c>
      <c r="J91" s="1" t="str">
        <f aca="false">'Cleaned Data'!J91</f>
        <v>None</v>
      </c>
      <c r="K91" s="1" t="str">
        <f aca="false">'Cleaned Data'!K91</f>
        <v>Completed</v>
      </c>
      <c r="L91" s="1" t="str">
        <f aca="false">'Cleaned Data'!L91</f>
        <v>Free</v>
      </c>
      <c r="M91" s="1" t="n">
        <f aca="false">'Cleaned Data'!M91</f>
        <v>50</v>
      </c>
      <c r="N91" s="1" t="str">
        <f aca="false">'Cleaned Data'!N91</f>
        <v>No</v>
      </c>
      <c r="O91" s="1" t="str">
        <f aca="false">TEXT(G91,"yyyy-mm")</f>
        <v>2025-03</v>
      </c>
      <c r="P91" s="1" t="str">
        <f aca="false">IF(H91&lt;20,"Low",IF(H91&lt;=60,"Medium","High"))</f>
        <v>High</v>
      </c>
      <c r="Q91" s="1" t="str">
        <f aca="false">IF(I91&gt;0,"Yes","No")</f>
        <v>No</v>
      </c>
      <c r="R91" s="1" t="n">
        <f aca="false">IF(N91="Yes",1,0)</f>
        <v>0</v>
      </c>
    </row>
    <row r="92" customFormat="false" ht="15" hidden="false" customHeight="true" outlineLevel="0" collapsed="false">
      <c r="A92" s="1" t="str">
        <f aca="false">'Cleaned Data'!A92</f>
        <v>S00088</v>
      </c>
      <c r="B92" s="1" t="str">
        <f aca="false">'Cleaned Data'!B92</f>
        <v>P5000</v>
      </c>
      <c r="C92" s="1" t="str">
        <f aca="false">'Cleaned Data'!C92</f>
        <v>shenderson</v>
      </c>
      <c r="D92" s="1" t="str">
        <f aca="false">'Cleaned Data'!D92</f>
        <v>SpeedX</v>
      </c>
      <c r="E92" s="1" t="str">
        <f aca="false">'Cleaned Data'!E92</f>
        <v>PC</v>
      </c>
      <c r="F92" s="1" t="str">
        <f aca="false">'Cleaned Data'!F92</f>
        <v>North</v>
      </c>
      <c r="G92" s="23" t="n">
        <f aca="false">'Cleaned Data'!G92</f>
        <v>45715</v>
      </c>
      <c r="H92" s="1" t="n">
        <f aca="false">'Cleaned Data'!H92</f>
        <v>54</v>
      </c>
      <c r="I92" s="24" t="n">
        <f aca="false">'Cleaned Data'!I92</f>
        <v>35.79</v>
      </c>
      <c r="J92" s="1" t="str">
        <f aca="false">'Cleaned Data'!J92</f>
        <v>Skins</v>
      </c>
      <c r="K92" s="1" t="str">
        <f aca="false">'Cleaned Data'!K92</f>
        <v>Completed</v>
      </c>
      <c r="L92" s="1" t="str">
        <f aca="false">'Cleaned Data'!L92</f>
        <v>Paid</v>
      </c>
      <c r="M92" s="1" t="n">
        <f aca="false">'Cleaned Data'!M92</f>
        <v>42</v>
      </c>
      <c r="N92" s="1" t="str">
        <f aca="false">'Cleaned Data'!N92</f>
        <v>No</v>
      </c>
      <c r="O92" s="1" t="str">
        <f aca="false">TEXT(G92,"yyyy-mm")</f>
        <v>2025-02</v>
      </c>
      <c r="P92" s="1" t="str">
        <f aca="false">IF(H92&lt;20,"Low",IF(H92&lt;=60,"Medium","High"))</f>
        <v>Medium</v>
      </c>
      <c r="Q92" s="1" t="str">
        <f aca="false">IF(I92&gt;0,"Yes","No")</f>
        <v>Yes</v>
      </c>
      <c r="R92" s="1" t="n">
        <f aca="false">IF(N92="Yes",1,0)</f>
        <v>0</v>
      </c>
    </row>
    <row r="93" customFormat="false" ht="15" hidden="false" customHeight="true" outlineLevel="0" collapsed="false">
      <c r="A93" s="1" t="str">
        <f aca="false">'Cleaned Data'!A93</f>
        <v>S00089</v>
      </c>
      <c r="B93" s="1" t="str">
        <f aca="false">'Cleaned Data'!B93</f>
        <v>P5536</v>
      </c>
      <c r="C93" s="1" t="str">
        <f aca="false">'Cleaned Data'!C93</f>
        <v>manderson</v>
      </c>
      <c r="D93" s="1" t="str">
        <f aca="false">'Cleaned Data'!D93</f>
        <v>Zombie Rush</v>
      </c>
      <c r="E93" s="1" t="str">
        <f aca="false">'Cleaned Data'!E93</f>
        <v>Mobile</v>
      </c>
      <c r="F93" s="1" t="str">
        <f aca="false">'Cleaned Data'!F93</f>
        <v>East</v>
      </c>
      <c r="G93" s="23" t="n">
        <f aca="false">'Cleaned Data'!G93</f>
        <v>45651</v>
      </c>
      <c r="H93" s="1" t="n">
        <f aca="false">'Cleaned Data'!H93</f>
        <v>92</v>
      </c>
      <c r="I93" s="24" t="n">
        <f aca="false">'Cleaned Data'!I93</f>
        <v>0</v>
      </c>
      <c r="J93" s="1" t="str">
        <f aca="false">'Cleaned Data'!J93</f>
        <v>None</v>
      </c>
      <c r="K93" s="1" t="str">
        <f aca="false">'Cleaned Data'!K93</f>
        <v>Incomplete</v>
      </c>
      <c r="L93" s="1" t="str">
        <f aca="false">'Cleaned Data'!L93</f>
        <v>Free</v>
      </c>
      <c r="M93" s="1" t="n">
        <f aca="false">'Cleaned Data'!M93</f>
        <v>21</v>
      </c>
      <c r="N93" s="1" t="str">
        <f aca="false">'Cleaned Data'!N93</f>
        <v>No</v>
      </c>
      <c r="O93" s="1" t="str">
        <f aca="false">TEXT(G93,"yyyy-mm")</f>
        <v>2024-12</v>
      </c>
      <c r="P93" s="1" t="str">
        <f aca="false">IF(H93&lt;20,"Low",IF(H93&lt;=60,"Medium","High"))</f>
        <v>High</v>
      </c>
      <c r="Q93" s="1" t="str">
        <f aca="false">IF(I93&gt;0,"Yes","No")</f>
        <v>No</v>
      </c>
      <c r="R93" s="1" t="n">
        <f aca="false">IF(N93="Yes",1,0)</f>
        <v>0</v>
      </c>
    </row>
    <row r="94" customFormat="false" ht="15" hidden="false" customHeight="true" outlineLevel="0" collapsed="false">
      <c r="A94" s="1" t="str">
        <f aca="false">'Cleaned Data'!A94</f>
        <v>S00090</v>
      </c>
      <c r="B94" s="1" t="str">
        <f aca="false">'Cleaned Data'!B94</f>
        <v>P3420</v>
      </c>
      <c r="C94" s="1" t="str">
        <f aca="false">'Cleaned Data'!C94</f>
        <v>boylejeffrey</v>
      </c>
      <c r="D94" s="1" t="str">
        <f aca="false">'Cleaned Data'!D94</f>
        <v>Empire Wars</v>
      </c>
      <c r="E94" s="1" t="str">
        <f aca="false">'Cleaned Data'!E94</f>
        <v>Mobile</v>
      </c>
      <c r="F94" s="1" t="str">
        <f aca="false">'Cleaned Data'!F94</f>
        <v>North-East</v>
      </c>
      <c r="G94" s="23" t="n">
        <f aca="false">'Cleaned Data'!G94</f>
        <v>45661</v>
      </c>
      <c r="H94" s="1" t="n">
        <f aca="false">'Cleaned Data'!H94</f>
        <v>115</v>
      </c>
      <c r="I94" s="24" t="n">
        <f aca="false">'Cleaned Data'!I94</f>
        <v>0</v>
      </c>
      <c r="J94" s="1" t="str">
        <f aca="false">'Cleaned Data'!J94</f>
        <v>None</v>
      </c>
      <c r="K94" s="1" t="str">
        <f aca="false">'Cleaned Data'!K94</f>
        <v>Completed</v>
      </c>
      <c r="L94" s="1" t="str">
        <f aca="false">'Cleaned Data'!L94</f>
        <v>Free</v>
      </c>
      <c r="M94" s="1" t="n">
        <f aca="false">'Cleaned Data'!M94</f>
        <v>17</v>
      </c>
      <c r="N94" s="1" t="str">
        <f aca="false">'Cleaned Data'!N94</f>
        <v>No</v>
      </c>
      <c r="O94" s="1" t="str">
        <f aca="false">TEXT(G94,"yyyy-mm")</f>
        <v>2025-01</v>
      </c>
      <c r="P94" s="1" t="str">
        <f aca="false">IF(H94&lt;20,"Low",IF(H94&lt;=60,"Medium","High"))</f>
        <v>High</v>
      </c>
      <c r="Q94" s="1" t="str">
        <f aca="false">IF(I94&gt;0,"Yes","No")</f>
        <v>No</v>
      </c>
      <c r="R94" s="1" t="n">
        <f aca="false">IF(N94="Yes",1,0)</f>
        <v>0</v>
      </c>
    </row>
    <row r="95" customFormat="false" ht="15" hidden="false" customHeight="true" outlineLevel="0" collapsed="false">
      <c r="A95" s="1" t="str">
        <f aca="false">'Cleaned Data'!A95</f>
        <v>S00091</v>
      </c>
      <c r="B95" s="1" t="str">
        <f aca="false">'Cleaned Data'!B95</f>
        <v>P6128</v>
      </c>
      <c r="C95" s="1" t="str">
        <f aca="false">'Cleaned Data'!C95</f>
        <v>justinvargas</v>
      </c>
      <c r="D95" s="1" t="str">
        <f aca="false">'Cleaned Data'!D95</f>
        <v>Clash of Realms</v>
      </c>
      <c r="E95" s="1" t="str">
        <f aca="false">'Cleaned Data'!E95</f>
        <v>Console</v>
      </c>
      <c r="F95" s="1" t="str">
        <f aca="false">'Cleaned Data'!F95</f>
        <v>West</v>
      </c>
      <c r="G95" s="23" t="n">
        <f aca="false">'Cleaned Data'!G95</f>
        <v>45809</v>
      </c>
      <c r="H95" s="1" t="n">
        <f aca="false">'Cleaned Data'!H95</f>
        <v>76</v>
      </c>
      <c r="I95" s="24" t="n">
        <f aca="false">'Cleaned Data'!I95</f>
        <v>0</v>
      </c>
      <c r="J95" s="1" t="str">
        <f aca="false">'Cleaned Data'!J95</f>
        <v>None</v>
      </c>
      <c r="K95" s="1" t="str">
        <f aca="false">'Cleaned Data'!K95</f>
        <v>Completed</v>
      </c>
      <c r="L95" s="1" t="str">
        <f aca="false">'Cleaned Data'!L95</f>
        <v>Free</v>
      </c>
      <c r="M95" s="1" t="n">
        <f aca="false">'Cleaned Data'!M95</f>
        <v>44</v>
      </c>
      <c r="N95" s="1" t="str">
        <f aca="false">'Cleaned Data'!N95</f>
        <v>No</v>
      </c>
      <c r="O95" s="1" t="str">
        <f aca="false">TEXT(G95,"yyyy-mm")</f>
        <v>2025-06</v>
      </c>
      <c r="P95" s="1" t="str">
        <f aca="false">IF(H95&lt;20,"Low",IF(H95&lt;=60,"Medium","High"))</f>
        <v>High</v>
      </c>
      <c r="Q95" s="1" t="str">
        <f aca="false">IF(I95&gt;0,"Yes","No")</f>
        <v>No</v>
      </c>
      <c r="R95" s="1" t="n">
        <f aca="false">IF(N95="Yes",1,0)</f>
        <v>0</v>
      </c>
    </row>
    <row r="96" customFormat="false" ht="15" hidden="false" customHeight="true" outlineLevel="0" collapsed="false">
      <c r="A96" s="1" t="str">
        <f aca="false">'Cleaned Data'!A96</f>
        <v>S00092</v>
      </c>
      <c r="B96" s="1" t="str">
        <f aca="false">'Cleaned Data'!B96</f>
        <v>P2205</v>
      </c>
      <c r="C96" s="1" t="str">
        <f aca="false">'Cleaned Data'!C96</f>
        <v>smullins</v>
      </c>
      <c r="D96" s="1" t="str">
        <f aca="false">'Cleaned Data'!D96</f>
        <v>BattleZone</v>
      </c>
      <c r="E96" s="1" t="str">
        <f aca="false">'Cleaned Data'!E96</f>
        <v>Console</v>
      </c>
      <c r="F96" s="1" t="str">
        <f aca="false">'Cleaned Data'!F96</f>
        <v>South</v>
      </c>
      <c r="G96" s="23" t="n">
        <f aca="false">'Cleaned Data'!G96</f>
        <v>45770</v>
      </c>
      <c r="H96" s="1" t="n">
        <f aca="false">'Cleaned Data'!H96</f>
        <v>81</v>
      </c>
      <c r="I96" s="24" t="n">
        <f aca="false">'Cleaned Data'!I96</f>
        <v>0</v>
      </c>
      <c r="J96" s="1" t="str">
        <f aca="false">'Cleaned Data'!J96</f>
        <v>None</v>
      </c>
      <c r="K96" s="1" t="str">
        <f aca="false">'Cleaned Data'!K96</f>
        <v>Crashed</v>
      </c>
      <c r="L96" s="1" t="str">
        <f aca="false">'Cleaned Data'!L96</f>
        <v>Free</v>
      </c>
      <c r="M96" s="1" t="n">
        <f aca="false">'Cleaned Data'!M96</f>
        <v>46</v>
      </c>
      <c r="N96" s="1" t="str">
        <f aca="false">'Cleaned Data'!N96</f>
        <v>No</v>
      </c>
      <c r="O96" s="1" t="str">
        <f aca="false">TEXT(G96,"yyyy-mm")</f>
        <v>2025-04</v>
      </c>
      <c r="P96" s="1" t="str">
        <f aca="false">IF(H96&lt;20,"Low",IF(H96&lt;=60,"Medium","High"))</f>
        <v>High</v>
      </c>
      <c r="Q96" s="1" t="str">
        <f aca="false">IF(I96&gt;0,"Yes","No")</f>
        <v>No</v>
      </c>
      <c r="R96" s="1" t="n">
        <f aca="false">IF(N96="Yes",1,0)</f>
        <v>0</v>
      </c>
    </row>
    <row r="97" customFormat="false" ht="15" hidden="false" customHeight="true" outlineLevel="0" collapsed="false">
      <c r="A97" s="1" t="str">
        <f aca="false">'Cleaned Data'!A97</f>
        <v>S00093</v>
      </c>
      <c r="B97" s="1" t="str">
        <f aca="false">'Cleaned Data'!B97</f>
        <v>P5817</v>
      </c>
      <c r="C97" s="1" t="str">
        <f aca="false">'Cleaned Data'!C97</f>
        <v>cynthiasimmons</v>
      </c>
      <c r="D97" s="1" t="str">
        <f aca="false">'Cleaned Data'!D97</f>
        <v>BattleZone</v>
      </c>
      <c r="E97" s="1" t="str">
        <f aca="false">'Cleaned Data'!E97</f>
        <v>Mobile</v>
      </c>
      <c r="F97" s="1" t="str">
        <f aca="false">'Cleaned Data'!F97</f>
        <v>North</v>
      </c>
      <c r="G97" s="23" t="n">
        <f aca="false">'Cleaned Data'!G97</f>
        <v>45646</v>
      </c>
      <c r="H97" s="1" t="n">
        <f aca="false">'Cleaned Data'!H97</f>
        <v>154</v>
      </c>
      <c r="I97" s="24" t="n">
        <f aca="false">'Cleaned Data'!I97</f>
        <v>0</v>
      </c>
      <c r="J97" s="1" t="str">
        <f aca="false">'Cleaned Data'!J97</f>
        <v>None</v>
      </c>
      <c r="K97" s="1" t="str">
        <f aca="false">'Cleaned Data'!K97</f>
        <v>Completed</v>
      </c>
      <c r="L97" s="1" t="str">
        <f aca="false">'Cleaned Data'!L97</f>
        <v>Free</v>
      </c>
      <c r="M97" s="1" t="n">
        <f aca="false">'Cleaned Data'!M97</f>
        <v>11</v>
      </c>
      <c r="N97" s="1" t="str">
        <f aca="false">'Cleaned Data'!N97</f>
        <v>Yes</v>
      </c>
      <c r="O97" s="1" t="str">
        <f aca="false">TEXT(G97,"yyyy-mm")</f>
        <v>2024-12</v>
      </c>
      <c r="P97" s="1" t="str">
        <f aca="false">IF(H97&lt;20,"Low",IF(H97&lt;=60,"Medium","High"))</f>
        <v>High</v>
      </c>
      <c r="Q97" s="1" t="str">
        <f aca="false">IF(I97&gt;0,"Yes","No")</f>
        <v>No</v>
      </c>
      <c r="R97" s="1" t="n">
        <f aca="false">IF(N97="Yes",1,0)</f>
        <v>1</v>
      </c>
    </row>
    <row r="98" customFormat="false" ht="15" hidden="false" customHeight="true" outlineLevel="0" collapsed="false">
      <c r="A98" s="1" t="str">
        <f aca="false">'Cleaned Data'!A98</f>
        <v>S00094</v>
      </c>
      <c r="B98" s="1" t="str">
        <f aca="false">'Cleaned Data'!B98</f>
        <v>P6677</v>
      </c>
      <c r="C98" s="1" t="str">
        <f aca="false">'Cleaned Data'!C98</f>
        <v>qwatson</v>
      </c>
      <c r="D98" s="1" t="str">
        <f aca="false">'Cleaned Data'!D98</f>
        <v>SpeedX</v>
      </c>
      <c r="E98" s="1" t="str">
        <f aca="false">'Cleaned Data'!E98</f>
        <v>Console</v>
      </c>
      <c r="F98" s="1" t="str">
        <f aca="false">'Cleaned Data'!F98</f>
        <v>North-East</v>
      </c>
      <c r="G98" s="23" t="n">
        <f aca="false">'Cleaned Data'!G98</f>
        <v>45731</v>
      </c>
      <c r="H98" s="1" t="n">
        <f aca="false">'Cleaned Data'!H98</f>
        <v>143</v>
      </c>
      <c r="I98" s="24" t="n">
        <f aca="false">'Cleaned Data'!I98</f>
        <v>0</v>
      </c>
      <c r="J98" s="1" t="str">
        <f aca="false">'Cleaned Data'!J98</f>
        <v>None</v>
      </c>
      <c r="K98" s="1" t="str">
        <f aca="false">'Cleaned Data'!K98</f>
        <v>Exited Early</v>
      </c>
      <c r="L98" s="1" t="str">
        <f aca="false">'Cleaned Data'!L98</f>
        <v>Free</v>
      </c>
      <c r="M98" s="1" t="n">
        <f aca="false">'Cleaned Data'!M98</f>
        <v>10</v>
      </c>
      <c r="N98" s="1" t="str">
        <f aca="false">'Cleaned Data'!N98</f>
        <v>No</v>
      </c>
      <c r="O98" s="1" t="str">
        <f aca="false">TEXT(G98,"yyyy-mm")</f>
        <v>2025-03</v>
      </c>
      <c r="P98" s="1" t="str">
        <f aca="false">IF(H98&lt;20,"Low",IF(H98&lt;=60,"Medium","High"))</f>
        <v>High</v>
      </c>
      <c r="Q98" s="1" t="str">
        <f aca="false">IF(I98&gt;0,"Yes","No")</f>
        <v>No</v>
      </c>
      <c r="R98" s="1" t="n">
        <f aca="false">IF(N98="Yes",1,0)</f>
        <v>0</v>
      </c>
    </row>
    <row r="99" customFormat="false" ht="15" hidden="false" customHeight="true" outlineLevel="0" collapsed="false">
      <c r="A99" s="1" t="str">
        <f aca="false">'Cleaned Data'!A99</f>
        <v>S00095</v>
      </c>
      <c r="B99" s="1" t="str">
        <f aca="false">'Cleaned Data'!B99</f>
        <v>P5248</v>
      </c>
      <c r="C99" s="1" t="str">
        <f aca="false">'Cleaned Data'!C99</f>
        <v>xreed</v>
      </c>
      <c r="D99" s="1" t="str">
        <f aca="false">'Cleaned Data'!D99</f>
        <v>Clash of Realms</v>
      </c>
      <c r="E99" s="1" t="str">
        <f aca="false">'Cleaned Data'!E99</f>
        <v>PC</v>
      </c>
      <c r="F99" s="1" t="str">
        <f aca="false">'Cleaned Data'!F99</f>
        <v>South</v>
      </c>
      <c r="G99" s="23" t="n">
        <f aca="false">'Cleaned Data'!G99</f>
        <v>45779</v>
      </c>
      <c r="H99" s="1" t="n">
        <f aca="false">'Cleaned Data'!H99</f>
        <v>123</v>
      </c>
      <c r="I99" s="24" t="n">
        <f aca="false">'Cleaned Data'!I99</f>
        <v>26.85</v>
      </c>
      <c r="J99" s="1" t="str">
        <f aca="false">'Cleaned Data'!J99</f>
        <v>Battle Pass</v>
      </c>
      <c r="K99" s="1" t="str">
        <f aca="false">'Cleaned Data'!K99</f>
        <v>Crashed</v>
      </c>
      <c r="L99" s="1" t="str">
        <f aca="false">'Cleaned Data'!L99</f>
        <v>Paid</v>
      </c>
      <c r="M99" s="1" t="n">
        <f aca="false">'Cleaned Data'!M99</f>
        <v>32</v>
      </c>
      <c r="N99" s="1" t="str">
        <f aca="false">'Cleaned Data'!N99</f>
        <v>No</v>
      </c>
      <c r="O99" s="1" t="str">
        <f aca="false">TEXT(G99,"yyyy-mm")</f>
        <v>2025-05</v>
      </c>
      <c r="P99" s="1" t="str">
        <f aca="false">IF(H99&lt;20,"Low",IF(H99&lt;=60,"Medium","High"))</f>
        <v>High</v>
      </c>
      <c r="Q99" s="1" t="str">
        <f aca="false">IF(I99&gt;0,"Yes","No")</f>
        <v>Yes</v>
      </c>
      <c r="R99" s="1" t="n">
        <f aca="false">IF(N99="Yes",1,0)</f>
        <v>0</v>
      </c>
    </row>
    <row r="100" customFormat="false" ht="15" hidden="false" customHeight="true" outlineLevel="0" collapsed="false">
      <c r="A100" s="1" t="str">
        <f aca="false">'Cleaned Data'!A100</f>
        <v>S00096</v>
      </c>
      <c r="B100" s="1" t="str">
        <f aca="false">'Cleaned Data'!B100</f>
        <v>P7669</v>
      </c>
      <c r="C100" s="1" t="str">
        <f aca="false">'Cleaned Data'!C100</f>
        <v>melanie00</v>
      </c>
      <c r="D100" s="1" t="str">
        <f aca="false">'Cleaned Data'!D100</f>
        <v>SpeedX</v>
      </c>
      <c r="E100" s="1" t="str">
        <f aca="false">'Cleaned Data'!E100</f>
        <v>Console</v>
      </c>
      <c r="F100" s="1" t="str">
        <f aca="false">'Cleaned Data'!F100</f>
        <v>Central</v>
      </c>
      <c r="G100" s="23" t="n">
        <f aca="false">'Cleaned Data'!G100</f>
        <v>45712</v>
      </c>
      <c r="H100" s="1" t="n">
        <f aca="false">'Cleaned Data'!H100</f>
        <v>158</v>
      </c>
      <c r="I100" s="24" t="n">
        <f aca="false">'Cleaned Data'!I100</f>
        <v>0</v>
      </c>
      <c r="J100" s="1" t="str">
        <f aca="false">'Cleaned Data'!J100</f>
        <v>None</v>
      </c>
      <c r="K100" s="1" t="str">
        <f aca="false">'Cleaned Data'!K100</f>
        <v>Completed</v>
      </c>
      <c r="L100" s="1" t="str">
        <f aca="false">'Cleaned Data'!L100</f>
        <v>Paid</v>
      </c>
      <c r="M100" s="1" t="n">
        <f aca="false">'Cleaned Data'!M100</f>
        <v>17</v>
      </c>
      <c r="N100" s="1" t="str">
        <f aca="false">'Cleaned Data'!N100</f>
        <v>Yes</v>
      </c>
      <c r="O100" s="1" t="str">
        <f aca="false">TEXT(G100,"yyyy-mm")</f>
        <v>2025-02</v>
      </c>
      <c r="P100" s="1" t="str">
        <f aca="false">IF(H100&lt;20,"Low",IF(H100&lt;=60,"Medium","High"))</f>
        <v>High</v>
      </c>
      <c r="Q100" s="1" t="str">
        <f aca="false">IF(I100&gt;0,"Yes","No")</f>
        <v>No</v>
      </c>
      <c r="R100" s="1" t="n">
        <f aca="false">IF(N100="Yes",1,0)</f>
        <v>1</v>
      </c>
    </row>
    <row r="101" customFormat="false" ht="15" hidden="false" customHeight="true" outlineLevel="0" collapsed="false">
      <c r="A101" s="1" t="str">
        <f aca="false">'Cleaned Data'!A101</f>
        <v>S00097</v>
      </c>
      <c r="B101" s="1" t="str">
        <f aca="false">'Cleaned Data'!B101</f>
        <v>P1126</v>
      </c>
      <c r="C101" s="1" t="str">
        <f aca="false">'Cleaned Data'!C101</f>
        <v>richardward</v>
      </c>
      <c r="D101" s="1" t="str">
        <f aca="false">'Cleaned Data'!D101</f>
        <v>Zombie Rush</v>
      </c>
      <c r="E101" s="1" t="str">
        <f aca="false">'Cleaned Data'!E101</f>
        <v>PC</v>
      </c>
      <c r="F101" s="1" t="str">
        <f aca="false">'Cleaned Data'!F101</f>
        <v>West</v>
      </c>
      <c r="G101" s="23" t="n">
        <f aca="false">'Cleaned Data'!G101</f>
        <v>45710</v>
      </c>
      <c r="H101" s="1" t="n">
        <f aca="false">'Cleaned Data'!H101</f>
        <v>122</v>
      </c>
      <c r="I101" s="24" t="n">
        <f aca="false">'Cleaned Data'!I101</f>
        <v>0</v>
      </c>
      <c r="J101" s="1" t="str">
        <f aca="false">'Cleaned Data'!J101</f>
        <v>None</v>
      </c>
      <c r="K101" s="1" t="str">
        <f aca="false">'Cleaned Data'!K101</f>
        <v>Completed</v>
      </c>
      <c r="L101" s="1" t="str">
        <f aca="false">'Cleaned Data'!L101</f>
        <v>Free</v>
      </c>
      <c r="M101" s="1" t="n">
        <f aca="false">'Cleaned Data'!M101</f>
        <v>9</v>
      </c>
      <c r="N101" s="1" t="str">
        <f aca="false">'Cleaned Data'!N101</f>
        <v>No</v>
      </c>
      <c r="O101" s="1" t="str">
        <f aca="false">TEXT(G101,"yyyy-mm")</f>
        <v>2025-02</v>
      </c>
      <c r="P101" s="1" t="str">
        <f aca="false">IF(H101&lt;20,"Low",IF(H101&lt;=60,"Medium","High"))</f>
        <v>High</v>
      </c>
      <c r="Q101" s="1" t="str">
        <f aca="false">IF(I101&gt;0,"Yes","No")</f>
        <v>No</v>
      </c>
      <c r="R101" s="1" t="n">
        <f aca="false">IF(N101="Yes",1,0)</f>
        <v>0</v>
      </c>
    </row>
    <row r="102" customFormat="false" ht="15" hidden="false" customHeight="true" outlineLevel="0" collapsed="false">
      <c r="A102" s="1" t="str">
        <f aca="false">'Cleaned Data'!A102</f>
        <v>S00098</v>
      </c>
      <c r="B102" s="1" t="str">
        <f aca="false">'Cleaned Data'!B102</f>
        <v>P8252</v>
      </c>
      <c r="C102" s="1" t="str">
        <f aca="false">'Cleaned Data'!C102</f>
        <v>riggsbarbara</v>
      </c>
      <c r="D102" s="1" t="str">
        <f aca="false">'Cleaned Data'!D102</f>
        <v>SpeedX</v>
      </c>
      <c r="E102" s="1" t="str">
        <f aca="false">'Cleaned Data'!E102</f>
        <v>Console</v>
      </c>
      <c r="F102" s="1" t="str">
        <f aca="false">'Cleaned Data'!F102</f>
        <v>North-East</v>
      </c>
      <c r="G102" s="23" t="n">
        <f aca="false">'Cleaned Data'!G102</f>
        <v>45646</v>
      </c>
      <c r="H102" s="1" t="n">
        <f aca="false">'Cleaned Data'!H102</f>
        <v>164</v>
      </c>
      <c r="I102" s="24" t="n">
        <f aca="false">'Cleaned Data'!I102</f>
        <v>0</v>
      </c>
      <c r="J102" s="1" t="str">
        <f aca="false">'Cleaned Data'!J102</f>
        <v>None</v>
      </c>
      <c r="K102" s="1" t="str">
        <f aca="false">'Cleaned Data'!K102</f>
        <v>Completed</v>
      </c>
      <c r="L102" s="1" t="str">
        <f aca="false">'Cleaned Data'!L102</f>
        <v>Paid</v>
      </c>
      <c r="M102" s="1" t="n">
        <f aca="false">'Cleaned Data'!M102</f>
        <v>19</v>
      </c>
      <c r="N102" s="1" t="str">
        <f aca="false">'Cleaned Data'!N102</f>
        <v>Yes</v>
      </c>
      <c r="O102" s="1" t="str">
        <f aca="false">TEXT(G102,"yyyy-mm")</f>
        <v>2024-12</v>
      </c>
      <c r="P102" s="1" t="str">
        <f aca="false">IF(H102&lt;20,"Low",IF(H102&lt;=60,"Medium","High"))</f>
        <v>High</v>
      </c>
      <c r="Q102" s="1" t="str">
        <f aca="false">IF(I102&gt;0,"Yes","No")</f>
        <v>No</v>
      </c>
      <c r="R102" s="1" t="n">
        <f aca="false">IF(N102="Yes",1,0)</f>
        <v>1</v>
      </c>
    </row>
    <row r="103" customFormat="false" ht="15" hidden="false" customHeight="true" outlineLevel="0" collapsed="false">
      <c r="A103" s="1" t="str">
        <f aca="false">'Cleaned Data'!A103</f>
        <v>S00099</v>
      </c>
      <c r="B103" s="1" t="str">
        <f aca="false">'Cleaned Data'!B103</f>
        <v>P9800</v>
      </c>
      <c r="C103" s="1" t="str">
        <f aca="false">'Cleaned Data'!C103</f>
        <v>sroach</v>
      </c>
      <c r="D103" s="1" t="str">
        <f aca="false">'Cleaned Data'!D103</f>
        <v>Empire Wars</v>
      </c>
      <c r="E103" s="1" t="str">
        <f aca="false">'Cleaned Data'!E103</f>
        <v>Console</v>
      </c>
      <c r="F103" s="1" t="str">
        <f aca="false">'Cleaned Data'!F103</f>
        <v>East</v>
      </c>
      <c r="G103" s="23" t="n">
        <f aca="false">'Cleaned Data'!G103</f>
        <v>45738</v>
      </c>
      <c r="H103" s="1" t="n">
        <f aca="false">'Cleaned Data'!H103</f>
        <v>173</v>
      </c>
      <c r="I103" s="24" t="n">
        <f aca="false">'Cleaned Data'!I103</f>
        <v>0</v>
      </c>
      <c r="J103" s="1" t="str">
        <f aca="false">'Cleaned Data'!J103</f>
        <v>None</v>
      </c>
      <c r="K103" s="1" t="str">
        <f aca="false">'Cleaned Data'!K103</f>
        <v>Completed</v>
      </c>
      <c r="L103" s="1" t="str">
        <f aca="false">'Cleaned Data'!L103</f>
        <v>Free</v>
      </c>
      <c r="M103" s="1" t="n">
        <f aca="false">'Cleaned Data'!M103</f>
        <v>37</v>
      </c>
      <c r="N103" s="1" t="str">
        <f aca="false">'Cleaned Data'!N103</f>
        <v>Yes</v>
      </c>
      <c r="O103" s="1" t="str">
        <f aca="false">TEXT(G103,"yyyy-mm")</f>
        <v>2025-03</v>
      </c>
      <c r="P103" s="1" t="str">
        <f aca="false">IF(H103&lt;20,"Low",IF(H103&lt;=60,"Medium","High"))</f>
        <v>High</v>
      </c>
      <c r="Q103" s="1" t="str">
        <f aca="false">IF(I103&gt;0,"Yes","No")</f>
        <v>No</v>
      </c>
      <c r="R103" s="1" t="n">
        <f aca="false">IF(N103="Yes",1,0)</f>
        <v>1</v>
      </c>
    </row>
    <row r="104" customFormat="false" ht="15" hidden="false" customHeight="true" outlineLevel="0" collapsed="false">
      <c r="A104" s="1" t="str">
        <f aca="false">'Cleaned Data'!A104</f>
        <v>S00100</v>
      </c>
      <c r="B104" s="1" t="str">
        <f aca="false">'Cleaned Data'!B104</f>
        <v>P5367</v>
      </c>
      <c r="C104" s="1" t="str">
        <f aca="false">'Cleaned Data'!C104</f>
        <v>jeffreyluna</v>
      </c>
      <c r="D104" s="1" t="str">
        <f aca="false">'Cleaned Data'!D104</f>
        <v>Empire Wars</v>
      </c>
      <c r="E104" s="1" t="str">
        <f aca="false">'Cleaned Data'!E104</f>
        <v>Console</v>
      </c>
      <c r="F104" s="1" t="str">
        <f aca="false">'Cleaned Data'!F104</f>
        <v>East</v>
      </c>
      <c r="G104" s="23" t="n">
        <f aca="false">'Cleaned Data'!G104</f>
        <v>45787</v>
      </c>
      <c r="H104" s="1" t="n">
        <f aca="false">'Cleaned Data'!H104</f>
        <v>107</v>
      </c>
      <c r="I104" s="24" t="n">
        <f aca="false">'Cleaned Data'!I104</f>
        <v>0</v>
      </c>
      <c r="J104" s="1" t="str">
        <f aca="false">'Cleaned Data'!J104</f>
        <v>None</v>
      </c>
      <c r="K104" s="1" t="str">
        <f aca="false">'Cleaned Data'!K104</f>
        <v>Incomplete</v>
      </c>
      <c r="L104" s="1" t="str">
        <f aca="false">'Cleaned Data'!L104</f>
        <v>Free</v>
      </c>
      <c r="M104" s="1" t="n">
        <f aca="false">'Cleaned Data'!M104</f>
        <v>13</v>
      </c>
      <c r="N104" s="1" t="str">
        <f aca="false">'Cleaned Data'!N104</f>
        <v>No</v>
      </c>
      <c r="O104" s="1" t="str">
        <f aca="false">TEXT(G104,"yyyy-mm")</f>
        <v>2025-05</v>
      </c>
      <c r="P104" s="1" t="str">
        <f aca="false">IF(H104&lt;20,"Low",IF(H104&lt;=60,"Medium","High"))</f>
        <v>High</v>
      </c>
      <c r="Q104" s="1" t="str">
        <f aca="false">IF(I104&gt;0,"Yes","No")</f>
        <v>No</v>
      </c>
      <c r="R104" s="1" t="n">
        <f aca="false">IF(N104="Yes",1,0)</f>
        <v>0</v>
      </c>
    </row>
    <row r="105" customFormat="false" ht="15" hidden="false" customHeight="true" outlineLevel="0" collapsed="false">
      <c r="A105" s="1" t="str">
        <f aca="false">'Cleaned Data'!A105</f>
        <v>S00101</v>
      </c>
      <c r="B105" s="1" t="str">
        <f aca="false">'Cleaned Data'!B105</f>
        <v>P6401</v>
      </c>
      <c r="C105" s="1" t="str">
        <f aca="false">'Cleaned Data'!C105</f>
        <v>chavezmelissa</v>
      </c>
      <c r="D105" s="1" t="str">
        <f aca="false">'Cleaned Data'!D105</f>
        <v>BattleZone</v>
      </c>
      <c r="E105" s="1" t="str">
        <f aca="false">'Cleaned Data'!E105</f>
        <v>Mobile</v>
      </c>
      <c r="F105" s="1" t="str">
        <f aca="false">'Cleaned Data'!F105</f>
        <v>North</v>
      </c>
      <c r="G105" s="23" t="n">
        <f aca="false">'Cleaned Data'!G105</f>
        <v>45750</v>
      </c>
      <c r="H105" s="1" t="n">
        <f aca="false">'Cleaned Data'!H105</f>
        <v>34</v>
      </c>
      <c r="I105" s="24" t="n">
        <f aca="false">'Cleaned Data'!I105</f>
        <v>15.26</v>
      </c>
      <c r="J105" s="1" t="str">
        <f aca="false">'Cleaned Data'!J105</f>
        <v>Skins</v>
      </c>
      <c r="K105" s="1" t="str">
        <f aca="false">'Cleaned Data'!K105</f>
        <v>Completed</v>
      </c>
      <c r="L105" s="1" t="str">
        <f aca="false">'Cleaned Data'!L105</f>
        <v>Paid</v>
      </c>
      <c r="M105" s="1" t="n">
        <f aca="false">'Cleaned Data'!M105</f>
        <v>11</v>
      </c>
      <c r="N105" s="1" t="str">
        <f aca="false">'Cleaned Data'!N105</f>
        <v>No</v>
      </c>
      <c r="O105" s="1" t="str">
        <f aca="false">TEXT(G105,"yyyy-mm")</f>
        <v>2025-04</v>
      </c>
      <c r="P105" s="1" t="str">
        <f aca="false">IF(H105&lt;20,"Low",IF(H105&lt;=60,"Medium","High"))</f>
        <v>Medium</v>
      </c>
      <c r="Q105" s="1" t="str">
        <f aca="false">IF(I105&gt;0,"Yes","No")</f>
        <v>Yes</v>
      </c>
      <c r="R105" s="1" t="n">
        <f aca="false">IF(N105="Yes",1,0)</f>
        <v>0</v>
      </c>
    </row>
    <row r="106" customFormat="false" ht="15" hidden="false" customHeight="true" outlineLevel="0" collapsed="false">
      <c r="A106" s="1" t="str">
        <f aca="false">'Cleaned Data'!A106</f>
        <v>S00102</v>
      </c>
      <c r="B106" s="1" t="str">
        <f aca="false">'Cleaned Data'!B106</f>
        <v>P1736</v>
      </c>
      <c r="C106" s="1" t="str">
        <f aca="false">'Cleaned Data'!C106</f>
        <v>qserrano</v>
      </c>
      <c r="D106" s="1" t="str">
        <f aca="false">'Cleaned Data'!D106</f>
        <v>Zombie Rush</v>
      </c>
      <c r="E106" s="1" t="str">
        <f aca="false">'Cleaned Data'!E106</f>
        <v>Mobile</v>
      </c>
      <c r="F106" s="1" t="str">
        <f aca="false">'Cleaned Data'!F106</f>
        <v>East</v>
      </c>
      <c r="G106" s="23" t="n">
        <f aca="false">'Cleaned Data'!G106</f>
        <v>45677</v>
      </c>
      <c r="H106" s="1" t="n">
        <f aca="false">'Cleaned Data'!H106</f>
        <v>180</v>
      </c>
      <c r="I106" s="24" t="n">
        <f aca="false">'Cleaned Data'!I106</f>
        <v>0</v>
      </c>
      <c r="J106" s="1" t="str">
        <f aca="false">'Cleaned Data'!J106</f>
        <v>None</v>
      </c>
      <c r="K106" s="1" t="str">
        <f aca="false">'Cleaned Data'!K106</f>
        <v>Completed</v>
      </c>
      <c r="L106" s="1" t="str">
        <f aca="false">'Cleaned Data'!L106</f>
        <v>Free</v>
      </c>
      <c r="M106" s="1" t="n">
        <f aca="false">'Cleaned Data'!M106</f>
        <v>28</v>
      </c>
      <c r="N106" s="1" t="str">
        <f aca="false">'Cleaned Data'!N106</f>
        <v>Yes</v>
      </c>
      <c r="O106" s="1" t="str">
        <f aca="false">TEXT(G106,"yyyy-mm")</f>
        <v>2025-01</v>
      </c>
      <c r="P106" s="1" t="str">
        <f aca="false">IF(H106&lt;20,"Low",IF(H106&lt;=60,"Medium","High"))</f>
        <v>High</v>
      </c>
      <c r="Q106" s="1" t="str">
        <f aca="false">IF(I106&gt;0,"Yes","No")</f>
        <v>No</v>
      </c>
      <c r="R106" s="1" t="n">
        <f aca="false">IF(N106="Yes",1,0)</f>
        <v>1</v>
      </c>
    </row>
    <row r="107" customFormat="false" ht="15" hidden="false" customHeight="true" outlineLevel="0" collapsed="false">
      <c r="A107" s="1" t="str">
        <f aca="false">'Cleaned Data'!A107</f>
        <v>S00103</v>
      </c>
      <c r="B107" s="1" t="str">
        <f aca="false">'Cleaned Data'!B107</f>
        <v>P5013</v>
      </c>
      <c r="C107" s="1" t="str">
        <f aca="false">'Cleaned Data'!C107</f>
        <v>angelabutler</v>
      </c>
      <c r="D107" s="1" t="str">
        <f aca="false">'Cleaned Data'!D107</f>
        <v>Empire Wars</v>
      </c>
      <c r="E107" s="1" t="str">
        <f aca="false">'Cleaned Data'!E107</f>
        <v>Mobile</v>
      </c>
      <c r="F107" s="1" t="str">
        <f aca="false">'Cleaned Data'!F107</f>
        <v>North-East</v>
      </c>
      <c r="G107" s="23" t="n">
        <f aca="false">'Cleaned Data'!G107</f>
        <v>45668</v>
      </c>
      <c r="H107" s="1" t="n">
        <f aca="false">'Cleaned Data'!H107</f>
        <v>41</v>
      </c>
      <c r="I107" s="24" t="n">
        <f aca="false">'Cleaned Data'!I107</f>
        <v>0</v>
      </c>
      <c r="J107" s="1" t="str">
        <f aca="false">'Cleaned Data'!J107</f>
        <v>None</v>
      </c>
      <c r="K107" s="1" t="str">
        <f aca="false">'Cleaned Data'!K107</f>
        <v>Exited Early</v>
      </c>
      <c r="L107" s="1" t="str">
        <f aca="false">'Cleaned Data'!L107</f>
        <v>Free</v>
      </c>
      <c r="M107" s="1" t="n">
        <f aca="false">'Cleaned Data'!M107</f>
        <v>47</v>
      </c>
      <c r="N107" s="1" t="str">
        <f aca="false">'Cleaned Data'!N107</f>
        <v>No</v>
      </c>
      <c r="O107" s="1" t="str">
        <f aca="false">TEXT(G107,"yyyy-mm")</f>
        <v>2025-01</v>
      </c>
      <c r="P107" s="1" t="str">
        <f aca="false">IF(H107&lt;20,"Low",IF(H107&lt;=60,"Medium","High"))</f>
        <v>Medium</v>
      </c>
      <c r="Q107" s="1" t="str">
        <f aca="false">IF(I107&gt;0,"Yes","No")</f>
        <v>No</v>
      </c>
      <c r="R107" s="1" t="n">
        <f aca="false">IF(N107="Yes",1,0)</f>
        <v>0</v>
      </c>
    </row>
    <row r="108" customFormat="false" ht="15" hidden="false" customHeight="true" outlineLevel="0" collapsed="false">
      <c r="A108" s="1" t="str">
        <f aca="false">'Cleaned Data'!A108</f>
        <v>S00104</v>
      </c>
      <c r="B108" s="1" t="str">
        <f aca="false">'Cleaned Data'!B108</f>
        <v>P9492</v>
      </c>
      <c r="C108" s="1" t="str">
        <f aca="false">'Cleaned Data'!C108</f>
        <v>ggriffith</v>
      </c>
      <c r="D108" s="1" t="str">
        <f aca="false">'Cleaned Data'!D108</f>
        <v>Empire Wars</v>
      </c>
      <c r="E108" s="1" t="str">
        <f aca="false">'Cleaned Data'!E108</f>
        <v>Console</v>
      </c>
      <c r="F108" s="1" t="str">
        <f aca="false">'Cleaned Data'!F108</f>
        <v>West</v>
      </c>
      <c r="G108" s="23" t="n">
        <f aca="false">'Cleaned Data'!G108</f>
        <v>45795</v>
      </c>
      <c r="H108" s="1" t="n">
        <f aca="false">'Cleaned Data'!H108</f>
        <v>90</v>
      </c>
      <c r="I108" s="24" t="n">
        <f aca="false">'Cleaned Data'!I108</f>
        <v>0</v>
      </c>
      <c r="J108" s="1" t="str">
        <f aca="false">'Cleaned Data'!J108</f>
        <v>None</v>
      </c>
      <c r="K108" s="1" t="str">
        <f aca="false">'Cleaned Data'!K108</f>
        <v>Completed</v>
      </c>
      <c r="L108" s="1" t="str">
        <f aca="false">'Cleaned Data'!L108</f>
        <v>Free</v>
      </c>
      <c r="M108" s="1" t="n">
        <f aca="false">'Cleaned Data'!M108</f>
        <v>3</v>
      </c>
      <c r="N108" s="1" t="str">
        <f aca="false">'Cleaned Data'!N108</f>
        <v>No</v>
      </c>
      <c r="O108" s="1" t="str">
        <f aca="false">TEXT(G108,"yyyy-mm")</f>
        <v>2025-05</v>
      </c>
      <c r="P108" s="1" t="str">
        <f aca="false">IF(H108&lt;20,"Low",IF(H108&lt;=60,"Medium","High"))</f>
        <v>High</v>
      </c>
      <c r="Q108" s="1" t="str">
        <f aca="false">IF(I108&gt;0,"Yes","No")</f>
        <v>No</v>
      </c>
      <c r="R108" s="1" t="n">
        <f aca="false">IF(N108="Yes",1,0)</f>
        <v>0</v>
      </c>
    </row>
    <row r="109" customFormat="false" ht="15" hidden="false" customHeight="true" outlineLevel="0" collapsed="false">
      <c r="A109" s="1" t="str">
        <f aca="false">'Cleaned Data'!A109</f>
        <v>S00105</v>
      </c>
      <c r="B109" s="1" t="str">
        <f aca="false">'Cleaned Data'!B109</f>
        <v>P2590</v>
      </c>
      <c r="C109" s="1" t="str">
        <f aca="false">'Cleaned Data'!C109</f>
        <v>chrisperkins</v>
      </c>
      <c r="D109" s="1" t="str">
        <f aca="false">'Cleaned Data'!D109</f>
        <v>Clash of Realms</v>
      </c>
      <c r="E109" s="1" t="str">
        <f aca="false">'Cleaned Data'!E109</f>
        <v>Console</v>
      </c>
      <c r="F109" s="1" t="str">
        <f aca="false">'Cleaned Data'!F109</f>
        <v>Central</v>
      </c>
      <c r="G109" s="23" t="n">
        <f aca="false">'Cleaned Data'!G109</f>
        <v>45799</v>
      </c>
      <c r="H109" s="1" t="n">
        <f aca="false">'Cleaned Data'!H109</f>
        <v>64</v>
      </c>
      <c r="I109" s="24" t="n">
        <f aca="false">'Cleaned Data'!I109</f>
        <v>0</v>
      </c>
      <c r="J109" s="1" t="str">
        <f aca="false">'Cleaned Data'!J109</f>
        <v>None</v>
      </c>
      <c r="K109" s="1" t="str">
        <f aca="false">'Cleaned Data'!K109</f>
        <v>Completed</v>
      </c>
      <c r="L109" s="1" t="str">
        <f aca="false">'Cleaned Data'!L109</f>
        <v>Free</v>
      </c>
      <c r="M109" s="1" t="n">
        <f aca="false">'Cleaned Data'!M109</f>
        <v>50</v>
      </c>
      <c r="N109" s="1" t="str">
        <f aca="false">'Cleaned Data'!N109</f>
        <v>No</v>
      </c>
      <c r="O109" s="1" t="str">
        <f aca="false">TEXT(G109,"yyyy-mm")</f>
        <v>2025-05</v>
      </c>
      <c r="P109" s="1" t="str">
        <f aca="false">IF(H109&lt;20,"Low",IF(H109&lt;=60,"Medium","High"))</f>
        <v>High</v>
      </c>
      <c r="Q109" s="1" t="str">
        <f aca="false">IF(I109&gt;0,"Yes","No")</f>
        <v>No</v>
      </c>
      <c r="R109" s="1" t="n">
        <f aca="false">IF(N109="Yes",1,0)</f>
        <v>0</v>
      </c>
    </row>
    <row r="110" customFormat="false" ht="15" hidden="false" customHeight="true" outlineLevel="0" collapsed="false">
      <c r="A110" s="1" t="str">
        <f aca="false">'Cleaned Data'!A110</f>
        <v>S00106</v>
      </c>
      <c r="B110" s="1" t="str">
        <f aca="false">'Cleaned Data'!B110</f>
        <v>P8823</v>
      </c>
      <c r="C110" s="1" t="str">
        <f aca="false">'Cleaned Data'!C110</f>
        <v>blakewallace</v>
      </c>
      <c r="D110" s="1" t="str">
        <f aca="false">'Cleaned Data'!D110</f>
        <v>BattleZone</v>
      </c>
      <c r="E110" s="1" t="str">
        <f aca="false">'Cleaned Data'!E110</f>
        <v>Mobile</v>
      </c>
      <c r="F110" s="1" t="str">
        <f aca="false">'Cleaned Data'!F110</f>
        <v>Central</v>
      </c>
      <c r="G110" s="23" t="n">
        <f aca="false">'Cleaned Data'!G110</f>
        <v>45685</v>
      </c>
      <c r="H110" s="1" t="n">
        <f aca="false">'Cleaned Data'!H110</f>
        <v>101</v>
      </c>
      <c r="I110" s="24" t="n">
        <f aca="false">'Cleaned Data'!I110</f>
        <v>0</v>
      </c>
      <c r="J110" s="1" t="str">
        <f aca="false">'Cleaned Data'!J110</f>
        <v>None</v>
      </c>
      <c r="K110" s="1" t="str">
        <f aca="false">'Cleaned Data'!K110</f>
        <v>Completed</v>
      </c>
      <c r="L110" s="1" t="str">
        <f aca="false">'Cleaned Data'!L110</f>
        <v>Free</v>
      </c>
      <c r="M110" s="1" t="n">
        <f aca="false">'Cleaned Data'!M110</f>
        <v>6</v>
      </c>
      <c r="N110" s="1" t="str">
        <f aca="false">'Cleaned Data'!N110</f>
        <v>No</v>
      </c>
      <c r="O110" s="1" t="str">
        <f aca="false">TEXT(G110,"yyyy-mm")</f>
        <v>2025-01</v>
      </c>
      <c r="P110" s="1" t="str">
        <f aca="false">IF(H110&lt;20,"Low",IF(H110&lt;=60,"Medium","High"))</f>
        <v>High</v>
      </c>
      <c r="Q110" s="1" t="str">
        <f aca="false">IF(I110&gt;0,"Yes","No")</f>
        <v>No</v>
      </c>
      <c r="R110" s="1" t="n">
        <f aca="false">IF(N110="Yes",1,0)</f>
        <v>0</v>
      </c>
    </row>
    <row r="111" customFormat="false" ht="15" hidden="false" customHeight="true" outlineLevel="0" collapsed="false">
      <c r="A111" s="1" t="str">
        <f aca="false">'Cleaned Data'!A111</f>
        <v>S00107</v>
      </c>
      <c r="B111" s="1" t="str">
        <f aca="false">'Cleaned Data'!B111</f>
        <v>P1933</v>
      </c>
      <c r="C111" s="1" t="str">
        <f aca="false">'Cleaned Data'!C111</f>
        <v>ismith</v>
      </c>
      <c r="D111" s="1" t="str">
        <f aca="false">'Cleaned Data'!D111</f>
        <v>BattleZone</v>
      </c>
      <c r="E111" s="1" t="str">
        <f aca="false">'Cleaned Data'!E111</f>
        <v>PC</v>
      </c>
      <c r="F111" s="1" t="str">
        <f aca="false">'Cleaned Data'!F111</f>
        <v>North</v>
      </c>
      <c r="G111" s="23" t="n">
        <f aca="false">'Cleaned Data'!G111</f>
        <v>45762</v>
      </c>
      <c r="H111" s="1" t="n">
        <f aca="false">'Cleaned Data'!H111</f>
        <v>21</v>
      </c>
      <c r="I111" s="24" t="n">
        <f aca="false">'Cleaned Data'!I111</f>
        <v>36.34</v>
      </c>
      <c r="J111" s="1" t="str">
        <f aca="false">'Cleaned Data'!J111</f>
        <v>Subscriptions</v>
      </c>
      <c r="K111" s="1" t="str">
        <f aca="false">'Cleaned Data'!K111</f>
        <v>Completed</v>
      </c>
      <c r="L111" s="1" t="str">
        <f aca="false">'Cleaned Data'!L111</f>
        <v>Paid</v>
      </c>
      <c r="M111" s="1" t="n">
        <f aca="false">'Cleaned Data'!M111</f>
        <v>24</v>
      </c>
      <c r="N111" s="1" t="str">
        <f aca="false">'Cleaned Data'!N111</f>
        <v>No</v>
      </c>
      <c r="O111" s="1" t="str">
        <f aca="false">TEXT(G111,"yyyy-mm")</f>
        <v>2025-04</v>
      </c>
      <c r="P111" s="1" t="str">
        <f aca="false">IF(H111&lt;20,"Low",IF(H111&lt;=60,"Medium","High"))</f>
        <v>Medium</v>
      </c>
      <c r="Q111" s="1" t="str">
        <f aca="false">IF(I111&gt;0,"Yes","No")</f>
        <v>Yes</v>
      </c>
      <c r="R111" s="1" t="n">
        <f aca="false">IF(N111="Yes",1,0)</f>
        <v>0</v>
      </c>
    </row>
    <row r="112" customFormat="false" ht="15" hidden="false" customHeight="true" outlineLevel="0" collapsed="false">
      <c r="A112" s="1" t="str">
        <f aca="false">'Cleaned Data'!A112</f>
        <v>S00108</v>
      </c>
      <c r="B112" s="1" t="str">
        <f aca="false">'Cleaned Data'!B112</f>
        <v>P4776</v>
      </c>
      <c r="C112" s="1" t="str">
        <f aca="false">'Cleaned Data'!C112</f>
        <v>amydunn</v>
      </c>
      <c r="D112" s="1" t="str">
        <f aca="false">'Cleaned Data'!D112</f>
        <v>Empire Wars</v>
      </c>
      <c r="E112" s="1" t="str">
        <f aca="false">'Cleaned Data'!E112</f>
        <v>Console</v>
      </c>
      <c r="F112" s="1" t="str">
        <f aca="false">'Cleaned Data'!F112</f>
        <v>West</v>
      </c>
      <c r="G112" s="23" t="n">
        <f aca="false">'Cleaned Data'!G112</f>
        <v>45747</v>
      </c>
      <c r="H112" s="1" t="n">
        <f aca="false">'Cleaned Data'!H112</f>
        <v>153</v>
      </c>
      <c r="I112" s="24" t="n">
        <f aca="false">'Cleaned Data'!I112</f>
        <v>0</v>
      </c>
      <c r="J112" s="1" t="str">
        <f aca="false">'Cleaned Data'!J112</f>
        <v>None</v>
      </c>
      <c r="K112" s="1" t="str">
        <f aca="false">'Cleaned Data'!K112</f>
        <v>Crashed</v>
      </c>
      <c r="L112" s="1" t="str">
        <f aca="false">'Cleaned Data'!L112</f>
        <v>Free</v>
      </c>
      <c r="M112" s="1" t="n">
        <f aca="false">'Cleaned Data'!M112</f>
        <v>25</v>
      </c>
      <c r="N112" s="1" t="str">
        <f aca="false">'Cleaned Data'!N112</f>
        <v>Yes</v>
      </c>
      <c r="O112" s="1" t="str">
        <f aca="false">TEXT(G112,"yyyy-mm")</f>
        <v>2025-03</v>
      </c>
      <c r="P112" s="1" t="str">
        <f aca="false">IF(H112&lt;20,"Low",IF(H112&lt;=60,"Medium","High"))</f>
        <v>High</v>
      </c>
      <c r="Q112" s="1" t="str">
        <f aca="false">IF(I112&gt;0,"Yes","No")</f>
        <v>No</v>
      </c>
      <c r="R112" s="1" t="n">
        <f aca="false">IF(N112="Yes",1,0)</f>
        <v>1</v>
      </c>
    </row>
    <row r="113" customFormat="false" ht="15" hidden="false" customHeight="true" outlineLevel="0" collapsed="false">
      <c r="A113" s="1" t="str">
        <f aca="false">'Cleaned Data'!A113</f>
        <v>S00109</v>
      </c>
      <c r="B113" s="1" t="str">
        <f aca="false">'Cleaned Data'!B113</f>
        <v>P2082</v>
      </c>
      <c r="C113" s="1" t="str">
        <f aca="false">'Cleaned Data'!C113</f>
        <v>awise</v>
      </c>
      <c r="D113" s="1" t="str">
        <f aca="false">'Cleaned Data'!D113</f>
        <v>Empire Wars</v>
      </c>
      <c r="E113" s="1" t="str">
        <f aca="false">'Cleaned Data'!E113</f>
        <v>PC</v>
      </c>
      <c r="F113" s="1" t="str">
        <f aca="false">'Cleaned Data'!F113</f>
        <v>North-East</v>
      </c>
      <c r="G113" s="23" t="n">
        <f aca="false">'Cleaned Data'!G113</f>
        <v>45819</v>
      </c>
      <c r="H113" s="1" t="n">
        <f aca="false">'Cleaned Data'!H113</f>
        <v>153</v>
      </c>
      <c r="I113" s="24" t="n">
        <f aca="false">'Cleaned Data'!I113</f>
        <v>0</v>
      </c>
      <c r="J113" s="1" t="str">
        <f aca="false">'Cleaned Data'!J113</f>
        <v>None</v>
      </c>
      <c r="K113" s="1" t="str">
        <f aca="false">'Cleaned Data'!K113</f>
        <v>Completed</v>
      </c>
      <c r="L113" s="1" t="str">
        <f aca="false">'Cleaned Data'!L113</f>
        <v>Free</v>
      </c>
      <c r="M113" s="1" t="n">
        <f aca="false">'Cleaned Data'!M113</f>
        <v>48</v>
      </c>
      <c r="N113" s="1" t="str">
        <f aca="false">'Cleaned Data'!N113</f>
        <v>Yes</v>
      </c>
      <c r="O113" s="1" t="str">
        <f aca="false">TEXT(G113,"yyyy-mm")</f>
        <v>2025-06</v>
      </c>
      <c r="P113" s="1" t="str">
        <f aca="false">IF(H113&lt;20,"Low",IF(H113&lt;=60,"Medium","High"))</f>
        <v>High</v>
      </c>
      <c r="Q113" s="1" t="str">
        <f aca="false">IF(I113&gt;0,"Yes","No")</f>
        <v>No</v>
      </c>
      <c r="R113" s="1" t="n">
        <f aca="false">IF(N113="Yes",1,0)</f>
        <v>1</v>
      </c>
    </row>
    <row r="114" customFormat="false" ht="15" hidden="false" customHeight="true" outlineLevel="0" collapsed="false">
      <c r="A114" s="1" t="str">
        <f aca="false">'Cleaned Data'!A114</f>
        <v>S00110</v>
      </c>
      <c r="B114" s="1" t="str">
        <f aca="false">'Cleaned Data'!B114</f>
        <v>P9730</v>
      </c>
      <c r="C114" s="1" t="str">
        <f aca="false">'Cleaned Data'!C114</f>
        <v>jennifer33</v>
      </c>
      <c r="D114" s="1" t="str">
        <f aca="false">'Cleaned Data'!D114</f>
        <v>BattleZone</v>
      </c>
      <c r="E114" s="1" t="str">
        <f aca="false">'Cleaned Data'!E114</f>
        <v>PC</v>
      </c>
      <c r="F114" s="1" t="str">
        <f aca="false">'Cleaned Data'!F114</f>
        <v>North</v>
      </c>
      <c r="G114" s="23" t="n">
        <f aca="false">'Cleaned Data'!G114</f>
        <v>45798</v>
      </c>
      <c r="H114" s="1" t="n">
        <f aca="false">'Cleaned Data'!H114</f>
        <v>164</v>
      </c>
      <c r="I114" s="24" t="n">
        <f aca="false">'Cleaned Data'!I114</f>
        <v>0</v>
      </c>
      <c r="J114" s="1" t="str">
        <f aca="false">'Cleaned Data'!J114</f>
        <v>None</v>
      </c>
      <c r="K114" s="1" t="str">
        <f aca="false">'Cleaned Data'!K114</f>
        <v>Crashed</v>
      </c>
      <c r="L114" s="1" t="str">
        <f aca="false">'Cleaned Data'!L114</f>
        <v>Paid</v>
      </c>
      <c r="M114" s="1" t="n">
        <f aca="false">'Cleaned Data'!M114</f>
        <v>39</v>
      </c>
      <c r="N114" s="1" t="str">
        <f aca="false">'Cleaned Data'!N114</f>
        <v>Yes</v>
      </c>
      <c r="O114" s="1" t="str">
        <f aca="false">TEXT(G114,"yyyy-mm")</f>
        <v>2025-05</v>
      </c>
      <c r="P114" s="1" t="str">
        <f aca="false">IF(H114&lt;20,"Low",IF(H114&lt;=60,"Medium","High"))</f>
        <v>High</v>
      </c>
      <c r="Q114" s="1" t="str">
        <f aca="false">IF(I114&gt;0,"Yes","No")</f>
        <v>No</v>
      </c>
      <c r="R114" s="1" t="n">
        <f aca="false">IF(N114="Yes",1,0)</f>
        <v>1</v>
      </c>
    </row>
    <row r="115" customFormat="false" ht="15" hidden="false" customHeight="true" outlineLevel="0" collapsed="false">
      <c r="A115" s="1" t="str">
        <f aca="false">'Cleaned Data'!A115</f>
        <v>S00111</v>
      </c>
      <c r="B115" s="1" t="str">
        <f aca="false">'Cleaned Data'!B115</f>
        <v>P1583</v>
      </c>
      <c r="C115" s="1" t="str">
        <f aca="false">'Cleaned Data'!C115</f>
        <v>heatherpayne</v>
      </c>
      <c r="D115" s="1" t="str">
        <f aca="false">'Cleaned Data'!D115</f>
        <v>BattleZone</v>
      </c>
      <c r="E115" s="1" t="str">
        <f aca="false">'Cleaned Data'!E115</f>
        <v>PC</v>
      </c>
      <c r="F115" s="1" t="str">
        <f aca="false">'Cleaned Data'!F115</f>
        <v>Central</v>
      </c>
      <c r="G115" s="23" t="n">
        <f aca="false">'Cleaned Data'!G115</f>
        <v>45656</v>
      </c>
      <c r="H115" s="1" t="n">
        <f aca="false">'Cleaned Data'!H115</f>
        <v>165</v>
      </c>
      <c r="I115" s="24" t="n">
        <f aca="false">'Cleaned Data'!I115</f>
        <v>0</v>
      </c>
      <c r="J115" s="1" t="str">
        <f aca="false">'Cleaned Data'!J115</f>
        <v>None</v>
      </c>
      <c r="K115" s="1" t="str">
        <f aca="false">'Cleaned Data'!K115</f>
        <v>Crashed</v>
      </c>
      <c r="L115" s="1" t="str">
        <f aca="false">'Cleaned Data'!L115</f>
        <v>Free</v>
      </c>
      <c r="M115" s="1" t="n">
        <f aca="false">'Cleaned Data'!M115</f>
        <v>48</v>
      </c>
      <c r="N115" s="1" t="str">
        <f aca="false">'Cleaned Data'!N115</f>
        <v>Yes</v>
      </c>
      <c r="O115" s="1" t="str">
        <f aca="false">TEXT(G115,"yyyy-mm")</f>
        <v>2024-12</v>
      </c>
      <c r="P115" s="1" t="str">
        <f aca="false">IF(H115&lt;20,"Low",IF(H115&lt;=60,"Medium","High"))</f>
        <v>High</v>
      </c>
      <c r="Q115" s="1" t="str">
        <f aca="false">IF(I115&gt;0,"Yes","No")</f>
        <v>No</v>
      </c>
      <c r="R115" s="1" t="n">
        <f aca="false">IF(N115="Yes",1,0)</f>
        <v>1</v>
      </c>
    </row>
    <row r="116" customFormat="false" ht="15" hidden="false" customHeight="true" outlineLevel="0" collapsed="false">
      <c r="A116" s="1" t="str">
        <f aca="false">'Cleaned Data'!A116</f>
        <v>S00112</v>
      </c>
      <c r="B116" s="1" t="str">
        <f aca="false">'Cleaned Data'!B116</f>
        <v>P3011</v>
      </c>
      <c r="C116" s="1" t="str">
        <f aca="false">'Cleaned Data'!C116</f>
        <v>keithmaddox</v>
      </c>
      <c r="D116" s="1" t="str">
        <f aca="false">'Cleaned Data'!D116</f>
        <v>BattleZone</v>
      </c>
      <c r="E116" s="1" t="str">
        <f aca="false">'Cleaned Data'!E116</f>
        <v>Mobile</v>
      </c>
      <c r="F116" s="1" t="str">
        <f aca="false">'Cleaned Data'!F116</f>
        <v>Central</v>
      </c>
      <c r="G116" s="23" t="n">
        <f aca="false">'Cleaned Data'!G116</f>
        <v>45802</v>
      </c>
      <c r="H116" s="1" t="n">
        <f aca="false">'Cleaned Data'!H116</f>
        <v>172</v>
      </c>
      <c r="I116" s="24" t="n">
        <f aca="false">'Cleaned Data'!I116</f>
        <v>0</v>
      </c>
      <c r="J116" s="1" t="str">
        <f aca="false">'Cleaned Data'!J116</f>
        <v>None</v>
      </c>
      <c r="K116" s="1" t="str">
        <f aca="false">'Cleaned Data'!K116</f>
        <v>Completed</v>
      </c>
      <c r="L116" s="1" t="str">
        <f aca="false">'Cleaned Data'!L116</f>
        <v>Free</v>
      </c>
      <c r="M116" s="1" t="n">
        <f aca="false">'Cleaned Data'!M116</f>
        <v>50</v>
      </c>
      <c r="N116" s="1" t="str">
        <f aca="false">'Cleaned Data'!N116</f>
        <v>Yes</v>
      </c>
      <c r="O116" s="1" t="str">
        <f aca="false">TEXT(G116,"yyyy-mm")</f>
        <v>2025-05</v>
      </c>
      <c r="P116" s="1" t="str">
        <f aca="false">IF(H116&lt;20,"Low",IF(H116&lt;=60,"Medium","High"))</f>
        <v>High</v>
      </c>
      <c r="Q116" s="1" t="str">
        <f aca="false">IF(I116&gt;0,"Yes","No")</f>
        <v>No</v>
      </c>
      <c r="R116" s="1" t="n">
        <f aca="false">IF(N116="Yes",1,0)</f>
        <v>1</v>
      </c>
    </row>
    <row r="117" customFormat="false" ht="15" hidden="false" customHeight="true" outlineLevel="0" collapsed="false">
      <c r="A117" s="1" t="str">
        <f aca="false">'Cleaned Data'!A117</f>
        <v>S00113</v>
      </c>
      <c r="B117" s="1" t="str">
        <f aca="false">'Cleaned Data'!B117</f>
        <v>P7599</v>
      </c>
      <c r="C117" s="1" t="str">
        <f aca="false">'Cleaned Data'!C117</f>
        <v>fuentesmelanie</v>
      </c>
      <c r="D117" s="1" t="str">
        <f aca="false">'Cleaned Data'!D117</f>
        <v>BattleZone</v>
      </c>
      <c r="E117" s="1" t="str">
        <f aca="false">'Cleaned Data'!E117</f>
        <v>PC</v>
      </c>
      <c r="F117" s="1" t="str">
        <f aca="false">'Cleaned Data'!F117</f>
        <v>North</v>
      </c>
      <c r="G117" s="23" t="n">
        <f aca="false">'Cleaned Data'!G117</f>
        <v>45715</v>
      </c>
      <c r="H117" s="1" t="n">
        <f aca="false">'Cleaned Data'!H117</f>
        <v>33</v>
      </c>
      <c r="I117" s="24" t="n">
        <f aca="false">'Cleaned Data'!I117</f>
        <v>0</v>
      </c>
      <c r="J117" s="1" t="str">
        <f aca="false">'Cleaned Data'!J117</f>
        <v>None</v>
      </c>
      <c r="K117" s="1" t="str">
        <f aca="false">'Cleaned Data'!K117</f>
        <v>Completed</v>
      </c>
      <c r="L117" s="1" t="str">
        <f aca="false">'Cleaned Data'!L117</f>
        <v>Free</v>
      </c>
      <c r="M117" s="1" t="n">
        <f aca="false">'Cleaned Data'!M117</f>
        <v>46</v>
      </c>
      <c r="N117" s="1" t="str">
        <f aca="false">'Cleaned Data'!N117</f>
        <v>No</v>
      </c>
      <c r="O117" s="1" t="str">
        <f aca="false">TEXT(G117,"yyyy-mm")</f>
        <v>2025-02</v>
      </c>
      <c r="P117" s="1" t="str">
        <f aca="false">IF(H117&lt;20,"Low",IF(H117&lt;=60,"Medium","High"))</f>
        <v>Medium</v>
      </c>
      <c r="Q117" s="1" t="str">
        <f aca="false">IF(I117&gt;0,"Yes","No")</f>
        <v>No</v>
      </c>
      <c r="R117" s="1" t="n">
        <f aca="false">IF(N117="Yes",1,0)</f>
        <v>0</v>
      </c>
    </row>
    <row r="118" customFormat="false" ht="15" hidden="false" customHeight="true" outlineLevel="0" collapsed="false">
      <c r="A118" s="1" t="str">
        <f aca="false">'Cleaned Data'!A118</f>
        <v>S00114</v>
      </c>
      <c r="B118" s="1" t="str">
        <f aca="false">'Cleaned Data'!B118</f>
        <v>P2615</v>
      </c>
      <c r="C118" s="1" t="str">
        <f aca="false">'Cleaned Data'!C118</f>
        <v>melissa89</v>
      </c>
      <c r="D118" s="1" t="str">
        <f aca="false">'Cleaned Data'!D118</f>
        <v>Zombie Rush</v>
      </c>
      <c r="E118" s="1" t="str">
        <f aca="false">'Cleaned Data'!E118</f>
        <v>Mobile</v>
      </c>
      <c r="F118" s="1" t="str">
        <f aca="false">'Cleaned Data'!F118</f>
        <v>Central</v>
      </c>
      <c r="G118" s="23" t="n">
        <f aca="false">'Cleaned Data'!G118</f>
        <v>45644</v>
      </c>
      <c r="H118" s="1" t="n">
        <f aca="false">'Cleaned Data'!H118</f>
        <v>89</v>
      </c>
      <c r="I118" s="24" t="n">
        <f aca="false">'Cleaned Data'!I118</f>
        <v>30.92</v>
      </c>
      <c r="J118" s="1" t="str">
        <f aca="false">'Cleaned Data'!J118</f>
        <v>Boosters</v>
      </c>
      <c r="K118" s="1" t="str">
        <f aca="false">'Cleaned Data'!K118</f>
        <v>Completed</v>
      </c>
      <c r="L118" s="1" t="str">
        <f aca="false">'Cleaned Data'!L118</f>
        <v>Paid</v>
      </c>
      <c r="M118" s="1" t="n">
        <f aca="false">'Cleaned Data'!M118</f>
        <v>48</v>
      </c>
      <c r="N118" s="1" t="str">
        <f aca="false">'Cleaned Data'!N118</f>
        <v>No</v>
      </c>
      <c r="O118" s="1" t="str">
        <f aca="false">TEXT(G118,"yyyy-mm")</f>
        <v>2024-12</v>
      </c>
      <c r="P118" s="1" t="str">
        <f aca="false">IF(H118&lt;20,"Low",IF(H118&lt;=60,"Medium","High"))</f>
        <v>High</v>
      </c>
      <c r="Q118" s="1" t="str">
        <f aca="false">IF(I118&gt;0,"Yes","No")</f>
        <v>Yes</v>
      </c>
      <c r="R118" s="1" t="n">
        <f aca="false">IF(N118="Yes",1,0)</f>
        <v>0</v>
      </c>
    </row>
    <row r="119" customFormat="false" ht="15" hidden="false" customHeight="true" outlineLevel="0" collapsed="false">
      <c r="A119" s="1" t="str">
        <f aca="false">'Cleaned Data'!A119</f>
        <v>S00115</v>
      </c>
      <c r="B119" s="1" t="str">
        <f aca="false">'Cleaned Data'!B119</f>
        <v>P5890</v>
      </c>
      <c r="C119" s="1" t="str">
        <f aca="false">'Cleaned Data'!C119</f>
        <v>jill75</v>
      </c>
      <c r="D119" s="1" t="str">
        <f aca="false">'Cleaned Data'!D119</f>
        <v>Zombie Rush</v>
      </c>
      <c r="E119" s="1" t="str">
        <f aca="false">'Cleaned Data'!E119</f>
        <v>Mobile</v>
      </c>
      <c r="F119" s="1" t="str">
        <f aca="false">'Cleaned Data'!F119</f>
        <v>South</v>
      </c>
      <c r="G119" s="23" t="n">
        <f aca="false">'Cleaned Data'!G119</f>
        <v>45703</v>
      </c>
      <c r="H119" s="1" t="n">
        <f aca="false">'Cleaned Data'!H119</f>
        <v>22</v>
      </c>
      <c r="I119" s="24" t="n">
        <f aca="false">'Cleaned Data'!I119</f>
        <v>28.43</v>
      </c>
      <c r="J119" s="1" t="str">
        <f aca="false">'Cleaned Data'!J119</f>
        <v>Battle Pass</v>
      </c>
      <c r="K119" s="1" t="str">
        <f aca="false">'Cleaned Data'!K119</f>
        <v>Crashed</v>
      </c>
      <c r="L119" s="1" t="str">
        <f aca="false">'Cleaned Data'!L119</f>
        <v>Paid</v>
      </c>
      <c r="M119" s="1" t="n">
        <f aca="false">'Cleaned Data'!M119</f>
        <v>36</v>
      </c>
      <c r="N119" s="1" t="str">
        <f aca="false">'Cleaned Data'!N119</f>
        <v>No</v>
      </c>
      <c r="O119" s="1" t="str">
        <f aca="false">TEXT(G119,"yyyy-mm")</f>
        <v>2025-02</v>
      </c>
      <c r="P119" s="1" t="str">
        <f aca="false">IF(H119&lt;20,"Low",IF(H119&lt;=60,"Medium","High"))</f>
        <v>Medium</v>
      </c>
      <c r="Q119" s="1" t="str">
        <f aca="false">IF(I119&gt;0,"Yes","No")</f>
        <v>Yes</v>
      </c>
      <c r="R119" s="1" t="n">
        <f aca="false">IF(N119="Yes",1,0)</f>
        <v>0</v>
      </c>
    </row>
    <row r="120" customFormat="false" ht="15" hidden="false" customHeight="true" outlineLevel="0" collapsed="false">
      <c r="A120" s="1" t="str">
        <f aca="false">'Cleaned Data'!A120</f>
        <v>S00116</v>
      </c>
      <c r="B120" s="1" t="str">
        <f aca="false">'Cleaned Data'!B120</f>
        <v>P7715</v>
      </c>
      <c r="C120" s="1" t="str">
        <f aca="false">'Cleaned Data'!C120</f>
        <v>vhart</v>
      </c>
      <c r="D120" s="1" t="str">
        <f aca="false">'Cleaned Data'!D120</f>
        <v>Zombie Rush</v>
      </c>
      <c r="E120" s="1" t="str">
        <f aca="false">'Cleaned Data'!E120</f>
        <v>Console</v>
      </c>
      <c r="F120" s="1" t="str">
        <f aca="false">'Cleaned Data'!F120</f>
        <v>North-East</v>
      </c>
      <c r="G120" s="23" t="n">
        <f aca="false">'Cleaned Data'!G120</f>
        <v>45749</v>
      </c>
      <c r="H120" s="1" t="n">
        <f aca="false">'Cleaned Data'!H120</f>
        <v>65</v>
      </c>
      <c r="I120" s="24" t="n">
        <f aca="false">'Cleaned Data'!I120</f>
        <v>0</v>
      </c>
      <c r="J120" s="1" t="str">
        <f aca="false">'Cleaned Data'!J120</f>
        <v>None</v>
      </c>
      <c r="K120" s="1" t="str">
        <f aca="false">'Cleaned Data'!K120</f>
        <v>Completed</v>
      </c>
      <c r="L120" s="1" t="str">
        <f aca="false">'Cleaned Data'!L120</f>
        <v>Free</v>
      </c>
      <c r="M120" s="1" t="n">
        <f aca="false">'Cleaned Data'!M120</f>
        <v>8</v>
      </c>
      <c r="N120" s="1" t="str">
        <f aca="false">'Cleaned Data'!N120</f>
        <v>No</v>
      </c>
      <c r="O120" s="1" t="str">
        <f aca="false">TEXT(G120,"yyyy-mm")</f>
        <v>2025-04</v>
      </c>
      <c r="P120" s="1" t="str">
        <f aca="false">IF(H120&lt;20,"Low",IF(H120&lt;=60,"Medium","High"))</f>
        <v>High</v>
      </c>
      <c r="Q120" s="1" t="str">
        <f aca="false">IF(I120&gt;0,"Yes","No")</f>
        <v>No</v>
      </c>
      <c r="R120" s="1" t="n">
        <f aca="false">IF(N120="Yes",1,0)</f>
        <v>0</v>
      </c>
    </row>
    <row r="121" customFormat="false" ht="15" hidden="false" customHeight="true" outlineLevel="0" collapsed="false">
      <c r="A121" s="1" t="str">
        <f aca="false">'Cleaned Data'!A121</f>
        <v>S00117</v>
      </c>
      <c r="B121" s="1" t="str">
        <f aca="false">'Cleaned Data'!B121</f>
        <v>P4728</v>
      </c>
      <c r="C121" s="1" t="str">
        <f aca="false">'Cleaned Data'!C121</f>
        <v>marilynharrison</v>
      </c>
      <c r="D121" s="1" t="str">
        <f aca="false">'Cleaned Data'!D121</f>
        <v>BattleZone</v>
      </c>
      <c r="E121" s="1" t="str">
        <f aca="false">'Cleaned Data'!E121</f>
        <v>PC</v>
      </c>
      <c r="F121" s="1" t="str">
        <f aca="false">'Cleaned Data'!F121</f>
        <v>South</v>
      </c>
      <c r="G121" s="23" t="n">
        <f aca="false">'Cleaned Data'!G121</f>
        <v>45707</v>
      </c>
      <c r="H121" s="1" t="n">
        <f aca="false">'Cleaned Data'!H121</f>
        <v>22</v>
      </c>
      <c r="I121" s="24" t="n">
        <f aca="false">'Cleaned Data'!I121</f>
        <v>0</v>
      </c>
      <c r="J121" s="1" t="str">
        <f aca="false">'Cleaned Data'!J121</f>
        <v>None</v>
      </c>
      <c r="K121" s="1" t="str">
        <f aca="false">'Cleaned Data'!K121</f>
        <v>Completed</v>
      </c>
      <c r="L121" s="1" t="str">
        <f aca="false">'Cleaned Data'!L121</f>
        <v>Free</v>
      </c>
      <c r="M121" s="1" t="n">
        <f aca="false">'Cleaned Data'!M121</f>
        <v>7</v>
      </c>
      <c r="N121" s="1" t="str">
        <f aca="false">'Cleaned Data'!N121</f>
        <v>No</v>
      </c>
      <c r="O121" s="1" t="str">
        <f aca="false">TEXT(G121,"yyyy-mm")</f>
        <v>2025-02</v>
      </c>
      <c r="P121" s="1" t="str">
        <f aca="false">IF(H121&lt;20,"Low",IF(H121&lt;=60,"Medium","High"))</f>
        <v>Medium</v>
      </c>
      <c r="Q121" s="1" t="str">
        <f aca="false">IF(I121&gt;0,"Yes","No")</f>
        <v>No</v>
      </c>
      <c r="R121" s="1" t="n">
        <f aca="false">IF(N121="Yes",1,0)</f>
        <v>0</v>
      </c>
    </row>
    <row r="122" customFormat="false" ht="15" hidden="false" customHeight="true" outlineLevel="0" collapsed="false">
      <c r="A122" s="1" t="str">
        <f aca="false">'Cleaned Data'!A122</f>
        <v>S00118</v>
      </c>
      <c r="B122" s="1" t="str">
        <f aca="false">'Cleaned Data'!B122</f>
        <v>P8621</v>
      </c>
      <c r="C122" s="1" t="str">
        <f aca="false">'Cleaned Data'!C122</f>
        <v>davisamy</v>
      </c>
      <c r="D122" s="1" t="str">
        <f aca="false">'Cleaned Data'!D122</f>
        <v>Empire Wars</v>
      </c>
      <c r="E122" s="1" t="str">
        <f aca="false">'Cleaned Data'!E122</f>
        <v>Mobile</v>
      </c>
      <c r="F122" s="1" t="str">
        <f aca="false">'Cleaned Data'!F122</f>
        <v>North-East</v>
      </c>
      <c r="G122" s="23" t="n">
        <f aca="false">'Cleaned Data'!G122</f>
        <v>45791</v>
      </c>
      <c r="H122" s="1" t="n">
        <f aca="false">'Cleaned Data'!H122</f>
        <v>98</v>
      </c>
      <c r="I122" s="24" t="n">
        <f aca="false">'Cleaned Data'!I122</f>
        <v>0</v>
      </c>
      <c r="J122" s="1" t="str">
        <f aca="false">'Cleaned Data'!J122</f>
        <v>None</v>
      </c>
      <c r="K122" s="1" t="str">
        <f aca="false">'Cleaned Data'!K122</f>
        <v>Crashed</v>
      </c>
      <c r="L122" s="1" t="str">
        <f aca="false">'Cleaned Data'!L122</f>
        <v>Free</v>
      </c>
      <c r="M122" s="1" t="n">
        <f aca="false">'Cleaned Data'!M122</f>
        <v>7</v>
      </c>
      <c r="N122" s="1" t="str">
        <f aca="false">'Cleaned Data'!N122</f>
        <v>No</v>
      </c>
      <c r="O122" s="1" t="str">
        <f aca="false">TEXT(G122,"yyyy-mm")</f>
        <v>2025-05</v>
      </c>
      <c r="P122" s="1" t="str">
        <f aca="false">IF(H122&lt;20,"Low",IF(H122&lt;=60,"Medium","High"))</f>
        <v>High</v>
      </c>
      <c r="Q122" s="1" t="str">
        <f aca="false">IF(I122&gt;0,"Yes","No")</f>
        <v>No</v>
      </c>
      <c r="R122" s="1" t="n">
        <f aca="false">IF(N122="Yes",1,0)</f>
        <v>0</v>
      </c>
    </row>
    <row r="123" customFormat="false" ht="15" hidden="false" customHeight="true" outlineLevel="0" collapsed="false">
      <c r="A123" s="1" t="str">
        <f aca="false">'Cleaned Data'!A123</f>
        <v>S00119</v>
      </c>
      <c r="B123" s="1" t="str">
        <f aca="false">'Cleaned Data'!B123</f>
        <v>P4118</v>
      </c>
      <c r="C123" s="1" t="str">
        <f aca="false">'Cleaned Data'!C123</f>
        <v>dorseyemily</v>
      </c>
      <c r="D123" s="1" t="str">
        <f aca="false">'Cleaned Data'!D123</f>
        <v>BattleZone</v>
      </c>
      <c r="E123" s="1" t="str">
        <f aca="false">'Cleaned Data'!E123</f>
        <v>Console</v>
      </c>
      <c r="F123" s="1" t="str">
        <f aca="false">'Cleaned Data'!F123</f>
        <v>North</v>
      </c>
      <c r="G123" s="23" t="n">
        <f aca="false">'Cleaned Data'!G123</f>
        <v>45781</v>
      </c>
      <c r="H123" s="1" t="n">
        <f aca="false">'Cleaned Data'!H123</f>
        <v>63</v>
      </c>
      <c r="I123" s="24" t="n">
        <f aca="false">'Cleaned Data'!I123</f>
        <v>0</v>
      </c>
      <c r="J123" s="1" t="str">
        <f aca="false">'Cleaned Data'!J123</f>
        <v>None</v>
      </c>
      <c r="K123" s="1" t="str">
        <f aca="false">'Cleaned Data'!K123</f>
        <v>Completed</v>
      </c>
      <c r="L123" s="1" t="str">
        <f aca="false">'Cleaned Data'!L123</f>
        <v>Free</v>
      </c>
      <c r="M123" s="1" t="n">
        <f aca="false">'Cleaned Data'!M123</f>
        <v>13</v>
      </c>
      <c r="N123" s="1" t="str">
        <f aca="false">'Cleaned Data'!N123</f>
        <v>No</v>
      </c>
      <c r="O123" s="1" t="str">
        <f aca="false">TEXT(G123,"yyyy-mm")</f>
        <v>2025-05</v>
      </c>
      <c r="P123" s="1" t="str">
        <f aca="false">IF(H123&lt;20,"Low",IF(H123&lt;=60,"Medium","High"))</f>
        <v>High</v>
      </c>
      <c r="Q123" s="1" t="str">
        <f aca="false">IF(I123&gt;0,"Yes","No")</f>
        <v>No</v>
      </c>
      <c r="R123" s="1" t="n">
        <f aca="false">IF(N123="Yes",1,0)</f>
        <v>0</v>
      </c>
    </row>
    <row r="124" customFormat="false" ht="15" hidden="false" customHeight="true" outlineLevel="0" collapsed="false">
      <c r="A124" s="1" t="str">
        <f aca="false">'Cleaned Data'!A124</f>
        <v>S00120</v>
      </c>
      <c r="B124" s="1" t="str">
        <f aca="false">'Cleaned Data'!B124</f>
        <v>P1199</v>
      </c>
      <c r="C124" s="1" t="str">
        <f aca="false">'Cleaned Data'!C124</f>
        <v>garymeyers</v>
      </c>
      <c r="D124" s="1" t="str">
        <f aca="false">'Cleaned Data'!D124</f>
        <v>Clash of Realms</v>
      </c>
      <c r="E124" s="1" t="str">
        <f aca="false">'Cleaned Data'!E124</f>
        <v>PC</v>
      </c>
      <c r="F124" s="1" t="str">
        <f aca="false">'Cleaned Data'!F124</f>
        <v>North</v>
      </c>
      <c r="G124" s="23" t="n">
        <f aca="false">'Cleaned Data'!G124</f>
        <v>45726</v>
      </c>
      <c r="H124" s="1" t="n">
        <f aca="false">'Cleaned Data'!H124</f>
        <v>45</v>
      </c>
      <c r="I124" s="24" t="n">
        <f aca="false">'Cleaned Data'!I124</f>
        <v>31.67</v>
      </c>
      <c r="J124" s="1" t="str">
        <f aca="false">'Cleaned Data'!J124</f>
        <v>Subscriptions</v>
      </c>
      <c r="K124" s="1" t="str">
        <f aca="false">'Cleaned Data'!K124</f>
        <v>Completed</v>
      </c>
      <c r="L124" s="1" t="str">
        <f aca="false">'Cleaned Data'!L124</f>
        <v>Paid</v>
      </c>
      <c r="M124" s="1" t="n">
        <f aca="false">'Cleaned Data'!M124</f>
        <v>45</v>
      </c>
      <c r="N124" s="1" t="str">
        <f aca="false">'Cleaned Data'!N124</f>
        <v>No</v>
      </c>
      <c r="O124" s="1" t="str">
        <f aca="false">TEXT(G124,"yyyy-mm")</f>
        <v>2025-03</v>
      </c>
      <c r="P124" s="1" t="str">
        <f aca="false">IF(H124&lt;20,"Low",IF(H124&lt;=60,"Medium","High"))</f>
        <v>Medium</v>
      </c>
      <c r="Q124" s="1" t="str">
        <f aca="false">IF(I124&gt;0,"Yes","No")</f>
        <v>Yes</v>
      </c>
      <c r="R124" s="1" t="n">
        <f aca="false">IF(N124="Yes",1,0)</f>
        <v>0</v>
      </c>
    </row>
    <row r="125" customFormat="false" ht="15" hidden="false" customHeight="true" outlineLevel="0" collapsed="false">
      <c r="A125" s="1" t="str">
        <f aca="false">'Cleaned Data'!A125</f>
        <v>S00121</v>
      </c>
      <c r="B125" s="1" t="str">
        <f aca="false">'Cleaned Data'!B125</f>
        <v>P7130</v>
      </c>
      <c r="C125" s="1" t="str">
        <f aca="false">'Cleaned Data'!C125</f>
        <v>elee</v>
      </c>
      <c r="D125" s="1" t="str">
        <f aca="false">'Cleaned Data'!D125</f>
        <v>Clash of Realms</v>
      </c>
      <c r="E125" s="1" t="str">
        <f aca="false">'Cleaned Data'!E125</f>
        <v>Console</v>
      </c>
      <c r="F125" s="1" t="str">
        <f aca="false">'Cleaned Data'!F125</f>
        <v>North</v>
      </c>
      <c r="G125" s="23" t="n">
        <f aca="false">'Cleaned Data'!G125</f>
        <v>45688</v>
      </c>
      <c r="H125" s="1" t="n">
        <f aca="false">'Cleaned Data'!H125</f>
        <v>142</v>
      </c>
      <c r="I125" s="24" t="n">
        <f aca="false">'Cleaned Data'!I125</f>
        <v>0</v>
      </c>
      <c r="J125" s="1" t="str">
        <f aca="false">'Cleaned Data'!J125</f>
        <v>None</v>
      </c>
      <c r="K125" s="1" t="str">
        <f aca="false">'Cleaned Data'!K125</f>
        <v>Completed</v>
      </c>
      <c r="L125" s="1" t="str">
        <f aca="false">'Cleaned Data'!L125</f>
        <v>Free</v>
      </c>
      <c r="M125" s="1" t="n">
        <f aca="false">'Cleaned Data'!M125</f>
        <v>3</v>
      </c>
      <c r="N125" s="1" t="str">
        <f aca="false">'Cleaned Data'!N125</f>
        <v>No</v>
      </c>
      <c r="O125" s="1" t="str">
        <f aca="false">TEXT(G125,"yyyy-mm")</f>
        <v>2025-01</v>
      </c>
      <c r="P125" s="1" t="str">
        <f aca="false">IF(H125&lt;20,"Low",IF(H125&lt;=60,"Medium","High"))</f>
        <v>High</v>
      </c>
      <c r="Q125" s="1" t="str">
        <f aca="false">IF(I125&gt;0,"Yes","No")</f>
        <v>No</v>
      </c>
      <c r="R125" s="1" t="n">
        <f aca="false">IF(N125="Yes",1,0)</f>
        <v>0</v>
      </c>
    </row>
    <row r="126" customFormat="false" ht="15" hidden="false" customHeight="true" outlineLevel="0" collapsed="false">
      <c r="A126" s="1" t="str">
        <f aca="false">'Cleaned Data'!A126</f>
        <v>S00122</v>
      </c>
      <c r="B126" s="1" t="str">
        <f aca="false">'Cleaned Data'!B126</f>
        <v>P1992</v>
      </c>
      <c r="C126" s="1" t="str">
        <f aca="false">'Cleaned Data'!C126</f>
        <v>jennifer29</v>
      </c>
      <c r="D126" s="1" t="str">
        <f aca="false">'Cleaned Data'!D126</f>
        <v>SpeedX</v>
      </c>
      <c r="E126" s="1" t="str">
        <f aca="false">'Cleaned Data'!E126</f>
        <v>Console</v>
      </c>
      <c r="F126" s="1" t="str">
        <f aca="false">'Cleaned Data'!F126</f>
        <v>Central</v>
      </c>
      <c r="G126" s="23" t="n">
        <f aca="false">'Cleaned Data'!G126</f>
        <v>45817</v>
      </c>
      <c r="H126" s="1" t="n">
        <f aca="false">'Cleaned Data'!H126</f>
        <v>56</v>
      </c>
      <c r="I126" s="24" t="n">
        <f aca="false">'Cleaned Data'!I126</f>
        <v>4.07</v>
      </c>
      <c r="J126" s="1" t="str">
        <f aca="false">'Cleaned Data'!J126</f>
        <v>Subscriptions</v>
      </c>
      <c r="K126" s="1" t="str">
        <f aca="false">'Cleaned Data'!K126</f>
        <v>Completed</v>
      </c>
      <c r="L126" s="1" t="str">
        <f aca="false">'Cleaned Data'!L126</f>
        <v>Paid</v>
      </c>
      <c r="M126" s="1" t="n">
        <f aca="false">'Cleaned Data'!M126</f>
        <v>45</v>
      </c>
      <c r="N126" s="1" t="str">
        <f aca="false">'Cleaned Data'!N126</f>
        <v>No</v>
      </c>
      <c r="O126" s="1" t="str">
        <f aca="false">TEXT(G126,"yyyy-mm")</f>
        <v>2025-06</v>
      </c>
      <c r="P126" s="1" t="str">
        <f aca="false">IF(H126&lt;20,"Low",IF(H126&lt;=60,"Medium","High"))</f>
        <v>Medium</v>
      </c>
      <c r="Q126" s="1" t="str">
        <f aca="false">IF(I126&gt;0,"Yes","No")</f>
        <v>Yes</v>
      </c>
      <c r="R126" s="1" t="n">
        <f aca="false">IF(N126="Yes",1,0)</f>
        <v>0</v>
      </c>
    </row>
    <row r="127" customFormat="false" ht="15" hidden="false" customHeight="true" outlineLevel="0" collapsed="false">
      <c r="A127" s="1" t="str">
        <f aca="false">'Cleaned Data'!A127</f>
        <v>S00123</v>
      </c>
      <c r="B127" s="1" t="str">
        <f aca="false">'Cleaned Data'!B127</f>
        <v>P2064</v>
      </c>
      <c r="C127" s="1" t="str">
        <f aca="false">'Cleaned Data'!C127</f>
        <v>davidkelley</v>
      </c>
      <c r="D127" s="1" t="str">
        <f aca="false">'Cleaned Data'!D127</f>
        <v>Zombie Rush</v>
      </c>
      <c r="E127" s="1" t="str">
        <f aca="false">'Cleaned Data'!E127</f>
        <v>Mobile</v>
      </c>
      <c r="F127" s="1" t="str">
        <f aca="false">'Cleaned Data'!F127</f>
        <v>South</v>
      </c>
      <c r="G127" s="23" t="n">
        <f aca="false">'Cleaned Data'!G127</f>
        <v>45648</v>
      </c>
      <c r="H127" s="1" t="n">
        <f aca="false">'Cleaned Data'!H127</f>
        <v>156</v>
      </c>
      <c r="I127" s="24" t="n">
        <f aca="false">'Cleaned Data'!I127</f>
        <v>0</v>
      </c>
      <c r="J127" s="1" t="str">
        <f aca="false">'Cleaned Data'!J127</f>
        <v>None</v>
      </c>
      <c r="K127" s="1" t="str">
        <f aca="false">'Cleaned Data'!K127</f>
        <v>Completed</v>
      </c>
      <c r="L127" s="1" t="str">
        <f aca="false">'Cleaned Data'!L127</f>
        <v>Paid</v>
      </c>
      <c r="M127" s="1" t="n">
        <f aca="false">'Cleaned Data'!M127</f>
        <v>45</v>
      </c>
      <c r="N127" s="1" t="str">
        <f aca="false">'Cleaned Data'!N127</f>
        <v>Yes</v>
      </c>
      <c r="O127" s="1" t="str">
        <f aca="false">TEXT(G127,"yyyy-mm")</f>
        <v>2024-12</v>
      </c>
      <c r="P127" s="1" t="str">
        <f aca="false">IF(H127&lt;20,"Low",IF(H127&lt;=60,"Medium","High"))</f>
        <v>High</v>
      </c>
      <c r="Q127" s="1" t="str">
        <f aca="false">IF(I127&gt;0,"Yes","No")</f>
        <v>No</v>
      </c>
      <c r="R127" s="1" t="n">
        <f aca="false">IF(N127="Yes",1,0)</f>
        <v>1</v>
      </c>
    </row>
    <row r="128" customFormat="false" ht="15" hidden="false" customHeight="true" outlineLevel="0" collapsed="false">
      <c r="A128" s="1" t="str">
        <f aca="false">'Cleaned Data'!A128</f>
        <v>S00124</v>
      </c>
      <c r="B128" s="1" t="str">
        <f aca="false">'Cleaned Data'!B128</f>
        <v>P9571</v>
      </c>
      <c r="C128" s="1" t="str">
        <f aca="false">'Cleaned Data'!C128</f>
        <v>haroldsawyer</v>
      </c>
      <c r="D128" s="1" t="str">
        <f aca="false">'Cleaned Data'!D128</f>
        <v>Empire Wars</v>
      </c>
      <c r="E128" s="1" t="str">
        <f aca="false">'Cleaned Data'!E128</f>
        <v>PC</v>
      </c>
      <c r="F128" s="1" t="str">
        <f aca="false">'Cleaned Data'!F128</f>
        <v>South</v>
      </c>
      <c r="G128" s="23" t="n">
        <f aca="false">'Cleaned Data'!G128</f>
        <v>45667</v>
      </c>
      <c r="H128" s="1" t="n">
        <f aca="false">'Cleaned Data'!H128</f>
        <v>123</v>
      </c>
      <c r="I128" s="24" t="n">
        <f aca="false">'Cleaned Data'!I128</f>
        <v>0</v>
      </c>
      <c r="J128" s="1" t="str">
        <f aca="false">'Cleaned Data'!J128</f>
        <v>None</v>
      </c>
      <c r="K128" s="1" t="str">
        <f aca="false">'Cleaned Data'!K128</f>
        <v>Crashed</v>
      </c>
      <c r="L128" s="1" t="str">
        <f aca="false">'Cleaned Data'!L128</f>
        <v>Free</v>
      </c>
      <c r="M128" s="1" t="n">
        <f aca="false">'Cleaned Data'!M128</f>
        <v>12</v>
      </c>
      <c r="N128" s="1" t="str">
        <f aca="false">'Cleaned Data'!N128</f>
        <v>No</v>
      </c>
      <c r="O128" s="1" t="str">
        <f aca="false">TEXT(G128,"yyyy-mm")</f>
        <v>2025-01</v>
      </c>
      <c r="P128" s="1" t="str">
        <f aca="false">IF(H128&lt;20,"Low",IF(H128&lt;=60,"Medium","High"))</f>
        <v>High</v>
      </c>
      <c r="Q128" s="1" t="str">
        <f aca="false">IF(I128&gt;0,"Yes","No")</f>
        <v>No</v>
      </c>
      <c r="R128" s="1" t="n">
        <f aca="false">IF(N128="Yes",1,0)</f>
        <v>0</v>
      </c>
    </row>
    <row r="129" customFormat="false" ht="15" hidden="false" customHeight="true" outlineLevel="0" collapsed="false">
      <c r="A129" s="1" t="str">
        <f aca="false">'Cleaned Data'!A129</f>
        <v>S00125</v>
      </c>
      <c r="B129" s="1" t="str">
        <f aca="false">'Cleaned Data'!B129</f>
        <v>P9017</v>
      </c>
      <c r="C129" s="1" t="str">
        <f aca="false">'Cleaned Data'!C129</f>
        <v>albertkelly</v>
      </c>
      <c r="D129" s="1" t="str">
        <f aca="false">'Cleaned Data'!D129</f>
        <v>Zombie Rush</v>
      </c>
      <c r="E129" s="1" t="str">
        <f aca="false">'Cleaned Data'!E129</f>
        <v>PC</v>
      </c>
      <c r="F129" s="1" t="str">
        <f aca="false">'Cleaned Data'!F129</f>
        <v>South</v>
      </c>
      <c r="G129" s="23" t="n">
        <f aca="false">'Cleaned Data'!G129</f>
        <v>45819</v>
      </c>
      <c r="H129" s="1" t="n">
        <f aca="false">'Cleaned Data'!H129</f>
        <v>172</v>
      </c>
      <c r="I129" s="24" t="n">
        <f aca="false">'Cleaned Data'!I129</f>
        <v>0</v>
      </c>
      <c r="J129" s="1" t="str">
        <f aca="false">'Cleaned Data'!J129</f>
        <v>None</v>
      </c>
      <c r="K129" s="1" t="str">
        <f aca="false">'Cleaned Data'!K129</f>
        <v>Exited Early</v>
      </c>
      <c r="L129" s="1" t="str">
        <f aca="false">'Cleaned Data'!L129</f>
        <v>Free</v>
      </c>
      <c r="M129" s="1" t="n">
        <f aca="false">'Cleaned Data'!M129</f>
        <v>21</v>
      </c>
      <c r="N129" s="1" t="str">
        <f aca="false">'Cleaned Data'!N129</f>
        <v>Yes</v>
      </c>
      <c r="O129" s="1" t="str">
        <f aca="false">TEXT(G129,"yyyy-mm")</f>
        <v>2025-06</v>
      </c>
      <c r="P129" s="1" t="str">
        <f aca="false">IF(H129&lt;20,"Low",IF(H129&lt;=60,"Medium","High"))</f>
        <v>High</v>
      </c>
      <c r="Q129" s="1" t="str">
        <f aca="false">IF(I129&gt;0,"Yes","No")</f>
        <v>No</v>
      </c>
      <c r="R129" s="1" t="n">
        <f aca="false">IF(N129="Yes",1,0)</f>
        <v>1</v>
      </c>
    </row>
    <row r="130" customFormat="false" ht="15" hidden="false" customHeight="true" outlineLevel="0" collapsed="false">
      <c r="A130" s="1" t="str">
        <f aca="false">'Cleaned Data'!A130</f>
        <v>S00126</v>
      </c>
      <c r="B130" s="1" t="str">
        <f aca="false">'Cleaned Data'!B130</f>
        <v>P8062</v>
      </c>
      <c r="C130" s="1" t="str">
        <f aca="false">'Cleaned Data'!C130</f>
        <v>chambersnicole</v>
      </c>
      <c r="D130" s="1" t="str">
        <f aca="false">'Cleaned Data'!D130</f>
        <v>Zombie Rush</v>
      </c>
      <c r="E130" s="1" t="str">
        <f aca="false">'Cleaned Data'!E130</f>
        <v>Mobile</v>
      </c>
      <c r="F130" s="1" t="str">
        <f aca="false">'Cleaned Data'!F130</f>
        <v>East</v>
      </c>
      <c r="G130" s="23" t="n">
        <f aca="false">'Cleaned Data'!G130</f>
        <v>45686</v>
      </c>
      <c r="H130" s="1" t="n">
        <f aca="false">'Cleaned Data'!H130</f>
        <v>46</v>
      </c>
      <c r="I130" s="24" t="n">
        <f aca="false">'Cleaned Data'!I130</f>
        <v>14.47</v>
      </c>
      <c r="J130" s="1" t="str">
        <f aca="false">'Cleaned Data'!J130</f>
        <v>Boosters</v>
      </c>
      <c r="K130" s="1" t="str">
        <f aca="false">'Cleaned Data'!K130</f>
        <v>Exited Early</v>
      </c>
      <c r="L130" s="1" t="str">
        <f aca="false">'Cleaned Data'!L130</f>
        <v>Paid</v>
      </c>
      <c r="M130" s="1" t="n">
        <f aca="false">'Cleaned Data'!M130</f>
        <v>30</v>
      </c>
      <c r="N130" s="1" t="str">
        <f aca="false">'Cleaned Data'!N130</f>
        <v>No</v>
      </c>
      <c r="O130" s="1" t="str">
        <f aca="false">TEXT(G130,"yyyy-mm")</f>
        <v>2025-01</v>
      </c>
      <c r="P130" s="1" t="str">
        <f aca="false">IF(H130&lt;20,"Low",IF(H130&lt;=60,"Medium","High"))</f>
        <v>Medium</v>
      </c>
      <c r="Q130" s="1" t="str">
        <f aca="false">IF(I130&gt;0,"Yes","No")</f>
        <v>Yes</v>
      </c>
      <c r="R130" s="1" t="n">
        <f aca="false">IF(N130="Yes",1,0)</f>
        <v>0</v>
      </c>
    </row>
    <row r="131" customFormat="false" ht="15" hidden="false" customHeight="true" outlineLevel="0" collapsed="false">
      <c r="A131" s="1" t="str">
        <f aca="false">'Cleaned Data'!A131</f>
        <v>S00127</v>
      </c>
      <c r="B131" s="1" t="str">
        <f aca="false">'Cleaned Data'!B131</f>
        <v>P6411</v>
      </c>
      <c r="C131" s="1" t="str">
        <f aca="false">'Cleaned Data'!C131</f>
        <v>jacobsonmichael</v>
      </c>
      <c r="D131" s="1" t="str">
        <f aca="false">'Cleaned Data'!D131</f>
        <v>BattleZone</v>
      </c>
      <c r="E131" s="1" t="str">
        <f aca="false">'Cleaned Data'!E131</f>
        <v>Console</v>
      </c>
      <c r="F131" s="1" t="str">
        <f aca="false">'Cleaned Data'!F131</f>
        <v>West</v>
      </c>
      <c r="G131" s="23" t="n">
        <f aca="false">'Cleaned Data'!G131</f>
        <v>45661</v>
      </c>
      <c r="H131" s="1" t="n">
        <f aca="false">'Cleaned Data'!H131</f>
        <v>153</v>
      </c>
      <c r="I131" s="24" t="n">
        <f aca="false">'Cleaned Data'!I131</f>
        <v>0</v>
      </c>
      <c r="J131" s="1" t="str">
        <f aca="false">'Cleaned Data'!J131</f>
        <v>None</v>
      </c>
      <c r="K131" s="1" t="str">
        <f aca="false">'Cleaned Data'!K131</f>
        <v>Exited Early</v>
      </c>
      <c r="L131" s="1" t="str">
        <f aca="false">'Cleaned Data'!L131</f>
        <v>Free</v>
      </c>
      <c r="M131" s="1" t="n">
        <f aca="false">'Cleaned Data'!M131</f>
        <v>15</v>
      </c>
      <c r="N131" s="1" t="str">
        <f aca="false">'Cleaned Data'!N131</f>
        <v>Yes</v>
      </c>
      <c r="O131" s="1" t="str">
        <f aca="false">TEXT(G131,"yyyy-mm")</f>
        <v>2025-01</v>
      </c>
      <c r="P131" s="1" t="str">
        <f aca="false">IF(H131&lt;20,"Low",IF(H131&lt;=60,"Medium","High"))</f>
        <v>High</v>
      </c>
      <c r="Q131" s="1" t="str">
        <f aca="false">IF(I131&gt;0,"Yes","No")</f>
        <v>No</v>
      </c>
      <c r="R131" s="1" t="n">
        <f aca="false">IF(N131="Yes",1,0)</f>
        <v>1</v>
      </c>
    </row>
    <row r="132" customFormat="false" ht="15" hidden="false" customHeight="true" outlineLevel="0" collapsed="false">
      <c r="A132" s="1" t="str">
        <f aca="false">'Cleaned Data'!A132</f>
        <v>S00128</v>
      </c>
      <c r="B132" s="1" t="str">
        <f aca="false">'Cleaned Data'!B132</f>
        <v>P4959</v>
      </c>
      <c r="C132" s="1" t="str">
        <f aca="false">'Cleaned Data'!C132</f>
        <v>robert48</v>
      </c>
      <c r="D132" s="1" t="str">
        <f aca="false">'Cleaned Data'!D132</f>
        <v>BattleZone</v>
      </c>
      <c r="E132" s="1" t="str">
        <f aca="false">'Cleaned Data'!E132</f>
        <v>Mobile</v>
      </c>
      <c r="F132" s="1" t="str">
        <f aca="false">'Cleaned Data'!F132</f>
        <v>North-East</v>
      </c>
      <c r="G132" s="23" t="n">
        <f aca="false">'Cleaned Data'!G132</f>
        <v>45815</v>
      </c>
      <c r="H132" s="1" t="n">
        <f aca="false">'Cleaned Data'!H132</f>
        <v>128</v>
      </c>
      <c r="I132" s="24" t="n">
        <f aca="false">'Cleaned Data'!I132</f>
        <v>0</v>
      </c>
      <c r="J132" s="1" t="str">
        <f aca="false">'Cleaned Data'!J132</f>
        <v>None</v>
      </c>
      <c r="K132" s="1" t="str">
        <f aca="false">'Cleaned Data'!K132</f>
        <v>Crashed</v>
      </c>
      <c r="L132" s="1" t="str">
        <f aca="false">'Cleaned Data'!L132</f>
        <v>Free</v>
      </c>
      <c r="M132" s="1" t="n">
        <f aca="false">'Cleaned Data'!M132</f>
        <v>32</v>
      </c>
      <c r="N132" s="1" t="str">
        <f aca="false">'Cleaned Data'!N132</f>
        <v>No</v>
      </c>
      <c r="O132" s="1" t="str">
        <f aca="false">TEXT(G132,"yyyy-mm")</f>
        <v>2025-06</v>
      </c>
      <c r="P132" s="1" t="str">
        <f aca="false">IF(H132&lt;20,"Low",IF(H132&lt;=60,"Medium","High"))</f>
        <v>High</v>
      </c>
      <c r="Q132" s="1" t="str">
        <f aca="false">IF(I132&gt;0,"Yes","No")</f>
        <v>No</v>
      </c>
      <c r="R132" s="1" t="n">
        <f aca="false">IF(N132="Yes",1,0)</f>
        <v>0</v>
      </c>
    </row>
    <row r="133" customFormat="false" ht="15" hidden="false" customHeight="true" outlineLevel="0" collapsed="false">
      <c r="A133" s="1" t="str">
        <f aca="false">'Cleaned Data'!A133</f>
        <v>S00129</v>
      </c>
      <c r="B133" s="1" t="str">
        <f aca="false">'Cleaned Data'!B133</f>
        <v>P8564</v>
      </c>
      <c r="C133" s="1" t="str">
        <f aca="false">'Cleaned Data'!C133</f>
        <v>wyattsanchez</v>
      </c>
      <c r="D133" s="1" t="str">
        <f aca="false">'Cleaned Data'!D133</f>
        <v>Zombie Rush</v>
      </c>
      <c r="E133" s="1" t="str">
        <f aca="false">'Cleaned Data'!E133</f>
        <v>PC</v>
      </c>
      <c r="F133" s="1" t="str">
        <f aca="false">'Cleaned Data'!F133</f>
        <v>South</v>
      </c>
      <c r="G133" s="23" t="n">
        <f aca="false">'Cleaned Data'!G133</f>
        <v>45814</v>
      </c>
      <c r="H133" s="1" t="n">
        <f aca="false">'Cleaned Data'!H133</f>
        <v>54</v>
      </c>
      <c r="I133" s="24" t="n">
        <f aca="false">'Cleaned Data'!I133</f>
        <v>0</v>
      </c>
      <c r="J133" s="1" t="str">
        <f aca="false">'Cleaned Data'!J133</f>
        <v>None</v>
      </c>
      <c r="K133" s="1" t="str">
        <f aca="false">'Cleaned Data'!K133</f>
        <v>Completed</v>
      </c>
      <c r="L133" s="1" t="str">
        <f aca="false">'Cleaned Data'!L133</f>
        <v>Free</v>
      </c>
      <c r="M133" s="1" t="n">
        <f aca="false">'Cleaned Data'!M133</f>
        <v>15</v>
      </c>
      <c r="N133" s="1" t="str">
        <f aca="false">'Cleaned Data'!N133</f>
        <v>No</v>
      </c>
      <c r="O133" s="1" t="str">
        <f aca="false">TEXT(G133,"yyyy-mm")</f>
        <v>2025-06</v>
      </c>
      <c r="P133" s="1" t="str">
        <f aca="false">IF(H133&lt;20,"Low",IF(H133&lt;=60,"Medium","High"))</f>
        <v>Medium</v>
      </c>
      <c r="Q133" s="1" t="str">
        <f aca="false">IF(I133&gt;0,"Yes","No")</f>
        <v>No</v>
      </c>
      <c r="R133" s="1" t="n">
        <f aca="false">IF(N133="Yes",1,0)</f>
        <v>0</v>
      </c>
    </row>
    <row r="134" customFormat="false" ht="15" hidden="false" customHeight="true" outlineLevel="0" collapsed="false">
      <c r="A134" s="1" t="str">
        <f aca="false">'Cleaned Data'!A134</f>
        <v>S00130</v>
      </c>
      <c r="B134" s="1" t="str">
        <f aca="false">'Cleaned Data'!B134</f>
        <v>P9652</v>
      </c>
      <c r="C134" s="1" t="str">
        <f aca="false">'Cleaned Data'!C134</f>
        <v>vedwards</v>
      </c>
      <c r="D134" s="1" t="str">
        <f aca="false">'Cleaned Data'!D134</f>
        <v>Zombie Rush</v>
      </c>
      <c r="E134" s="1" t="str">
        <f aca="false">'Cleaned Data'!E134</f>
        <v>Mobile</v>
      </c>
      <c r="F134" s="1" t="str">
        <f aca="false">'Cleaned Data'!F134</f>
        <v>East</v>
      </c>
      <c r="G134" s="23" t="n">
        <f aca="false">'Cleaned Data'!G134</f>
        <v>45670</v>
      </c>
      <c r="H134" s="1" t="n">
        <f aca="false">'Cleaned Data'!H134</f>
        <v>133</v>
      </c>
      <c r="I134" s="24" t="n">
        <f aca="false">'Cleaned Data'!I134</f>
        <v>0</v>
      </c>
      <c r="J134" s="1" t="str">
        <f aca="false">'Cleaned Data'!J134</f>
        <v>None</v>
      </c>
      <c r="K134" s="1" t="str">
        <f aca="false">'Cleaned Data'!K134</f>
        <v>Completed</v>
      </c>
      <c r="L134" s="1" t="str">
        <f aca="false">'Cleaned Data'!L134</f>
        <v>Free</v>
      </c>
      <c r="M134" s="1" t="n">
        <f aca="false">'Cleaned Data'!M134</f>
        <v>35</v>
      </c>
      <c r="N134" s="1" t="str">
        <f aca="false">'Cleaned Data'!N134</f>
        <v>No</v>
      </c>
      <c r="O134" s="1" t="str">
        <f aca="false">TEXT(G134,"yyyy-mm")</f>
        <v>2025-01</v>
      </c>
      <c r="P134" s="1" t="str">
        <f aca="false">IF(H134&lt;20,"Low",IF(H134&lt;=60,"Medium","High"))</f>
        <v>High</v>
      </c>
      <c r="Q134" s="1" t="str">
        <f aca="false">IF(I134&gt;0,"Yes","No")</f>
        <v>No</v>
      </c>
      <c r="R134" s="1" t="n">
        <f aca="false">IF(N134="Yes",1,0)</f>
        <v>0</v>
      </c>
    </row>
    <row r="135" customFormat="false" ht="15" hidden="false" customHeight="true" outlineLevel="0" collapsed="false">
      <c r="A135" s="1" t="str">
        <f aca="false">'Cleaned Data'!A135</f>
        <v>S00131</v>
      </c>
      <c r="B135" s="1" t="str">
        <f aca="false">'Cleaned Data'!B135</f>
        <v>P6617</v>
      </c>
      <c r="C135" s="1" t="str">
        <f aca="false">'Cleaned Data'!C135</f>
        <v>figueroadoris</v>
      </c>
      <c r="D135" s="1" t="str">
        <f aca="false">'Cleaned Data'!D135</f>
        <v>Clash of Realms</v>
      </c>
      <c r="E135" s="1" t="str">
        <f aca="false">'Cleaned Data'!E135</f>
        <v>Mobile</v>
      </c>
      <c r="F135" s="1" t="str">
        <f aca="false">'Cleaned Data'!F135</f>
        <v>South</v>
      </c>
      <c r="G135" s="23" t="n">
        <f aca="false">'Cleaned Data'!G135</f>
        <v>45778</v>
      </c>
      <c r="H135" s="1" t="n">
        <f aca="false">'Cleaned Data'!H135</f>
        <v>116</v>
      </c>
      <c r="I135" s="24" t="n">
        <f aca="false">'Cleaned Data'!I135</f>
        <v>0</v>
      </c>
      <c r="J135" s="1" t="str">
        <f aca="false">'Cleaned Data'!J135</f>
        <v>None</v>
      </c>
      <c r="K135" s="1" t="str">
        <f aca="false">'Cleaned Data'!K135</f>
        <v>Crashed</v>
      </c>
      <c r="L135" s="1" t="str">
        <f aca="false">'Cleaned Data'!L135</f>
        <v>Free</v>
      </c>
      <c r="M135" s="1" t="n">
        <f aca="false">'Cleaned Data'!M135</f>
        <v>30</v>
      </c>
      <c r="N135" s="1" t="str">
        <f aca="false">'Cleaned Data'!N135</f>
        <v>No</v>
      </c>
      <c r="O135" s="1" t="str">
        <f aca="false">TEXT(G135,"yyyy-mm")</f>
        <v>2025-05</v>
      </c>
      <c r="P135" s="1" t="str">
        <f aca="false">IF(H135&lt;20,"Low",IF(H135&lt;=60,"Medium","High"))</f>
        <v>High</v>
      </c>
      <c r="Q135" s="1" t="str">
        <f aca="false">IF(I135&gt;0,"Yes","No")</f>
        <v>No</v>
      </c>
      <c r="R135" s="1" t="n">
        <f aca="false">IF(N135="Yes",1,0)</f>
        <v>0</v>
      </c>
    </row>
    <row r="136" customFormat="false" ht="15" hidden="false" customHeight="true" outlineLevel="0" collapsed="false">
      <c r="A136" s="1" t="str">
        <f aca="false">'Cleaned Data'!A136</f>
        <v>S00132</v>
      </c>
      <c r="B136" s="1" t="str">
        <f aca="false">'Cleaned Data'!B136</f>
        <v>P2180</v>
      </c>
      <c r="C136" s="1" t="str">
        <f aca="false">'Cleaned Data'!C136</f>
        <v>briansteele</v>
      </c>
      <c r="D136" s="1" t="str">
        <f aca="false">'Cleaned Data'!D136</f>
        <v>Zombie Rush</v>
      </c>
      <c r="E136" s="1" t="str">
        <f aca="false">'Cleaned Data'!E136</f>
        <v>Console</v>
      </c>
      <c r="F136" s="1" t="str">
        <f aca="false">'Cleaned Data'!F136</f>
        <v>North-East</v>
      </c>
      <c r="G136" s="23" t="n">
        <f aca="false">'Cleaned Data'!G136</f>
        <v>45644</v>
      </c>
      <c r="H136" s="1" t="n">
        <f aca="false">'Cleaned Data'!H136</f>
        <v>95</v>
      </c>
      <c r="I136" s="24" t="n">
        <f aca="false">'Cleaned Data'!I136</f>
        <v>0</v>
      </c>
      <c r="J136" s="1" t="str">
        <f aca="false">'Cleaned Data'!J136</f>
        <v>None</v>
      </c>
      <c r="K136" s="1" t="str">
        <f aca="false">'Cleaned Data'!K136</f>
        <v>Completed</v>
      </c>
      <c r="L136" s="1" t="str">
        <f aca="false">'Cleaned Data'!L136</f>
        <v>Free</v>
      </c>
      <c r="M136" s="1" t="n">
        <f aca="false">'Cleaned Data'!M136</f>
        <v>20</v>
      </c>
      <c r="N136" s="1" t="str">
        <f aca="false">'Cleaned Data'!N136</f>
        <v>No</v>
      </c>
      <c r="O136" s="1" t="str">
        <f aca="false">TEXT(G136,"yyyy-mm")</f>
        <v>2024-12</v>
      </c>
      <c r="P136" s="1" t="str">
        <f aca="false">IF(H136&lt;20,"Low",IF(H136&lt;=60,"Medium","High"))</f>
        <v>High</v>
      </c>
      <c r="Q136" s="1" t="str">
        <f aca="false">IF(I136&gt;0,"Yes","No")</f>
        <v>No</v>
      </c>
      <c r="R136" s="1" t="n">
        <f aca="false">IF(N136="Yes",1,0)</f>
        <v>0</v>
      </c>
    </row>
    <row r="137" customFormat="false" ht="15" hidden="false" customHeight="true" outlineLevel="0" collapsed="false">
      <c r="A137" s="1" t="str">
        <f aca="false">'Cleaned Data'!A137</f>
        <v>S00133</v>
      </c>
      <c r="B137" s="1" t="str">
        <f aca="false">'Cleaned Data'!B137</f>
        <v>P2956</v>
      </c>
      <c r="C137" s="1" t="str">
        <f aca="false">'Cleaned Data'!C137</f>
        <v>huangdana</v>
      </c>
      <c r="D137" s="1" t="str">
        <f aca="false">'Cleaned Data'!D137</f>
        <v>SpeedX</v>
      </c>
      <c r="E137" s="1" t="str">
        <f aca="false">'Cleaned Data'!E137</f>
        <v>PC</v>
      </c>
      <c r="F137" s="1" t="str">
        <f aca="false">'Cleaned Data'!F137</f>
        <v>North</v>
      </c>
      <c r="G137" s="23" t="n">
        <f aca="false">'Cleaned Data'!G137</f>
        <v>45648</v>
      </c>
      <c r="H137" s="1" t="n">
        <f aca="false">'Cleaned Data'!H137</f>
        <v>107</v>
      </c>
      <c r="I137" s="24" t="n">
        <f aca="false">'Cleaned Data'!I137</f>
        <v>0</v>
      </c>
      <c r="J137" s="1" t="str">
        <f aca="false">'Cleaned Data'!J137</f>
        <v>None</v>
      </c>
      <c r="K137" s="1" t="str">
        <f aca="false">'Cleaned Data'!K137</f>
        <v>Incomplete</v>
      </c>
      <c r="L137" s="1" t="str">
        <f aca="false">'Cleaned Data'!L137</f>
        <v>Free</v>
      </c>
      <c r="M137" s="1" t="n">
        <f aca="false">'Cleaned Data'!M137</f>
        <v>7</v>
      </c>
      <c r="N137" s="1" t="str">
        <f aca="false">'Cleaned Data'!N137</f>
        <v>No</v>
      </c>
      <c r="O137" s="1" t="str">
        <f aca="false">TEXT(G137,"yyyy-mm")</f>
        <v>2024-12</v>
      </c>
      <c r="P137" s="1" t="str">
        <f aca="false">IF(H137&lt;20,"Low",IF(H137&lt;=60,"Medium","High"))</f>
        <v>High</v>
      </c>
      <c r="Q137" s="1" t="str">
        <f aca="false">IF(I137&gt;0,"Yes","No")</f>
        <v>No</v>
      </c>
      <c r="R137" s="1" t="n">
        <f aca="false">IF(N137="Yes",1,0)</f>
        <v>0</v>
      </c>
    </row>
    <row r="138" customFormat="false" ht="15" hidden="false" customHeight="true" outlineLevel="0" collapsed="false">
      <c r="A138" s="1" t="str">
        <f aca="false">'Cleaned Data'!A138</f>
        <v>S00134</v>
      </c>
      <c r="B138" s="1" t="str">
        <f aca="false">'Cleaned Data'!B138</f>
        <v>P3200</v>
      </c>
      <c r="C138" s="1" t="str">
        <f aca="false">'Cleaned Data'!C138</f>
        <v>robert23</v>
      </c>
      <c r="D138" s="1" t="str">
        <f aca="false">'Cleaned Data'!D138</f>
        <v>SpeedX</v>
      </c>
      <c r="E138" s="1" t="str">
        <f aca="false">'Cleaned Data'!E138</f>
        <v>PC</v>
      </c>
      <c r="F138" s="1" t="str">
        <f aca="false">'Cleaned Data'!F138</f>
        <v>North</v>
      </c>
      <c r="G138" s="23" t="n">
        <f aca="false">'Cleaned Data'!G138</f>
        <v>45748</v>
      </c>
      <c r="H138" s="1" t="n">
        <f aca="false">'Cleaned Data'!H138</f>
        <v>150</v>
      </c>
      <c r="I138" s="24" t="n">
        <f aca="false">'Cleaned Data'!I138</f>
        <v>0</v>
      </c>
      <c r="J138" s="1" t="str">
        <f aca="false">'Cleaned Data'!J138</f>
        <v>None</v>
      </c>
      <c r="K138" s="1" t="str">
        <f aca="false">'Cleaned Data'!K138</f>
        <v>Completed</v>
      </c>
      <c r="L138" s="1" t="str">
        <f aca="false">'Cleaned Data'!L138</f>
        <v>Free</v>
      </c>
      <c r="M138" s="1" t="n">
        <f aca="false">'Cleaned Data'!M138</f>
        <v>47</v>
      </c>
      <c r="N138" s="1" t="str">
        <f aca="false">'Cleaned Data'!N138</f>
        <v>No</v>
      </c>
      <c r="O138" s="1" t="str">
        <f aca="false">TEXT(G138,"yyyy-mm")</f>
        <v>2025-04</v>
      </c>
      <c r="P138" s="1" t="str">
        <f aca="false">IF(H138&lt;20,"Low",IF(H138&lt;=60,"Medium","High"))</f>
        <v>High</v>
      </c>
      <c r="Q138" s="1" t="str">
        <f aca="false">IF(I138&gt;0,"Yes","No")</f>
        <v>No</v>
      </c>
      <c r="R138" s="1" t="n">
        <f aca="false">IF(N138="Yes",1,0)</f>
        <v>0</v>
      </c>
    </row>
    <row r="139" customFormat="false" ht="15" hidden="false" customHeight="true" outlineLevel="0" collapsed="false">
      <c r="A139" s="1" t="str">
        <f aca="false">'Cleaned Data'!A139</f>
        <v>S00135</v>
      </c>
      <c r="B139" s="1" t="str">
        <f aca="false">'Cleaned Data'!B139</f>
        <v>P9368</v>
      </c>
      <c r="C139" s="1" t="str">
        <f aca="false">'Cleaned Data'!C139</f>
        <v>thomasmonica</v>
      </c>
      <c r="D139" s="1" t="str">
        <f aca="false">'Cleaned Data'!D139</f>
        <v>SpeedX</v>
      </c>
      <c r="E139" s="1" t="str">
        <f aca="false">'Cleaned Data'!E139</f>
        <v>PC</v>
      </c>
      <c r="F139" s="1" t="str">
        <f aca="false">'Cleaned Data'!F139</f>
        <v>East</v>
      </c>
      <c r="G139" s="23" t="n">
        <f aca="false">'Cleaned Data'!G139</f>
        <v>45658</v>
      </c>
      <c r="H139" s="1" t="n">
        <f aca="false">'Cleaned Data'!H139</f>
        <v>175</v>
      </c>
      <c r="I139" s="24" t="n">
        <f aca="false">'Cleaned Data'!I139</f>
        <v>0</v>
      </c>
      <c r="J139" s="1" t="str">
        <f aca="false">'Cleaned Data'!J139</f>
        <v>None</v>
      </c>
      <c r="K139" s="1" t="str">
        <f aca="false">'Cleaned Data'!K139</f>
        <v>Completed</v>
      </c>
      <c r="L139" s="1" t="str">
        <f aca="false">'Cleaned Data'!L139</f>
        <v>Free</v>
      </c>
      <c r="M139" s="1" t="n">
        <f aca="false">'Cleaned Data'!M139</f>
        <v>49</v>
      </c>
      <c r="N139" s="1" t="str">
        <f aca="false">'Cleaned Data'!N139</f>
        <v>Yes</v>
      </c>
      <c r="O139" s="1" t="str">
        <f aca="false">TEXT(G139,"yyyy-mm")</f>
        <v>2025-01</v>
      </c>
      <c r="P139" s="1" t="str">
        <f aca="false">IF(H139&lt;20,"Low",IF(H139&lt;=60,"Medium","High"))</f>
        <v>High</v>
      </c>
      <c r="Q139" s="1" t="str">
        <f aca="false">IF(I139&gt;0,"Yes","No")</f>
        <v>No</v>
      </c>
      <c r="R139" s="1" t="n">
        <f aca="false">IF(N139="Yes",1,0)</f>
        <v>1</v>
      </c>
    </row>
    <row r="140" customFormat="false" ht="15" hidden="false" customHeight="true" outlineLevel="0" collapsed="false">
      <c r="A140" s="1" t="str">
        <f aca="false">'Cleaned Data'!A140</f>
        <v>S00136</v>
      </c>
      <c r="B140" s="1" t="str">
        <f aca="false">'Cleaned Data'!B140</f>
        <v>P7857</v>
      </c>
      <c r="C140" s="1" t="str">
        <f aca="false">'Cleaned Data'!C140</f>
        <v>griffithbilly</v>
      </c>
      <c r="D140" s="1" t="str">
        <f aca="false">'Cleaned Data'!D140</f>
        <v>Zombie Rush</v>
      </c>
      <c r="E140" s="1" t="str">
        <f aca="false">'Cleaned Data'!E140</f>
        <v>PC</v>
      </c>
      <c r="F140" s="1" t="str">
        <f aca="false">'Cleaned Data'!F140</f>
        <v>North</v>
      </c>
      <c r="G140" s="23" t="n">
        <f aca="false">'Cleaned Data'!G140</f>
        <v>45679</v>
      </c>
      <c r="H140" s="1" t="n">
        <f aca="false">'Cleaned Data'!H140</f>
        <v>26</v>
      </c>
      <c r="I140" s="24" t="n">
        <f aca="false">'Cleaned Data'!I140</f>
        <v>23.57</v>
      </c>
      <c r="J140" s="1" t="str">
        <f aca="false">'Cleaned Data'!J140</f>
        <v>Battle Pass</v>
      </c>
      <c r="K140" s="1" t="str">
        <f aca="false">'Cleaned Data'!K140</f>
        <v>Completed</v>
      </c>
      <c r="L140" s="1" t="str">
        <f aca="false">'Cleaned Data'!L140</f>
        <v>Paid</v>
      </c>
      <c r="M140" s="1" t="n">
        <f aca="false">'Cleaned Data'!M140</f>
        <v>10</v>
      </c>
      <c r="N140" s="1" t="str">
        <f aca="false">'Cleaned Data'!N140</f>
        <v>No</v>
      </c>
      <c r="O140" s="1" t="str">
        <f aca="false">TEXT(G140,"yyyy-mm")</f>
        <v>2025-01</v>
      </c>
      <c r="P140" s="1" t="str">
        <f aca="false">IF(H140&lt;20,"Low",IF(H140&lt;=60,"Medium","High"))</f>
        <v>Medium</v>
      </c>
      <c r="Q140" s="1" t="str">
        <f aca="false">IF(I140&gt;0,"Yes","No")</f>
        <v>Yes</v>
      </c>
      <c r="R140" s="1" t="n">
        <f aca="false">IF(N140="Yes",1,0)</f>
        <v>0</v>
      </c>
    </row>
    <row r="141" customFormat="false" ht="15" hidden="false" customHeight="true" outlineLevel="0" collapsed="false">
      <c r="A141" s="1" t="str">
        <f aca="false">'Cleaned Data'!A141</f>
        <v>S00137</v>
      </c>
      <c r="B141" s="1" t="str">
        <f aca="false">'Cleaned Data'!B141</f>
        <v>P4039</v>
      </c>
      <c r="C141" s="1" t="str">
        <f aca="false">'Cleaned Data'!C141</f>
        <v>alanguerrero</v>
      </c>
      <c r="D141" s="1" t="str">
        <f aca="false">'Cleaned Data'!D141</f>
        <v>SpeedX</v>
      </c>
      <c r="E141" s="1" t="str">
        <f aca="false">'Cleaned Data'!E141</f>
        <v>PC</v>
      </c>
      <c r="F141" s="1" t="str">
        <f aca="false">'Cleaned Data'!F141</f>
        <v>Central</v>
      </c>
      <c r="G141" s="23" t="n">
        <f aca="false">'Cleaned Data'!G141</f>
        <v>45794</v>
      </c>
      <c r="H141" s="1" t="n">
        <f aca="false">'Cleaned Data'!H141</f>
        <v>115</v>
      </c>
      <c r="I141" s="24" t="n">
        <f aca="false">'Cleaned Data'!I141</f>
        <v>0</v>
      </c>
      <c r="J141" s="1" t="str">
        <f aca="false">'Cleaned Data'!J141</f>
        <v>None</v>
      </c>
      <c r="K141" s="1" t="str">
        <f aca="false">'Cleaned Data'!K141</f>
        <v>Crashed</v>
      </c>
      <c r="L141" s="1" t="str">
        <f aca="false">'Cleaned Data'!L141</f>
        <v>Free</v>
      </c>
      <c r="M141" s="1" t="n">
        <f aca="false">'Cleaned Data'!M141</f>
        <v>42</v>
      </c>
      <c r="N141" s="1" t="str">
        <f aca="false">'Cleaned Data'!N141</f>
        <v>No</v>
      </c>
      <c r="O141" s="1" t="str">
        <f aca="false">TEXT(G141,"yyyy-mm")</f>
        <v>2025-05</v>
      </c>
      <c r="P141" s="1" t="str">
        <f aca="false">IF(H141&lt;20,"Low",IF(H141&lt;=60,"Medium","High"))</f>
        <v>High</v>
      </c>
      <c r="Q141" s="1" t="str">
        <f aca="false">IF(I141&gt;0,"Yes","No")</f>
        <v>No</v>
      </c>
      <c r="R141" s="1" t="n">
        <f aca="false">IF(N141="Yes",1,0)</f>
        <v>0</v>
      </c>
    </row>
    <row r="142" customFormat="false" ht="15" hidden="false" customHeight="true" outlineLevel="0" collapsed="false">
      <c r="A142" s="1" t="str">
        <f aca="false">'Cleaned Data'!A142</f>
        <v>S00138</v>
      </c>
      <c r="B142" s="1" t="str">
        <f aca="false">'Cleaned Data'!B142</f>
        <v>P8823</v>
      </c>
      <c r="C142" s="1" t="str">
        <f aca="false">'Cleaned Data'!C142</f>
        <v>timothy18</v>
      </c>
      <c r="D142" s="1" t="str">
        <f aca="false">'Cleaned Data'!D142</f>
        <v>BattleZone</v>
      </c>
      <c r="E142" s="1" t="str">
        <f aca="false">'Cleaned Data'!E142</f>
        <v>PC</v>
      </c>
      <c r="F142" s="1" t="str">
        <f aca="false">'Cleaned Data'!F142</f>
        <v>North</v>
      </c>
      <c r="G142" s="23" t="n">
        <f aca="false">'Cleaned Data'!G142</f>
        <v>45774</v>
      </c>
      <c r="H142" s="1" t="n">
        <f aca="false">'Cleaned Data'!H142</f>
        <v>72</v>
      </c>
      <c r="I142" s="24" t="n">
        <f aca="false">'Cleaned Data'!I142</f>
        <v>0</v>
      </c>
      <c r="J142" s="1" t="str">
        <f aca="false">'Cleaned Data'!J142</f>
        <v>None</v>
      </c>
      <c r="K142" s="1" t="str">
        <f aca="false">'Cleaned Data'!K142</f>
        <v>Completed</v>
      </c>
      <c r="L142" s="1" t="str">
        <f aca="false">'Cleaned Data'!L142</f>
        <v>Paid</v>
      </c>
      <c r="M142" s="1" t="n">
        <f aca="false">'Cleaned Data'!M142</f>
        <v>6</v>
      </c>
      <c r="N142" s="1" t="str">
        <f aca="false">'Cleaned Data'!N142</f>
        <v>No</v>
      </c>
      <c r="O142" s="1" t="str">
        <f aca="false">TEXT(G142,"yyyy-mm")</f>
        <v>2025-04</v>
      </c>
      <c r="P142" s="1" t="str">
        <f aca="false">IF(H142&lt;20,"Low",IF(H142&lt;=60,"Medium","High"))</f>
        <v>High</v>
      </c>
      <c r="Q142" s="1" t="str">
        <f aca="false">IF(I142&gt;0,"Yes","No")</f>
        <v>No</v>
      </c>
      <c r="R142" s="1" t="n">
        <f aca="false">IF(N142="Yes",1,0)</f>
        <v>0</v>
      </c>
    </row>
    <row r="143" customFormat="false" ht="15" hidden="false" customHeight="true" outlineLevel="0" collapsed="false">
      <c r="A143" s="1" t="str">
        <f aca="false">'Cleaned Data'!A143</f>
        <v>S00139</v>
      </c>
      <c r="B143" s="1" t="str">
        <f aca="false">'Cleaned Data'!B143</f>
        <v>P4544</v>
      </c>
      <c r="C143" s="1" t="str">
        <f aca="false">'Cleaned Data'!C143</f>
        <v>martinrobert</v>
      </c>
      <c r="D143" s="1" t="str">
        <f aca="false">'Cleaned Data'!D143</f>
        <v>Clash of Realms</v>
      </c>
      <c r="E143" s="1" t="str">
        <f aca="false">'Cleaned Data'!E143</f>
        <v>Console</v>
      </c>
      <c r="F143" s="1" t="str">
        <f aca="false">'Cleaned Data'!F143</f>
        <v>West</v>
      </c>
      <c r="G143" s="23" t="n">
        <f aca="false">'Cleaned Data'!G143</f>
        <v>45814</v>
      </c>
      <c r="H143" s="1" t="n">
        <f aca="false">'Cleaned Data'!H143</f>
        <v>137</v>
      </c>
      <c r="I143" s="24" t="n">
        <f aca="false">'Cleaned Data'!I143</f>
        <v>0</v>
      </c>
      <c r="J143" s="1" t="str">
        <f aca="false">'Cleaned Data'!J143</f>
        <v>None</v>
      </c>
      <c r="K143" s="1" t="str">
        <f aca="false">'Cleaned Data'!K143</f>
        <v>Incomplete</v>
      </c>
      <c r="L143" s="1" t="str">
        <f aca="false">'Cleaned Data'!L143</f>
        <v>Free</v>
      </c>
      <c r="M143" s="1" t="n">
        <f aca="false">'Cleaned Data'!M143</f>
        <v>28</v>
      </c>
      <c r="N143" s="1" t="str">
        <f aca="false">'Cleaned Data'!N143</f>
        <v>No</v>
      </c>
      <c r="O143" s="1" t="str">
        <f aca="false">TEXT(G143,"yyyy-mm")</f>
        <v>2025-06</v>
      </c>
      <c r="P143" s="1" t="str">
        <f aca="false">IF(H143&lt;20,"Low",IF(H143&lt;=60,"Medium","High"))</f>
        <v>High</v>
      </c>
      <c r="Q143" s="1" t="str">
        <f aca="false">IF(I143&gt;0,"Yes","No")</f>
        <v>No</v>
      </c>
      <c r="R143" s="1" t="n">
        <f aca="false">IF(N143="Yes",1,0)</f>
        <v>0</v>
      </c>
    </row>
    <row r="144" customFormat="false" ht="15" hidden="false" customHeight="true" outlineLevel="0" collapsed="false">
      <c r="A144" s="1" t="str">
        <f aca="false">'Cleaned Data'!A144</f>
        <v>S00140</v>
      </c>
      <c r="B144" s="1" t="str">
        <f aca="false">'Cleaned Data'!B144</f>
        <v>P4842</v>
      </c>
      <c r="C144" s="1" t="str">
        <f aca="false">'Cleaned Data'!C144</f>
        <v>deckeramanda</v>
      </c>
      <c r="D144" s="1" t="str">
        <f aca="false">'Cleaned Data'!D144</f>
        <v>SpeedX</v>
      </c>
      <c r="E144" s="1" t="str">
        <f aca="false">'Cleaned Data'!E144</f>
        <v>Console</v>
      </c>
      <c r="F144" s="1" t="str">
        <f aca="false">'Cleaned Data'!F144</f>
        <v>West</v>
      </c>
      <c r="G144" s="23" t="n">
        <f aca="false">'Cleaned Data'!G144</f>
        <v>45759</v>
      </c>
      <c r="H144" s="1" t="n">
        <f aca="false">'Cleaned Data'!H144</f>
        <v>145</v>
      </c>
      <c r="I144" s="24" t="n">
        <f aca="false">'Cleaned Data'!I144</f>
        <v>0</v>
      </c>
      <c r="J144" s="1" t="str">
        <f aca="false">'Cleaned Data'!J144</f>
        <v>None</v>
      </c>
      <c r="K144" s="1" t="str">
        <f aca="false">'Cleaned Data'!K144</f>
        <v>Completed</v>
      </c>
      <c r="L144" s="1" t="str">
        <f aca="false">'Cleaned Data'!L144</f>
        <v>Paid</v>
      </c>
      <c r="M144" s="1" t="n">
        <f aca="false">'Cleaned Data'!M144</f>
        <v>36</v>
      </c>
      <c r="N144" s="1" t="str">
        <f aca="false">'Cleaned Data'!N144</f>
        <v>No</v>
      </c>
      <c r="O144" s="1" t="str">
        <f aca="false">TEXT(G144,"yyyy-mm")</f>
        <v>2025-04</v>
      </c>
      <c r="P144" s="1" t="str">
        <f aca="false">IF(H144&lt;20,"Low",IF(H144&lt;=60,"Medium","High"))</f>
        <v>High</v>
      </c>
      <c r="Q144" s="1" t="str">
        <f aca="false">IF(I144&gt;0,"Yes","No")</f>
        <v>No</v>
      </c>
      <c r="R144" s="1" t="n">
        <f aca="false">IF(N144="Yes",1,0)</f>
        <v>0</v>
      </c>
    </row>
    <row r="145" customFormat="false" ht="15" hidden="false" customHeight="true" outlineLevel="0" collapsed="false">
      <c r="A145" s="1" t="str">
        <f aca="false">'Cleaned Data'!A145</f>
        <v>S00141</v>
      </c>
      <c r="B145" s="1" t="str">
        <f aca="false">'Cleaned Data'!B145</f>
        <v>P2727</v>
      </c>
      <c r="C145" s="1" t="str">
        <f aca="false">'Cleaned Data'!C145</f>
        <v>allison25</v>
      </c>
      <c r="D145" s="1" t="str">
        <f aca="false">'Cleaned Data'!D145</f>
        <v>SpeedX</v>
      </c>
      <c r="E145" s="1" t="str">
        <f aca="false">'Cleaned Data'!E145</f>
        <v>Mobile</v>
      </c>
      <c r="F145" s="1" t="str">
        <f aca="false">'Cleaned Data'!F145</f>
        <v>North-East</v>
      </c>
      <c r="G145" s="23" t="n">
        <f aca="false">'Cleaned Data'!G145</f>
        <v>45741</v>
      </c>
      <c r="H145" s="1" t="n">
        <f aca="false">'Cleaned Data'!H145</f>
        <v>46</v>
      </c>
      <c r="I145" s="24" t="n">
        <f aca="false">'Cleaned Data'!I145</f>
        <v>0</v>
      </c>
      <c r="J145" s="1" t="str">
        <f aca="false">'Cleaned Data'!J145</f>
        <v>None</v>
      </c>
      <c r="K145" s="1" t="str">
        <f aca="false">'Cleaned Data'!K145</f>
        <v>Completed</v>
      </c>
      <c r="L145" s="1" t="str">
        <f aca="false">'Cleaned Data'!L145</f>
        <v>Free</v>
      </c>
      <c r="M145" s="1" t="n">
        <f aca="false">'Cleaned Data'!M145</f>
        <v>17</v>
      </c>
      <c r="N145" s="1" t="str">
        <f aca="false">'Cleaned Data'!N145</f>
        <v>No</v>
      </c>
      <c r="O145" s="1" t="str">
        <f aca="false">TEXT(G145,"yyyy-mm")</f>
        <v>2025-03</v>
      </c>
      <c r="P145" s="1" t="str">
        <f aca="false">IF(H145&lt;20,"Low",IF(H145&lt;=60,"Medium","High"))</f>
        <v>Medium</v>
      </c>
      <c r="Q145" s="1" t="str">
        <f aca="false">IF(I145&gt;0,"Yes","No")</f>
        <v>No</v>
      </c>
      <c r="R145" s="1" t="n">
        <f aca="false">IF(N145="Yes",1,0)</f>
        <v>0</v>
      </c>
    </row>
    <row r="146" customFormat="false" ht="15" hidden="false" customHeight="true" outlineLevel="0" collapsed="false">
      <c r="A146" s="1" t="str">
        <f aca="false">'Cleaned Data'!A146</f>
        <v>S00142</v>
      </c>
      <c r="B146" s="1" t="str">
        <f aca="false">'Cleaned Data'!B146</f>
        <v>P7235</v>
      </c>
      <c r="C146" s="1" t="str">
        <f aca="false">'Cleaned Data'!C146</f>
        <v>reedchad</v>
      </c>
      <c r="D146" s="1" t="str">
        <f aca="false">'Cleaned Data'!D146</f>
        <v>Clash of Realms</v>
      </c>
      <c r="E146" s="1" t="str">
        <f aca="false">'Cleaned Data'!E146</f>
        <v>PC</v>
      </c>
      <c r="F146" s="1" t="str">
        <f aca="false">'Cleaned Data'!F146</f>
        <v>West</v>
      </c>
      <c r="G146" s="23" t="n">
        <f aca="false">'Cleaned Data'!G146</f>
        <v>45685</v>
      </c>
      <c r="H146" s="1" t="n">
        <f aca="false">'Cleaned Data'!H146</f>
        <v>106</v>
      </c>
      <c r="I146" s="24" t="n">
        <f aca="false">'Cleaned Data'!I146</f>
        <v>0</v>
      </c>
      <c r="J146" s="1" t="str">
        <f aca="false">'Cleaned Data'!J146</f>
        <v>None</v>
      </c>
      <c r="K146" s="1" t="str">
        <f aca="false">'Cleaned Data'!K146</f>
        <v>Completed</v>
      </c>
      <c r="L146" s="1" t="str">
        <f aca="false">'Cleaned Data'!L146</f>
        <v>Free</v>
      </c>
      <c r="M146" s="1" t="n">
        <f aca="false">'Cleaned Data'!M146</f>
        <v>15</v>
      </c>
      <c r="N146" s="1" t="str">
        <f aca="false">'Cleaned Data'!N146</f>
        <v>No</v>
      </c>
      <c r="O146" s="1" t="str">
        <f aca="false">TEXT(G146,"yyyy-mm")</f>
        <v>2025-01</v>
      </c>
      <c r="P146" s="1" t="str">
        <f aca="false">IF(H146&lt;20,"Low",IF(H146&lt;=60,"Medium","High"))</f>
        <v>High</v>
      </c>
      <c r="Q146" s="1" t="str">
        <f aca="false">IF(I146&gt;0,"Yes","No")</f>
        <v>No</v>
      </c>
      <c r="R146" s="1" t="n">
        <f aca="false">IF(N146="Yes",1,0)</f>
        <v>0</v>
      </c>
    </row>
    <row r="147" customFormat="false" ht="15" hidden="false" customHeight="true" outlineLevel="0" collapsed="false">
      <c r="A147" s="1" t="str">
        <f aca="false">'Cleaned Data'!A147</f>
        <v>S00143</v>
      </c>
      <c r="B147" s="1" t="str">
        <f aca="false">'Cleaned Data'!B147</f>
        <v>P8203</v>
      </c>
      <c r="C147" s="1" t="str">
        <f aca="false">'Cleaned Data'!C147</f>
        <v>kennedyjacob</v>
      </c>
      <c r="D147" s="1" t="str">
        <f aca="false">'Cleaned Data'!D147</f>
        <v>BattleZone</v>
      </c>
      <c r="E147" s="1" t="str">
        <f aca="false">'Cleaned Data'!E147</f>
        <v>Mobile</v>
      </c>
      <c r="F147" s="1" t="str">
        <f aca="false">'Cleaned Data'!F147</f>
        <v>North-East</v>
      </c>
      <c r="G147" s="23" t="n">
        <f aca="false">'Cleaned Data'!G147</f>
        <v>45705</v>
      </c>
      <c r="H147" s="1" t="n">
        <f aca="false">'Cleaned Data'!H147</f>
        <v>48</v>
      </c>
      <c r="I147" s="24" t="n">
        <f aca="false">'Cleaned Data'!I147</f>
        <v>46.63</v>
      </c>
      <c r="J147" s="1" t="str">
        <f aca="false">'Cleaned Data'!J147</f>
        <v>Battle Pass</v>
      </c>
      <c r="K147" s="1" t="str">
        <f aca="false">'Cleaned Data'!K147</f>
        <v>Completed</v>
      </c>
      <c r="L147" s="1" t="str">
        <f aca="false">'Cleaned Data'!L147</f>
        <v>Paid</v>
      </c>
      <c r="M147" s="1" t="n">
        <f aca="false">'Cleaned Data'!M147</f>
        <v>42</v>
      </c>
      <c r="N147" s="1" t="str">
        <f aca="false">'Cleaned Data'!N147</f>
        <v>Yes</v>
      </c>
      <c r="O147" s="1" t="str">
        <f aca="false">TEXT(G147,"yyyy-mm")</f>
        <v>2025-02</v>
      </c>
      <c r="P147" s="1" t="str">
        <f aca="false">IF(H147&lt;20,"Low",IF(H147&lt;=60,"Medium","High"))</f>
        <v>Medium</v>
      </c>
      <c r="Q147" s="1" t="str">
        <f aca="false">IF(I147&gt;0,"Yes","No")</f>
        <v>Yes</v>
      </c>
      <c r="R147" s="1" t="n">
        <f aca="false">IF(N147="Yes",1,0)</f>
        <v>1</v>
      </c>
    </row>
    <row r="148" customFormat="false" ht="15" hidden="false" customHeight="true" outlineLevel="0" collapsed="false">
      <c r="A148" s="1" t="str">
        <f aca="false">'Cleaned Data'!A148</f>
        <v>S00144</v>
      </c>
      <c r="B148" s="1" t="str">
        <f aca="false">'Cleaned Data'!B148</f>
        <v>P2317</v>
      </c>
      <c r="C148" s="1" t="str">
        <f aca="false">'Cleaned Data'!C148</f>
        <v>robertohobbs</v>
      </c>
      <c r="D148" s="1" t="str">
        <f aca="false">'Cleaned Data'!D148</f>
        <v>Zombie Rush</v>
      </c>
      <c r="E148" s="1" t="str">
        <f aca="false">'Cleaned Data'!E148</f>
        <v>Console</v>
      </c>
      <c r="F148" s="1" t="str">
        <f aca="false">'Cleaned Data'!F148</f>
        <v>West</v>
      </c>
      <c r="G148" s="23" t="n">
        <f aca="false">'Cleaned Data'!G148</f>
        <v>45769</v>
      </c>
      <c r="H148" s="1" t="n">
        <f aca="false">'Cleaned Data'!H148</f>
        <v>83</v>
      </c>
      <c r="I148" s="24" t="n">
        <f aca="false">'Cleaned Data'!I148</f>
        <v>0</v>
      </c>
      <c r="J148" s="1" t="str">
        <f aca="false">'Cleaned Data'!J148</f>
        <v>None</v>
      </c>
      <c r="K148" s="1" t="str">
        <f aca="false">'Cleaned Data'!K148</f>
        <v>Completed</v>
      </c>
      <c r="L148" s="1" t="str">
        <f aca="false">'Cleaned Data'!L148</f>
        <v>Free</v>
      </c>
      <c r="M148" s="1" t="n">
        <f aca="false">'Cleaned Data'!M148</f>
        <v>25</v>
      </c>
      <c r="N148" s="1" t="str">
        <f aca="false">'Cleaned Data'!N148</f>
        <v>No</v>
      </c>
      <c r="O148" s="1" t="str">
        <f aca="false">TEXT(G148,"yyyy-mm")</f>
        <v>2025-04</v>
      </c>
      <c r="P148" s="1" t="str">
        <f aca="false">IF(H148&lt;20,"Low",IF(H148&lt;=60,"Medium","High"))</f>
        <v>High</v>
      </c>
      <c r="Q148" s="1" t="str">
        <f aca="false">IF(I148&gt;0,"Yes","No")</f>
        <v>No</v>
      </c>
      <c r="R148" s="1" t="n">
        <f aca="false">IF(N148="Yes",1,0)</f>
        <v>0</v>
      </c>
    </row>
    <row r="149" customFormat="false" ht="15" hidden="false" customHeight="true" outlineLevel="0" collapsed="false">
      <c r="A149" s="1" t="str">
        <f aca="false">'Cleaned Data'!A149</f>
        <v>S00145</v>
      </c>
      <c r="B149" s="1" t="str">
        <f aca="false">'Cleaned Data'!B149</f>
        <v>P1686</v>
      </c>
      <c r="C149" s="1" t="str">
        <f aca="false">'Cleaned Data'!C149</f>
        <v>michellemurphy</v>
      </c>
      <c r="D149" s="1" t="str">
        <f aca="false">'Cleaned Data'!D149</f>
        <v>Clash of Realms</v>
      </c>
      <c r="E149" s="1" t="str">
        <f aca="false">'Cleaned Data'!E149</f>
        <v>Console</v>
      </c>
      <c r="F149" s="1" t="str">
        <f aca="false">'Cleaned Data'!F149</f>
        <v>Central</v>
      </c>
      <c r="G149" s="23" t="n">
        <f aca="false">'Cleaned Data'!G149</f>
        <v>45650</v>
      </c>
      <c r="H149" s="1" t="n">
        <f aca="false">'Cleaned Data'!H149</f>
        <v>146</v>
      </c>
      <c r="I149" s="24" t="n">
        <f aca="false">'Cleaned Data'!I149</f>
        <v>0</v>
      </c>
      <c r="J149" s="1" t="str">
        <f aca="false">'Cleaned Data'!J149</f>
        <v>None</v>
      </c>
      <c r="K149" s="1" t="str">
        <f aca="false">'Cleaned Data'!K149</f>
        <v>Completed</v>
      </c>
      <c r="L149" s="1" t="str">
        <f aca="false">'Cleaned Data'!L149</f>
        <v>Free</v>
      </c>
      <c r="M149" s="1" t="n">
        <f aca="false">'Cleaned Data'!M149</f>
        <v>28</v>
      </c>
      <c r="N149" s="1" t="str">
        <f aca="false">'Cleaned Data'!N149</f>
        <v>No</v>
      </c>
      <c r="O149" s="1" t="str">
        <f aca="false">TEXT(G149,"yyyy-mm")</f>
        <v>2024-12</v>
      </c>
      <c r="P149" s="1" t="str">
        <f aca="false">IF(H149&lt;20,"Low",IF(H149&lt;=60,"Medium","High"))</f>
        <v>High</v>
      </c>
      <c r="Q149" s="1" t="str">
        <f aca="false">IF(I149&gt;0,"Yes","No")</f>
        <v>No</v>
      </c>
      <c r="R149" s="1" t="n">
        <f aca="false">IF(N149="Yes",1,0)</f>
        <v>0</v>
      </c>
    </row>
    <row r="150" customFormat="false" ht="15" hidden="false" customHeight="true" outlineLevel="0" collapsed="false">
      <c r="A150" s="1" t="str">
        <f aca="false">'Cleaned Data'!A150</f>
        <v>S00146</v>
      </c>
      <c r="B150" s="1" t="str">
        <f aca="false">'Cleaned Data'!B150</f>
        <v>P3775</v>
      </c>
      <c r="C150" s="1" t="str">
        <f aca="false">'Cleaned Data'!C150</f>
        <v>castillowilliam</v>
      </c>
      <c r="D150" s="1" t="str">
        <f aca="false">'Cleaned Data'!D150</f>
        <v>Clash of Realms</v>
      </c>
      <c r="E150" s="1" t="str">
        <f aca="false">'Cleaned Data'!E150</f>
        <v>Console</v>
      </c>
      <c r="F150" s="1" t="str">
        <f aca="false">'Cleaned Data'!F150</f>
        <v>North</v>
      </c>
      <c r="G150" s="23" t="n">
        <f aca="false">'Cleaned Data'!G150</f>
        <v>45713</v>
      </c>
      <c r="H150" s="1" t="n">
        <f aca="false">'Cleaned Data'!H150</f>
        <v>18</v>
      </c>
      <c r="I150" s="24" t="n">
        <f aca="false">'Cleaned Data'!I150</f>
        <v>0</v>
      </c>
      <c r="J150" s="1" t="str">
        <f aca="false">'Cleaned Data'!J150</f>
        <v>None</v>
      </c>
      <c r="K150" s="1" t="str">
        <f aca="false">'Cleaned Data'!K150</f>
        <v>Completed</v>
      </c>
      <c r="L150" s="1" t="str">
        <f aca="false">'Cleaned Data'!L150</f>
        <v>Free</v>
      </c>
      <c r="M150" s="1" t="n">
        <f aca="false">'Cleaned Data'!M150</f>
        <v>47</v>
      </c>
      <c r="N150" s="1" t="str">
        <f aca="false">'Cleaned Data'!N150</f>
        <v>No</v>
      </c>
      <c r="O150" s="1" t="str">
        <f aca="false">TEXT(G150,"yyyy-mm")</f>
        <v>2025-02</v>
      </c>
      <c r="P150" s="1" t="str">
        <f aca="false">IF(H150&lt;20,"Low",IF(H150&lt;=60,"Medium","High"))</f>
        <v>Low</v>
      </c>
      <c r="Q150" s="1" t="str">
        <f aca="false">IF(I150&gt;0,"Yes","No")</f>
        <v>No</v>
      </c>
      <c r="R150" s="1" t="n">
        <f aca="false">IF(N150="Yes",1,0)</f>
        <v>0</v>
      </c>
    </row>
    <row r="151" customFormat="false" ht="15" hidden="false" customHeight="true" outlineLevel="0" collapsed="false">
      <c r="A151" s="1" t="str">
        <f aca="false">'Cleaned Data'!A151</f>
        <v>S00147</v>
      </c>
      <c r="B151" s="1" t="str">
        <f aca="false">'Cleaned Data'!B151</f>
        <v>P2026</v>
      </c>
      <c r="C151" s="1" t="str">
        <f aca="false">'Cleaned Data'!C151</f>
        <v>manuel15</v>
      </c>
      <c r="D151" s="1" t="str">
        <f aca="false">'Cleaned Data'!D151</f>
        <v>SpeedX</v>
      </c>
      <c r="E151" s="1" t="str">
        <f aca="false">'Cleaned Data'!E151</f>
        <v>PC</v>
      </c>
      <c r="F151" s="1" t="str">
        <f aca="false">'Cleaned Data'!F151</f>
        <v>North</v>
      </c>
      <c r="G151" s="23" t="n">
        <f aca="false">'Cleaned Data'!G151</f>
        <v>45770</v>
      </c>
      <c r="H151" s="1" t="n">
        <f aca="false">'Cleaned Data'!H151</f>
        <v>136</v>
      </c>
      <c r="I151" s="24" t="n">
        <f aca="false">'Cleaned Data'!I151</f>
        <v>0</v>
      </c>
      <c r="J151" s="1" t="str">
        <f aca="false">'Cleaned Data'!J151</f>
        <v>None</v>
      </c>
      <c r="K151" s="1" t="str">
        <f aca="false">'Cleaned Data'!K151</f>
        <v>Completed</v>
      </c>
      <c r="L151" s="1" t="str">
        <f aca="false">'Cleaned Data'!L151</f>
        <v>Free</v>
      </c>
      <c r="M151" s="1" t="n">
        <f aca="false">'Cleaned Data'!M151</f>
        <v>23</v>
      </c>
      <c r="N151" s="1" t="str">
        <f aca="false">'Cleaned Data'!N151</f>
        <v>No</v>
      </c>
      <c r="O151" s="1" t="str">
        <f aca="false">TEXT(G151,"yyyy-mm")</f>
        <v>2025-04</v>
      </c>
      <c r="P151" s="1" t="str">
        <f aca="false">IF(H151&lt;20,"Low",IF(H151&lt;=60,"Medium","High"))</f>
        <v>High</v>
      </c>
      <c r="Q151" s="1" t="str">
        <f aca="false">IF(I151&gt;0,"Yes","No")</f>
        <v>No</v>
      </c>
      <c r="R151" s="1" t="n">
        <f aca="false">IF(N151="Yes",1,0)</f>
        <v>0</v>
      </c>
    </row>
    <row r="152" customFormat="false" ht="15" hidden="false" customHeight="true" outlineLevel="0" collapsed="false">
      <c r="A152" s="1" t="str">
        <f aca="false">'Cleaned Data'!A152</f>
        <v>S00148</v>
      </c>
      <c r="B152" s="1" t="str">
        <f aca="false">'Cleaned Data'!B152</f>
        <v>P6441</v>
      </c>
      <c r="C152" s="1" t="str">
        <f aca="false">'Cleaned Data'!C152</f>
        <v>melissa77</v>
      </c>
      <c r="D152" s="1" t="str">
        <f aca="false">'Cleaned Data'!D152</f>
        <v>Empire Wars</v>
      </c>
      <c r="E152" s="1" t="str">
        <f aca="false">'Cleaned Data'!E152</f>
        <v>Console</v>
      </c>
      <c r="F152" s="1" t="str">
        <f aca="false">'Cleaned Data'!F152</f>
        <v>East</v>
      </c>
      <c r="G152" s="23" t="n">
        <f aca="false">'Cleaned Data'!G152</f>
        <v>45683</v>
      </c>
      <c r="H152" s="1" t="n">
        <f aca="false">'Cleaned Data'!H152</f>
        <v>99</v>
      </c>
      <c r="I152" s="24" t="n">
        <f aca="false">'Cleaned Data'!I152</f>
        <v>0</v>
      </c>
      <c r="J152" s="1" t="str">
        <f aca="false">'Cleaned Data'!J152</f>
        <v>None</v>
      </c>
      <c r="K152" s="1" t="str">
        <f aca="false">'Cleaned Data'!K152</f>
        <v>Completed</v>
      </c>
      <c r="L152" s="1" t="str">
        <f aca="false">'Cleaned Data'!L152</f>
        <v>Free</v>
      </c>
      <c r="M152" s="1" t="n">
        <f aca="false">'Cleaned Data'!M152</f>
        <v>2</v>
      </c>
      <c r="N152" s="1" t="str">
        <f aca="false">'Cleaned Data'!N152</f>
        <v>No</v>
      </c>
      <c r="O152" s="1" t="str">
        <f aca="false">TEXT(G152,"yyyy-mm")</f>
        <v>2025-01</v>
      </c>
      <c r="P152" s="1" t="str">
        <f aca="false">IF(H152&lt;20,"Low",IF(H152&lt;=60,"Medium","High"))</f>
        <v>High</v>
      </c>
      <c r="Q152" s="1" t="str">
        <f aca="false">IF(I152&gt;0,"Yes","No")</f>
        <v>No</v>
      </c>
      <c r="R152" s="1" t="n">
        <f aca="false">IF(N152="Yes",1,0)</f>
        <v>0</v>
      </c>
    </row>
    <row r="153" customFormat="false" ht="15" hidden="false" customHeight="true" outlineLevel="0" collapsed="false">
      <c r="A153" s="1" t="str">
        <f aca="false">'Cleaned Data'!A153</f>
        <v>S00149</v>
      </c>
      <c r="B153" s="1" t="str">
        <f aca="false">'Cleaned Data'!B153</f>
        <v>P2573</v>
      </c>
      <c r="C153" s="1" t="str">
        <f aca="false">'Cleaned Data'!C153</f>
        <v>pkim</v>
      </c>
      <c r="D153" s="1" t="str">
        <f aca="false">'Cleaned Data'!D153</f>
        <v>Empire Wars</v>
      </c>
      <c r="E153" s="1" t="str">
        <f aca="false">'Cleaned Data'!E153</f>
        <v>Mobile</v>
      </c>
      <c r="F153" s="1" t="str">
        <f aca="false">'Cleaned Data'!F153</f>
        <v>Central</v>
      </c>
      <c r="G153" s="23" t="n">
        <f aca="false">'Cleaned Data'!G153</f>
        <v>45693</v>
      </c>
      <c r="H153" s="1" t="n">
        <f aca="false">'Cleaned Data'!H153</f>
        <v>133</v>
      </c>
      <c r="I153" s="24" t="n">
        <f aca="false">'Cleaned Data'!I153</f>
        <v>0</v>
      </c>
      <c r="J153" s="1" t="str">
        <f aca="false">'Cleaned Data'!J153</f>
        <v>None</v>
      </c>
      <c r="K153" s="1" t="str">
        <f aca="false">'Cleaned Data'!K153</f>
        <v>Completed</v>
      </c>
      <c r="L153" s="1" t="str">
        <f aca="false">'Cleaned Data'!L153</f>
        <v>Free</v>
      </c>
      <c r="M153" s="1" t="n">
        <f aca="false">'Cleaned Data'!M153</f>
        <v>26</v>
      </c>
      <c r="N153" s="1" t="str">
        <f aca="false">'Cleaned Data'!N153</f>
        <v>No</v>
      </c>
      <c r="O153" s="1" t="str">
        <f aca="false">TEXT(G153,"yyyy-mm")</f>
        <v>2025-02</v>
      </c>
      <c r="P153" s="1" t="str">
        <f aca="false">IF(H153&lt;20,"Low",IF(H153&lt;=60,"Medium","High"))</f>
        <v>High</v>
      </c>
      <c r="Q153" s="1" t="str">
        <f aca="false">IF(I153&gt;0,"Yes","No")</f>
        <v>No</v>
      </c>
      <c r="R153" s="1" t="n">
        <f aca="false">IF(N153="Yes",1,0)</f>
        <v>0</v>
      </c>
    </row>
    <row r="154" customFormat="false" ht="15" hidden="false" customHeight="true" outlineLevel="0" collapsed="false">
      <c r="A154" s="1" t="str">
        <f aca="false">'Cleaned Data'!A154</f>
        <v>S00150</v>
      </c>
      <c r="B154" s="1" t="str">
        <f aca="false">'Cleaned Data'!B154</f>
        <v>P2593</v>
      </c>
      <c r="C154" s="1" t="str">
        <f aca="false">'Cleaned Data'!C154</f>
        <v>erinjones</v>
      </c>
      <c r="D154" s="1" t="str">
        <f aca="false">'Cleaned Data'!D154</f>
        <v>BattleZone</v>
      </c>
      <c r="E154" s="1" t="str">
        <f aca="false">'Cleaned Data'!E154</f>
        <v>Console</v>
      </c>
      <c r="F154" s="1" t="str">
        <f aca="false">'Cleaned Data'!F154</f>
        <v>Central</v>
      </c>
      <c r="G154" s="23" t="n">
        <f aca="false">'Cleaned Data'!G154</f>
        <v>45728</v>
      </c>
      <c r="H154" s="1" t="n">
        <f aca="false">'Cleaned Data'!H154</f>
        <v>54</v>
      </c>
      <c r="I154" s="24" t="n">
        <f aca="false">'Cleaned Data'!I154</f>
        <v>0</v>
      </c>
      <c r="J154" s="1" t="str">
        <f aca="false">'Cleaned Data'!J154</f>
        <v>None</v>
      </c>
      <c r="K154" s="1" t="str">
        <f aca="false">'Cleaned Data'!K154</f>
        <v>Completed</v>
      </c>
      <c r="L154" s="1" t="str">
        <f aca="false">'Cleaned Data'!L154</f>
        <v>Free</v>
      </c>
      <c r="M154" s="1" t="n">
        <f aca="false">'Cleaned Data'!M154</f>
        <v>5</v>
      </c>
      <c r="N154" s="1" t="str">
        <f aca="false">'Cleaned Data'!N154</f>
        <v>No</v>
      </c>
      <c r="O154" s="1" t="str">
        <f aca="false">TEXT(G154,"yyyy-mm")</f>
        <v>2025-03</v>
      </c>
      <c r="P154" s="1" t="str">
        <f aca="false">IF(H154&lt;20,"Low",IF(H154&lt;=60,"Medium","High"))</f>
        <v>Medium</v>
      </c>
      <c r="Q154" s="1" t="str">
        <f aca="false">IF(I154&gt;0,"Yes","No")</f>
        <v>No</v>
      </c>
      <c r="R154" s="1" t="n">
        <f aca="false">IF(N154="Yes",1,0)</f>
        <v>0</v>
      </c>
    </row>
    <row r="155" customFormat="false" ht="15" hidden="false" customHeight="true" outlineLevel="0" collapsed="false">
      <c r="A155" s="1" t="str">
        <f aca="false">'Cleaned Data'!A155</f>
        <v>S00151</v>
      </c>
      <c r="B155" s="1" t="str">
        <f aca="false">'Cleaned Data'!B155</f>
        <v>P5644</v>
      </c>
      <c r="C155" s="1" t="str">
        <f aca="false">'Cleaned Data'!C155</f>
        <v>harrispamela</v>
      </c>
      <c r="D155" s="1" t="str">
        <f aca="false">'Cleaned Data'!D155</f>
        <v>Empire Wars</v>
      </c>
      <c r="E155" s="1" t="str">
        <f aca="false">'Cleaned Data'!E155</f>
        <v>PC</v>
      </c>
      <c r="F155" s="1" t="str">
        <f aca="false">'Cleaned Data'!F155</f>
        <v>North</v>
      </c>
      <c r="G155" s="23" t="n">
        <f aca="false">'Cleaned Data'!G155</f>
        <v>45666</v>
      </c>
      <c r="H155" s="1" t="n">
        <f aca="false">'Cleaned Data'!H155</f>
        <v>169</v>
      </c>
      <c r="I155" s="24" t="n">
        <f aca="false">'Cleaned Data'!I155</f>
        <v>0</v>
      </c>
      <c r="J155" s="1" t="str">
        <f aca="false">'Cleaned Data'!J155</f>
        <v>None</v>
      </c>
      <c r="K155" s="1" t="str">
        <f aca="false">'Cleaned Data'!K155</f>
        <v>Completed</v>
      </c>
      <c r="L155" s="1" t="str">
        <f aca="false">'Cleaned Data'!L155</f>
        <v>Free</v>
      </c>
      <c r="M155" s="1" t="n">
        <f aca="false">'Cleaned Data'!M155</f>
        <v>30</v>
      </c>
      <c r="N155" s="1" t="str">
        <f aca="false">'Cleaned Data'!N155</f>
        <v>Yes</v>
      </c>
      <c r="O155" s="1" t="str">
        <f aca="false">TEXT(G155,"yyyy-mm")</f>
        <v>2025-01</v>
      </c>
      <c r="P155" s="1" t="str">
        <f aca="false">IF(H155&lt;20,"Low",IF(H155&lt;=60,"Medium","High"))</f>
        <v>High</v>
      </c>
      <c r="Q155" s="1" t="str">
        <f aca="false">IF(I155&gt;0,"Yes","No")</f>
        <v>No</v>
      </c>
      <c r="R155" s="1" t="n">
        <f aca="false">IF(N155="Yes",1,0)</f>
        <v>1</v>
      </c>
    </row>
    <row r="156" customFormat="false" ht="15" hidden="false" customHeight="true" outlineLevel="0" collapsed="false">
      <c r="A156" s="1" t="str">
        <f aca="false">'Cleaned Data'!A156</f>
        <v>S00152</v>
      </c>
      <c r="B156" s="1" t="str">
        <f aca="false">'Cleaned Data'!B156</f>
        <v>P5906</v>
      </c>
      <c r="C156" s="1" t="str">
        <f aca="false">'Cleaned Data'!C156</f>
        <v>onoble</v>
      </c>
      <c r="D156" s="1" t="str">
        <f aca="false">'Cleaned Data'!D156</f>
        <v>Empire Wars</v>
      </c>
      <c r="E156" s="1" t="str">
        <f aca="false">'Cleaned Data'!E156</f>
        <v>Console</v>
      </c>
      <c r="F156" s="1" t="str">
        <f aca="false">'Cleaned Data'!F156</f>
        <v>West</v>
      </c>
      <c r="G156" s="23" t="n">
        <f aca="false">'Cleaned Data'!G156</f>
        <v>45737</v>
      </c>
      <c r="H156" s="1" t="n">
        <f aca="false">'Cleaned Data'!H156</f>
        <v>8</v>
      </c>
      <c r="I156" s="24" t="n">
        <f aca="false">'Cleaned Data'!I156</f>
        <v>39.12</v>
      </c>
      <c r="J156" s="1" t="str">
        <f aca="false">'Cleaned Data'!J156</f>
        <v>Boosters</v>
      </c>
      <c r="K156" s="1" t="str">
        <f aca="false">'Cleaned Data'!K156</f>
        <v>Completed</v>
      </c>
      <c r="L156" s="1" t="str">
        <f aca="false">'Cleaned Data'!L156</f>
        <v>Paid</v>
      </c>
      <c r="M156" s="1" t="n">
        <f aca="false">'Cleaned Data'!M156</f>
        <v>48</v>
      </c>
      <c r="N156" s="1" t="str">
        <f aca="false">'Cleaned Data'!N156</f>
        <v>No</v>
      </c>
      <c r="O156" s="1" t="str">
        <f aca="false">TEXT(G156,"yyyy-mm")</f>
        <v>2025-03</v>
      </c>
      <c r="P156" s="1" t="str">
        <f aca="false">IF(H156&lt;20,"Low",IF(H156&lt;=60,"Medium","High"))</f>
        <v>Low</v>
      </c>
      <c r="Q156" s="1" t="str">
        <f aca="false">IF(I156&gt;0,"Yes","No")</f>
        <v>Yes</v>
      </c>
      <c r="R156" s="1" t="n">
        <f aca="false">IF(N156="Yes",1,0)</f>
        <v>0</v>
      </c>
    </row>
    <row r="157" customFormat="false" ht="15" hidden="false" customHeight="true" outlineLevel="0" collapsed="false">
      <c r="A157" s="1" t="str">
        <f aca="false">'Cleaned Data'!A157</f>
        <v>S00153</v>
      </c>
      <c r="B157" s="1" t="str">
        <f aca="false">'Cleaned Data'!B157</f>
        <v>P4716</v>
      </c>
      <c r="C157" s="1" t="str">
        <f aca="false">'Cleaned Data'!C157</f>
        <v>jamie88</v>
      </c>
      <c r="D157" s="1" t="str">
        <f aca="false">'Cleaned Data'!D157</f>
        <v>Clash of Realms</v>
      </c>
      <c r="E157" s="1" t="str">
        <f aca="false">'Cleaned Data'!E157</f>
        <v>Console</v>
      </c>
      <c r="F157" s="1" t="str">
        <f aca="false">'Cleaned Data'!F157</f>
        <v>West</v>
      </c>
      <c r="G157" s="23" t="n">
        <f aca="false">'Cleaned Data'!G157</f>
        <v>45695</v>
      </c>
      <c r="H157" s="1" t="n">
        <f aca="false">'Cleaned Data'!H157</f>
        <v>27</v>
      </c>
      <c r="I157" s="24" t="n">
        <f aca="false">'Cleaned Data'!I157</f>
        <v>2.64</v>
      </c>
      <c r="J157" s="1" t="str">
        <f aca="false">'Cleaned Data'!J157</f>
        <v>Subscriptions</v>
      </c>
      <c r="K157" s="1" t="str">
        <f aca="false">'Cleaned Data'!K157</f>
        <v>Completed</v>
      </c>
      <c r="L157" s="1" t="str">
        <f aca="false">'Cleaned Data'!L157</f>
        <v>Paid</v>
      </c>
      <c r="M157" s="1" t="n">
        <f aca="false">'Cleaned Data'!M157</f>
        <v>3</v>
      </c>
      <c r="N157" s="1" t="str">
        <f aca="false">'Cleaned Data'!N157</f>
        <v>No</v>
      </c>
      <c r="O157" s="1" t="str">
        <f aca="false">TEXT(G157,"yyyy-mm")</f>
        <v>2025-02</v>
      </c>
      <c r="P157" s="1" t="str">
        <f aca="false">IF(H157&lt;20,"Low",IF(H157&lt;=60,"Medium","High"))</f>
        <v>Medium</v>
      </c>
      <c r="Q157" s="1" t="str">
        <f aca="false">IF(I157&gt;0,"Yes","No")</f>
        <v>Yes</v>
      </c>
      <c r="R157" s="1" t="n">
        <f aca="false">IF(N157="Yes",1,0)</f>
        <v>0</v>
      </c>
    </row>
    <row r="158" customFormat="false" ht="15" hidden="false" customHeight="true" outlineLevel="0" collapsed="false">
      <c r="A158" s="1" t="str">
        <f aca="false">'Cleaned Data'!A158</f>
        <v>S00154</v>
      </c>
      <c r="B158" s="1" t="str">
        <f aca="false">'Cleaned Data'!B158</f>
        <v>P8055</v>
      </c>
      <c r="C158" s="1" t="str">
        <f aca="false">'Cleaned Data'!C158</f>
        <v>davidsingleton</v>
      </c>
      <c r="D158" s="1" t="str">
        <f aca="false">'Cleaned Data'!D158</f>
        <v>BattleZone</v>
      </c>
      <c r="E158" s="1" t="str">
        <f aca="false">'Cleaned Data'!E158</f>
        <v>Mobile</v>
      </c>
      <c r="F158" s="1" t="str">
        <f aca="false">'Cleaned Data'!F158</f>
        <v>West</v>
      </c>
      <c r="G158" s="23" t="n">
        <f aca="false">'Cleaned Data'!G158</f>
        <v>45721</v>
      </c>
      <c r="H158" s="1" t="n">
        <f aca="false">'Cleaned Data'!H158</f>
        <v>118</v>
      </c>
      <c r="I158" s="24" t="n">
        <f aca="false">'Cleaned Data'!I158</f>
        <v>46.55</v>
      </c>
      <c r="J158" s="1" t="str">
        <f aca="false">'Cleaned Data'!J158</f>
        <v>Battle Pass</v>
      </c>
      <c r="K158" s="1" t="str">
        <f aca="false">'Cleaned Data'!K158</f>
        <v>Completed</v>
      </c>
      <c r="L158" s="1" t="str">
        <f aca="false">'Cleaned Data'!L158</f>
        <v>Paid</v>
      </c>
      <c r="M158" s="1" t="n">
        <f aca="false">'Cleaned Data'!M158</f>
        <v>45</v>
      </c>
      <c r="N158" s="1" t="str">
        <f aca="false">'Cleaned Data'!N158</f>
        <v>Yes</v>
      </c>
      <c r="O158" s="1" t="str">
        <f aca="false">TEXT(G158,"yyyy-mm")</f>
        <v>2025-03</v>
      </c>
      <c r="P158" s="1" t="str">
        <f aca="false">IF(H158&lt;20,"Low",IF(H158&lt;=60,"Medium","High"))</f>
        <v>High</v>
      </c>
      <c r="Q158" s="1" t="str">
        <f aca="false">IF(I158&gt;0,"Yes","No")</f>
        <v>Yes</v>
      </c>
      <c r="R158" s="1" t="n">
        <f aca="false">IF(N158="Yes",1,0)</f>
        <v>1</v>
      </c>
    </row>
    <row r="159" customFormat="false" ht="15" hidden="false" customHeight="true" outlineLevel="0" collapsed="false">
      <c r="A159" s="1" t="str">
        <f aca="false">'Cleaned Data'!A159</f>
        <v>S00155</v>
      </c>
      <c r="B159" s="1" t="str">
        <f aca="false">'Cleaned Data'!B159</f>
        <v>P2328</v>
      </c>
      <c r="C159" s="1" t="str">
        <f aca="false">'Cleaned Data'!C159</f>
        <v>byrdevelyn</v>
      </c>
      <c r="D159" s="1" t="str">
        <f aca="false">'Cleaned Data'!D159</f>
        <v>Zombie Rush</v>
      </c>
      <c r="E159" s="1" t="str">
        <f aca="false">'Cleaned Data'!E159</f>
        <v>Mobile</v>
      </c>
      <c r="F159" s="1" t="str">
        <f aca="false">'Cleaned Data'!F159</f>
        <v>North-East</v>
      </c>
      <c r="G159" s="23" t="n">
        <f aca="false">'Cleaned Data'!G159</f>
        <v>45792</v>
      </c>
      <c r="H159" s="1" t="n">
        <f aca="false">'Cleaned Data'!H159</f>
        <v>171</v>
      </c>
      <c r="I159" s="24" t="n">
        <f aca="false">'Cleaned Data'!I159</f>
        <v>18.03</v>
      </c>
      <c r="J159" s="1" t="str">
        <f aca="false">'Cleaned Data'!J159</f>
        <v>Skins</v>
      </c>
      <c r="K159" s="1" t="str">
        <f aca="false">'Cleaned Data'!K159</f>
        <v>Completed</v>
      </c>
      <c r="L159" s="1" t="str">
        <f aca="false">'Cleaned Data'!L159</f>
        <v>Paid</v>
      </c>
      <c r="M159" s="1" t="n">
        <f aca="false">'Cleaned Data'!M159</f>
        <v>43</v>
      </c>
      <c r="N159" s="1" t="str">
        <f aca="false">'Cleaned Data'!N159</f>
        <v>Yes</v>
      </c>
      <c r="O159" s="1" t="str">
        <f aca="false">TEXT(G159,"yyyy-mm")</f>
        <v>2025-05</v>
      </c>
      <c r="P159" s="1" t="str">
        <f aca="false">IF(H159&lt;20,"Low",IF(H159&lt;=60,"Medium","High"))</f>
        <v>High</v>
      </c>
      <c r="Q159" s="1" t="str">
        <f aca="false">IF(I159&gt;0,"Yes","No")</f>
        <v>Yes</v>
      </c>
      <c r="R159" s="1" t="n">
        <f aca="false">IF(N159="Yes",1,0)</f>
        <v>1</v>
      </c>
    </row>
    <row r="160" customFormat="false" ht="15" hidden="false" customHeight="true" outlineLevel="0" collapsed="false">
      <c r="A160" s="1" t="str">
        <f aca="false">'Cleaned Data'!A160</f>
        <v>S00156</v>
      </c>
      <c r="B160" s="1" t="str">
        <f aca="false">'Cleaned Data'!B160</f>
        <v>P2755</v>
      </c>
      <c r="C160" s="1" t="str">
        <f aca="false">'Cleaned Data'!C160</f>
        <v>ivan06</v>
      </c>
      <c r="D160" s="1" t="str">
        <f aca="false">'Cleaned Data'!D160</f>
        <v>Clash of Realms</v>
      </c>
      <c r="E160" s="1" t="str">
        <f aca="false">'Cleaned Data'!E160</f>
        <v>Mobile</v>
      </c>
      <c r="F160" s="1" t="str">
        <f aca="false">'Cleaned Data'!F160</f>
        <v>North</v>
      </c>
      <c r="G160" s="23" t="n">
        <f aca="false">'Cleaned Data'!G160</f>
        <v>45756</v>
      </c>
      <c r="H160" s="1" t="n">
        <f aca="false">'Cleaned Data'!H160</f>
        <v>55</v>
      </c>
      <c r="I160" s="24" t="n">
        <f aca="false">'Cleaned Data'!I160</f>
        <v>0</v>
      </c>
      <c r="J160" s="1" t="str">
        <f aca="false">'Cleaned Data'!J160</f>
        <v>None</v>
      </c>
      <c r="K160" s="1" t="str">
        <f aca="false">'Cleaned Data'!K160</f>
        <v>Completed</v>
      </c>
      <c r="L160" s="1" t="str">
        <f aca="false">'Cleaned Data'!L160</f>
        <v>Free</v>
      </c>
      <c r="M160" s="1" t="n">
        <f aca="false">'Cleaned Data'!M160</f>
        <v>29</v>
      </c>
      <c r="N160" s="1" t="str">
        <f aca="false">'Cleaned Data'!N160</f>
        <v>No</v>
      </c>
      <c r="O160" s="1" t="str">
        <f aca="false">TEXT(G160,"yyyy-mm")</f>
        <v>2025-04</v>
      </c>
      <c r="P160" s="1" t="str">
        <f aca="false">IF(H160&lt;20,"Low",IF(H160&lt;=60,"Medium","High"))</f>
        <v>Medium</v>
      </c>
      <c r="Q160" s="1" t="str">
        <f aca="false">IF(I160&gt;0,"Yes","No")</f>
        <v>No</v>
      </c>
      <c r="R160" s="1" t="n">
        <f aca="false">IF(N160="Yes",1,0)</f>
        <v>0</v>
      </c>
    </row>
    <row r="161" customFormat="false" ht="15" hidden="false" customHeight="true" outlineLevel="0" collapsed="false">
      <c r="A161" s="1" t="str">
        <f aca="false">'Cleaned Data'!A161</f>
        <v>S00157</v>
      </c>
      <c r="B161" s="1" t="str">
        <f aca="false">'Cleaned Data'!B161</f>
        <v>P5941</v>
      </c>
      <c r="C161" s="1" t="str">
        <f aca="false">'Cleaned Data'!C161</f>
        <v>gabriellogan</v>
      </c>
      <c r="D161" s="1" t="str">
        <f aca="false">'Cleaned Data'!D161</f>
        <v>BattleZone</v>
      </c>
      <c r="E161" s="1" t="str">
        <f aca="false">'Cleaned Data'!E161</f>
        <v>Console</v>
      </c>
      <c r="F161" s="1" t="str">
        <f aca="false">'Cleaned Data'!F161</f>
        <v>North-East</v>
      </c>
      <c r="G161" s="23" t="n">
        <f aca="false">'Cleaned Data'!G161</f>
        <v>45709</v>
      </c>
      <c r="H161" s="1" t="n">
        <f aca="false">'Cleaned Data'!H161</f>
        <v>37</v>
      </c>
      <c r="I161" s="24" t="n">
        <f aca="false">'Cleaned Data'!I161</f>
        <v>0</v>
      </c>
      <c r="J161" s="1" t="str">
        <f aca="false">'Cleaned Data'!J161</f>
        <v>None</v>
      </c>
      <c r="K161" s="1" t="str">
        <f aca="false">'Cleaned Data'!K161</f>
        <v>Exited Early</v>
      </c>
      <c r="L161" s="1" t="str">
        <f aca="false">'Cleaned Data'!L161</f>
        <v>Free</v>
      </c>
      <c r="M161" s="1" t="n">
        <f aca="false">'Cleaned Data'!M161</f>
        <v>1</v>
      </c>
      <c r="N161" s="1" t="str">
        <f aca="false">'Cleaned Data'!N161</f>
        <v>No</v>
      </c>
      <c r="O161" s="1" t="str">
        <f aca="false">TEXT(G161,"yyyy-mm")</f>
        <v>2025-02</v>
      </c>
      <c r="P161" s="1" t="str">
        <f aca="false">IF(H161&lt;20,"Low",IF(H161&lt;=60,"Medium","High"))</f>
        <v>Medium</v>
      </c>
      <c r="Q161" s="1" t="str">
        <f aca="false">IF(I161&gt;0,"Yes","No")</f>
        <v>No</v>
      </c>
      <c r="R161" s="1" t="n">
        <f aca="false">IF(N161="Yes",1,0)</f>
        <v>0</v>
      </c>
    </row>
    <row r="162" customFormat="false" ht="15" hidden="false" customHeight="true" outlineLevel="0" collapsed="false">
      <c r="A162" s="1" t="str">
        <f aca="false">'Cleaned Data'!A162</f>
        <v>S00158</v>
      </c>
      <c r="B162" s="1" t="str">
        <f aca="false">'Cleaned Data'!B162</f>
        <v>P4783</v>
      </c>
      <c r="C162" s="1" t="str">
        <f aca="false">'Cleaned Data'!C162</f>
        <v>gsmith</v>
      </c>
      <c r="D162" s="1" t="str">
        <f aca="false">'Cleaned Data'!D162</f>
        <v>Empire Wars</v>
      </c>
      <c r="E162" s="1" t="str">
        <f aca="false">'Cleaned Data'!E162</f>
        <v>Console</v>
      </c>
      <c r="F162" s="1" t="str">
        <f aca="false">'Cleaned Data'!F162</f>
        <v>West</v>
      </c>
      <c r="G162" s="23" t="n">
        <f aca="false">'Cleaned Data'!G162</f>
        <v>45700</v>
      </c>
      <c r="H162" s="1" t="n">
        <f aca="false">'Cleaned Data'!H162</f>
        <v>79</v>
      </c>
      <c r="I162" s="24" t="n">
        <f aca="false">'Cleaned Data'!I162</f>
        <v>0</v>
      </c>
      <c r="J162" s="1" t="str">
        <f aca="false">'Cleaned Data'!J162</f>
        <v>None</v>
      </c>
      <c r="K162" s="1" t="str">
        <f aca="false">'Cleaned Data'!K162</f>
        <v>Completed</v>
      </c>
      <c r="L162" s="1" t="str">
        <f aca="false">'Cleaned Data'!L162</f>
        <v>Free</v>
      </c>
      <c r="M162" s="1" t="n">
        <f aca="false">'Cleaned Data'!M162</f>
        <v>44</v>
      </c>
      <c r="N162" s="1" t="str">
        <f aca="false">'Cleaned Data'!N162</f>
        <v>No</v>
      </c>
      <c r="O162" s="1" t="str">
        <f aca="false">TEXT(G162,"yyyy-mm")</f>
        <v>2025-02</v>
      </c>
      <c r="P162" s="1" t="str">
        <f aca="false">IF(H162&lt;20,"Low",IF(H162&lt;=60,"Medium","High"))</f>
        <v>High</v>
      </c>
      <c r="Q162" s="1" t="str">
        <f aca="false">IF(I162&gt;0,"Yes","No")</f>
        <v>No</v>
      </c>
      <c r="R162" s="1" t="n">
        <f aca="false">IF(N162="Yes",1,0)</f>
        <v>0</v>
      </c>
    </row>
    <row r="163" customFormat="false" ht="15" hidden="false" customHeight="true" outlineLevel="0" collapsed="false">
      <c r="A163" s="1" t="str">
        <f aca="false">'Cleaned Data'!A163</f>
        <v>S00159</v>
      </c>
      <c r="B163" s="1" t="str">
        <f aca="false">'Cleaned Data'!B163</f>
        <v>P7795</v>
      </c>
      <c r="C163" s="1" t="str">
        <f aca="false">'Cleaned Data'!C163</f>
        <v>morrismelissa</v>
      </c>
      <c r="D163" s="1" t="str">
        <f aca="false">'Cleaned Data'!D163</f>
        <v>Clash of Realms</v>
      </c>
      <c r="E163" s="1" t="str">
        <f aca="false">'Cleaned Data'!E163</f>
        <v>Console</v>
      </c>
      <c r="F163" s="1" t="str">
        <f aca="false">'Cleaned Data'!F163</f>
        <v>South</v>
      </c>
      <c r="G163" s="23" t="n">
        <f aca="false">'Cleaned Data'!G163</f>
        <v>45690</v>
      </c>
      <c r="H163" s="1" t="n">
        <f aca="false">'Cleaned Data'!H163</f>
        <v>50</v>
      </c>
      <c r="I163" s="24" t="n">
        <f aca="false">'Cleaned Data'!I163</f>
        <v>0</v>
      </c>
      <c r="J163" s="1" t="str">
        <f aca="false">'Cleaned Data'!J163</f>
        <v>None</v>
      </c>
      <c r="K163" s="1" t="str">
        <f aca="false">'Cleaned Data'!K163</f>
        <v>Completed</v>
      </c>
      <c r="L163" s="1" t="str">
        <f aca="false">'Cleaned Data'!L163</f>
        <v>Free</v>
      </c>
      <c r="M163" s="1" t="n">
        <f aca="false">'Cleaned Data'!M163</f>
        <v>21</v>
      </c>
      <c r="N163" s="1" t="str">
        <f aca="false">'Cleaned Data'!N163</f>
        <v>No</v>
      </c>
      <c r="O163" s="1" t="str">
        <f aca="false">TEXT(G163,"yyyy-mm")</f>
        <v>2025-02</v>
      </c>
      <c r="P163" s="1" t="str">
        <f aca="false">IF(H163&lt;20,"Low",IF(H163&lt;=60,"Medium","High"))</f>
        <v>Medium</v>
      </c>
      <c r="Q163" s="1" t="str">
        <f aca="false">IF(I163&gt;0,"Yes","No")</f>
        <v>No</v>
      </c>
      <c r="R163" s="1" t="n">
        <f aca="false">IF(N163="Yes",1,0)</f>
        <v>0</v>
      </c>
    </row>
    <row r="164" customFormat="false" ht="15" hidden="false" customHeight="true" outlineLevel="0" collapsed="false">
      <c r="A164" s="1" t="str">
        <f aca="false">'Cleaned Data'!A164</f>
        <v>S00160</v>
      </c>
      <c r="B164" s="1" t="str">
        <f aca="false">'Cleaned Data'!B164</f>
        <v>P5207</v>
      </c>
      <c r="C164" s="1" t="str">
        <f aca="false">'Cleaned Data'!C164</f>
        <v>courtneycarr</v>
      </c>
      <c r="D164" s="1" t="str">
        <f aca="false">'Cleaned Data'!D164</f>
        <v>Empire Wars</v>
      </c>
      <c r="E164" s="1" t="str">
        <f aca="false">'Cleaned Data'!E164</f>
        <v>Mobile</v>
      </c>
      <c r="F164" s="1" t="str">
        <f aca="false">'Cleaned Data'!F164</f>
        <v>North</v>
      </c>
      <c r="G164" s="23" t="n">
        <f aca="false">'Cleaned Data'!G164</f>
        <v>45700</v>
      </c>
      <c r="H164" s="1" t="n">
        <f aca="false">'Cleaned Data'!H164</f>
        <v>57</v>
      </c>
      <c r="I164" s="24" t="n">
        <f aca="false">'Cleaned Data'!I164</f>
        <v>0</v>
      </c>
      <c r="J164" s="1" t="str">
        <f aca="false">'Cleaned Data'!J164</f>
        <v>None</v>
      </c>
      <c r="K164" s="1" t="str">
        <f aca="false">'Cleaned Data'!K164</f>
        <v>Completed</v>
      </c>
      <c r="L164" s="1" t="str">
        <f aca="false">'Cleaned Data'!L164</f>
        <v>Free</v>
      </c>
      <c r="M164" s="1" t="n">
        <f aca="false">'Cleaned Data'!M164</f>
        <v>13</v>
      </c>
      <c r="N164" s="1" t="str">
        <f aca="false">'Cleaned Data'!N164</f>
        <v>No</v>
      </c>
      <c r="O164" s="1" t="str">
        <f aca="false">TEXT(G164,"yyyy-mm")</f>
        <v>2025-02</v>
      </c>
      <c r="P164" s="1" t="str">
        <f aca="false">IF(H164&lt;20,"Low",IF(H164&lt;=60,"Medium","High"))</f>
        <v>Medium</v>
      </c>
      <c r="Q164" s="1" t="str">
        <f aca="false">IF(I164&gt;0,"Yes","No")</f>
        <v>No</v>
      </c>
      <c r="R164" s="1" t="n">
        <f aca="false">IF(N164="Yes",1,0)</f>
        <v>0</v>
      </c>
    </row>
    <row r="165" customFormat="false" ht="15" hidden="false" customHeight="true" outlineLevel="0" collapsed="false">
      <c r="A165" s="1" t="str">
        <f aca="false">'Cleaned Data'!A165</f>
        <v>S00161</v>
      </c>
      <c r="B165" s="1" t="str">
        <f aca="false">'Cleaned Data'!B165</f>
        <v>P7830</v>
      </c>
      <c r="C165" s="1" t="str">
        <f aca="false">'Cleaned Data'!C165</f>
        <v>thomasowens</v>
      </c>
      <c r="D165" s="1" t="str">
        <f aca="false">'Cleaned Data'!D165</f>
        <v>Zombie Rush</v>
      </c>
      <c r="E165" s="1" t="str">
        <f aca="false">'Cleaned Data'!E165</f>
        <v>Console</v>
      </c>
      <c r="F165" s="1" t="str">
        <f aca="false">'Cleaned Data'!F165</f>
        <v>West</v>
      </c>
      <c r="G165" s="23" t="n">
        <f aca="false">'Cleaned Data'!G165</f>
        <v>45765</v>
      </c>
      <c r="H165" s="1" t="n">
        <f aca="false">'Cleaned Data'!H165</f>
        <v>116</v>
      </c>
      <c r="I165" s="24" t="n">
        <f aca="false">'Cleaned Data'!I165</f>
        <v>17.05</v>
      </c>
      <c r="J165" s="1" t="str">
        <f aca="false">'Cleaned Data'!J165</f>
        <v>Subscriptions</v>
      </c>
      <c r="K165" s="1" t="str">
        <f aca="false">'Cleaned Data'!K165</f>
        <v>Exited Early</v>
      </c>
      <c r="L165" s="1" t="str">
        <f aca="false">'Cleaned Data'!L165</f>
        <v>Paid</v>
      </c>
      <c r="M165" s="1" t="n">
        <f aca="false">'Cleaned Data'!M165</f>
        <v>17</v>
      </c>
      <c r="N165" s="1" t="str">
        <f aca="false">'Cleaned Data'!N165</f>
        <v>No</v>
      </c>
      <c r="O165" s="1" t="str">
        <f aca="false">TEXT(G165,"yyyy-mm")</f>
        <v>2025-04</v>
      </c>
      <c r="P165" s="1" t="str">
        <f aca="false">IF(H165&lt;20,"Low",IF(H165&lt;=60,"Medium","High"))</f>
        <v>High</v>
      </c>
      <c r="Q165" s="1" t="str">
        <f aca="false">IF(I165&gt;0,"Yes","No")</f>
        <v>Yes</v>
      </c>
      <c r="R165" s="1" t="n">
        <f aca="false">IF(N165="Yes",1,0)</f>
        <v>0</v>
      </c>
    </row>
    <row r="166" customFormat="false" ht="15" hidden="false" customHeight="true" outlineLevel="0" collapsed="false">
      <c r="A166" s="1" t="str">
        <f aca="false">'Cleaned Data'!A166</f>
        <v>S00162</v>
      </c>
      <c r="B166" s="1" t="str">
        <f aca="false">'Cleaned Data'!B166</f>
        <v>P9575</v>
      </c>
      <c r="C166" s="1" t="str">
        <f aca="false">'Cleaned Data'!C166</f>
        <v>robertsoncynthia</v>
      </c>
      <c r="D166" s="1" t="str">
        <f aca="false">'Cleaned Data'!D166</f>
        <v>Empire Wars</v>
      </c>
      <c r="E166" s="1" t="str">
        <f aca="false">'Cleaned Data'!E166</f>
        <v>Mobile</v>
      </c>
      <c r="F166" s="1" t="str">
        <f aca="false">'Cleaned Data'!F166</f>
        <v>North-East</v>
      </c>
      <c r="G166" s="23" t="n">
        <f aca="false">'Cleaned Data'!G166</f>
        <v>45701</v>
      </c>
      <c r="H166" s="1" t="n">
        <f aca="false">'Cleaned Data'!H166</f>
        <v>8</v>
      </c>
      <c r="I166" s="24" t="n">
        <f aca="false">'Cleaned Data'!I166</f>
        <v>0</v>
      </c>
      <c r="J166" s="1" t="str">
        <f aca="false">'Cleaned Data'!J166</f>
        <v>None</v>
      </c>
      <c r="K166" s="1" t="str">
        <f aca="false">'Cleaned Data'!K166</f>
        <v>Exited Early</v>
      </c>
      <c r="L166" s="1" t="str">
        <f aca="false">'Cleaned Data'!L166</f>
        <v>Free</v>
      </c>
      <c r="M166" s="1" t="n">
        <f aca="false">'Cleaned Data'!M166</f>
        <v>31</v>
      </c>
      <c r="N166" s="1" t="str">
        <f aca="false">'Cleaned Data'!N166</f>
        <v>No</v>
      </c>
      <c r="O166" s="1" t="str">
        <f aca="false">TEXT(G166,"yyyy-mm")</f>
        <v>2025-02</v>
      </c>
      <c r="P166" s="1" t="str">
        <f aca="false">IF(H166&lt;20,"Low",IF(H166&lt;=60,"Medium","High"))</f>
        <v>Low</v>
      </c>
      <c r="Q166" s="1" t="str">
        <f aca="false">IF(I166&gt;0,"Yes","No")</f>
        <v>No</v>
      </c>
      <c r="R166" s="1" t="n">
        <f aca="false">IF(N166="Yes",1,0)</f>
        <v>0</v>
      </c>
    </row>
    <row r="167" customFormat="false" ht="15" hidden="false" customHeight="true" outlineLevel="0" collapsed="false">
      <c r="A167" s="1" t="str">
        <f aca="false">'Cleaned Data'!A167</f>
        <v>S00163</v>
      </c>
      <c r="B167" s="1" t="str">
        <f aca="false">'Cleaned Data'!B167</f>
        <v>P8379</v>
      </c>
      <c r="C167" s="1" t="str">
        <f aca="false">'Cleaned Data'!C167</f>
        <v>uhudson</v>
      </c>
      <c r="D167" s="1" t="str">
        <f aca="false">'Cleaned Data'!D167</f>
        <v>Clash of Realms</v>
      </c>
      <c r="E167" s="1" t="str">
        <f aca="false">'Cleaned Data'!E167</f>
        <v>Console</v>
      </c>
      <c r="F167" s="1" t="str">
        <f aca="false">'Cleaned Data'!F167</f>
        <v>North-East</v>
      </c>
      <c r="G167" s="23" t="n">
        <f aca="false">'Cleaned Data'!G167</f>
        <v>45658</v>
      </c>
      <c r="H167" s="1" t="n">
        <f aca="false">'Cleaned Data'!H167</f>
        <v>38</v>
      </c>
      <c r="I167" s="24" t="n">
        <f aca="false">'Cleaned Data'!I167</f>
        <v>0</v>
      </c>
      <c r="J167" s="1" t="str">
        <f aca="false">'Cleaned Data'!J167</f>
        <v>None</v>
      </c>
      <c r="K167" s="1" t="str">
        <f aca="false">'Cleaned Data'!K167</f>
        <v>Completed</v>
      </c>
      <c r="L167" s="1" t="str">
        <f aca="false">'Cleaned Data'!L167</f>
        <v>Free</v>
      </c>
      <c r="M167" s="1" t="n">
        <f aca="false">'Cleaned Data'!M167</f>
        <v>21</v>
      </c>
      <c r="N167" s="1" t="str">
        <f aca="false">'Cleaned Data'!N167</f>
        <v>No</v>
      </c>
      <c r="O167" s="1" t="str">
        <f aca="false">TEXT(G167,"yyyy-mm")</f>
        <v>2025-01</v>
      </c>
      <c r="P167" s="1" t="str">
        <f aca="false">IF(H167&lt;20,"Low",IF(H167&lt;=60,"Medium","High"))</f>
        <v>Medium</v>
      </c>
      <c r="Q167" s="1" t="str">
        <f aca="false">IF(I167&gt;0,"Yes","No")</f>
        <v>No</v>
      </c>
      <c r="R167" s="1" t="n">
        <f aca="false">IF(N167="Yes",1,0)</f>
        <v>0</v>
      </c>
    </row>
    <row r="168" customFormat="false" ht="15" hidden="false" customHeight="true" outlineLevel="0" collapsed="false">
      <c r="A168" s="1" t="str">
        <f aca="false">'Cleaned Data'!A168</f>
        <v>S00164</v>
      </c>
      <c r="B168" s="1" t="str">
        <f aca="false">'Cleaned Data'!B168</f>
        <v>P4355</v>
      </c>
      <c r="C168" s="1" t="str">
        <f aca="false">'Cleaned Data'!C168</f>
        <v>victoriastone</v>
      </c>
      <c r="D168" s="1" t="str">
        <f aca="false">'Cleaned Data'!D168</f>
        <v>BattleZone</v>
      </c>
      <c r="E168" s="1" t="str">
        <f aca="false">'Cleaned Data'!E168</f>
        <v>PC</v>
      </c>
      <c r="F168" s="1" t="str">
        <f aca="false">'Cleaned Data'!F168</f>
        <v>North-East</v>
      </c>
      <c r="G168" s="23" t="n">
        <f aca="false">'Cleaned Data'!G168</f>
        <v>45782</v>
      </c>
      <c r="H168" s="1" t="n">
        <f aca="false">'Cleaned Data'!H168</f>
        <v>94</v>
      </c>
      <c r="I168" s="24" t="n">
        <f aca="false">'Cleaned Data'!I168</f>
        <v>0</v>
      </c>
      <c r="J168" s="1" t="str">
        <f aca="false">'Cleaned Data'!J168</f>
        <v>None</v>
      </c>
      <c r="K168" s="1" t="str">
        <f aca="false">'Cleaned Data'!K168</f>
        <v>Exited Early</v>
      </c>
      <c r="L168" s="1" t="str">
        <f aca="false">'Cleaned Data'!L168</f>
        <v>Free</v>
      </c>
      <c r="M168" s="1" t="n">
        <f aca="false">'Cleaned Data'!M168</f>
        <v>23</v>
      </c>
      <c r="N168" s="1" t="str">
        <f aca="false">'Cleaned Data'!N168</f>
        <v>No</v>
      </c>
      <c r="O168" s="1" t="str">
        <f aca="false">TEXT(G168,"yyyy-mm")</f>
        <v>2025-05</v>
      </c>
      <c r="P168" s="1" t="str">
        <f aca="false">IF(H168&lt;20,"Low",IF(H168&lt;=60,"Medium","High"))</f>
        <v>High</v>
      </c>
      <c r="Q168" s="1" t="str">
        <f aca="false">IF(I168&gt;0,"Yes","No")</f>
        <v>No</v>
      </c>
      <c r="R168" s="1" t="n">
        <f aca="false">IF(N168="Yes",1,0)</f>
        <v>0</v>
      </c>
    </row>
    <row r="169" customFormat="false" ht="15" hidden="false" customHeight="true" outlineLevel="0" collapsed="false">
      <c r="A169" s="1" t="str">
        <f aca="false">'Cleaned Data'!A169</f>
        <v>S00165</v>
      </c>
      <c r="B169" s="1" t="str">
        <f aca="false">'Cleaned Data'!B169</f>
        <v>P6225</v>
      </c>
      <c r="C169" s="1" t="str">
        <f aca="false">'Cleaned Data'!C169</f>
        <v>adam91</v>
      </c>
      <c r="D169" s="1" t="str">
        <f aca="false">'Cleaned Data'!D169</f>
        <v>BattleZone</v>
      </c>
      <c r="E169" s="1" t="str">
        <f aca="false">'Cleaned Data'!E169</f>
        <v>PC</v>
      </c>
      <c r="F169" s="1" t="str">
        <f aca="false">'Cleaned Data'!F169</f>
        <v>East</v>
      </c>
      <c r="G169" s="23" t="n">
        <f aca="false">'Cleaned Data'!G169</f>
        <v>45738</v>
      </c>
      <c r="H169" s="1" t="n">
        <f aca="false">'Cleaned Data'!H169</f>
        <v>139</v>
      </c>
      <c r="I169" s="24" t="n">
        <f aca="false">'Cleaned Data'!I169</f>
        <v>0</v>
      </c>
      <c r="J169" s="1" t="str">
        <f aca="false">'Cleaned Data'!J169</f>
        <v>None</v>
      </c>
      <c r="K169" s="1" t="str">
        <f aca="false">'Cleaned Data'!K169</f>
        <v>Completed</v>
      </c>
      <c r="L169" s="1" t="str">
        <f aca="false">'Cleaned Data'!L169</f>
        <v>Free</v>
      </c>
      <c r="M169" s="1" t="n">
        <f aca="false">'Cleaned Data'!M169</f>
        <v>26</v>
      </c>
      <c r="N169" s="1" t="str">
        <f aca="false">'Cleaned Data'!N169</f>
        <v>No</v>
      </c>
      <c r="O169" s="1" t="str">
        <f aca="false">TEXT(G169,"yyyy-mm")</f>
        <v>2025-03</v>
      </c>
      <c r="P169" s="1" t="str">
        <f aca="false">IF(H169&lt;20,"Low",IF(H169&lt;=60,"Medium","High"))</f>
        <v>High</v>
      </c>
      <c r="Q169" s="1" t="str">
        <f aca="false">IF(I169&gt;0,"Yes","No")</f>
        <v>No</v>
      </c>
      <c r="R169" s="1" t="n">
        <f aca="false">IF(N169="Yes",1,0)</f>
        <v>0</v>
      </c>
    </row>
    <row r="170" customFormat="false" ht="15" hidden="false" customHeight="true" outlineLevel="0" collapsed="false">
      <c r="A170" s="1" t="str">
        <f aca="false">'Cleaned Data'!A170</f>
        <v>S00166</v>
      </c>
      <c r="B170" s="1" t="str">
        <f aca="false">'Cleaned Data'!B170</f>
        <v>P9011</v>
      </c>
      <c r="C170" s="1" t="str">
        <f aca="false">'Cleaned Data'!C170</f>
        <v>robertroberts</v>
      </c>
      <c r="D170" s="1" t="str">
        <f aca="false">'Cleaned Data'!D170</f>
        <v>BattleZone</v>
      </c>
      <c r="E170" s="1" t="str">
        <f aca="false">'Cleaned Data'!E170</f>
        <v>Console</v>
      </c>
      <c r="F170" s="1" t="str">
        <f aca="false">'Cleaned Data'!F170</f>
        <v>East</v>
      </c>
      <c r="G170" s="23" t="n">
        <f aca="false">'Cleaned Data'!G170</f>
        <v>45794</v>
      </c>
      <c r="H170" s="1" t="n">
        <f aca="false">'Cleaned Data'!H170</f>
        <v>153</v>
      </c>
      <c r="I170" s="24" t="n">
        <f aca="false">'Cleaned Data'!I170</f>
        <v>0</v>
      </c>
      <c r="J170" s="1" t="str">
        <f aca="false">'Cleaned Data'!J170</f>
        <v>None</v>
      </c>
      <c r="K170" s="1" t="str">
        <f aca="false">'Cleaned Data'!K170</f>
        <v>Completed</v>
      </c>
      <c r="L170" s="1" t="str">
        <f aca="false">'Cleaned Data'!L170</f>
        <v>Free</v>
      </c>
      <c r="M170" s="1" t="n">
        <f aca="false">'Cleaned Data'!M170</f>
        <v>45</v>
      </c>
      <c r="N170" s="1" t="str">
        <f aca="false">'Cleaned Data'!N170</f>
        <v>Yes</v>
      </c>
      <c r="O170" s="1" t="str">
        <f aca="false">TEXT(G170,"yyyy-mm")</f>
        <v>2025-05</v>
      </c>
      <c r="P170" s="1" t="str">
        <f aca="false">IF(H170&lt;20,"Low",IF(H170&lt;=60,"Medium","High"))</f>
        <v>High</v>
      </c>
      <c r="Q170" s="1" t="str">
        <f aca="false">IF(I170&gt;0,"Yes","No")</f>
        <v>No</v>
      </c>
      <c r="R170" s="1" t="n">
        <f aca="false">IF(N170="Yes",1,0)</f>
        <v>1</v>
      </c>
    </row>
    <row r="171" customFormat="false" ht="15" hidden="false" customHeight="true" outlineLevel="0" collapsed="false">
      <c r="A171" s="1" t="str">
        <f aca="false">'Cleaned Data'!A171</f>
        <v>S00167</v>
      </c>
      <c r="B171" s="1" t="str">
        <f aca="false">'Cleaned Data'!B171</f>
        <v>P4379</v>
      </c>
      <c r="C171" s="1" t="str">
        <f aca="false">'Cleaned Data'!C171</f>
        <v>walkerdeborah</v>
      </c>
      <c r="D171" s="1" t="str">
        <f aca="false">'Cleaned Data'!D171</f>
        <v>BattleZone</v>
      </c>
      <c r="E171" s="1" t="str">
        <f aca="false">'Cleaned Data'!E171</f>
        <v>Mobile</v>
      </c>
      <c r="F171" s="1" t="str">
        <f aca="false">'Cleaned Data'!F171</f>
        <v>West</v>
      </c>
      <c r="G171" s="23" t="n">
        <f aca="false">'Cleaned Data'!G171</f>
        <v>45763</v>
      </c>
      <c r="H171" s="1" t="n">
        <f aca="false">'Cleaned Data'!H171</f>
        <v>116</v>
      </c>
      <c r="I171" s="24" t="n">
        <f aca="false">'Cleaned Data'!I171</f>
        <v>47.47</v>
      </c>
      <c r="J171" s="1" t="str">
        <f aca="false">'Cleaned Data'!J171</f>
        <v>Subscriptions</v>
      </c>
      <c r="K171" s="1" t="str">
        <f aca="false">'Cleaned Data'!K171</f>
        <v>Completed</v>
      </c>
      <c r="L171" s="1" t="str">
        <f aca="false">'Cleaned Data'!L171</f>
        <v>Paid</v>
      </c>
      <c r="M171" s="1" t="n">
        <f aca="false">'Cleaned Data'!M171</f>
        <v>1</v>
      </c>
      <c r="N171" s="1" t="str">
        <f aca="false">'Cleaned Data'!N171</f>
        <v>Yes</v>
      </c>
      <c r="O171" s="1" t="str">
        <f aca="false">TEXT(G171,"yyyy-mm")</f>
        <v>2025-04</v>
      </c>
      <c r="P171" s="1" t="str">
        <f aca="false">IF(H171&lt;20,"Low",IF(H171&lt;=60,"Medium","High"))</f>
        <v>High</v>
      </c>
      <c r="Q171" s="1" t="str">
        <f aca="false">IF(I171&gt;0,"Yes","No")</f>
        <v>Yes</v>
      </c>
      <c r="R171" s="1" t="n">
        <f aca="false">IF(N171="Yes",1,0)</f>
        <v>1</v>
      </c>
    </row>
    <row r="172" customFormat="false" ht="15" hidden="false" customHeight="true" outlineLevel="0" collapsed="false">
      <c r="A172" s="1" t="str">
        <f aca="false">'Cleaned Data'!A172</f>
        <v>S00168</v>
      </c>
      <c r="B172" s="1" t="str">
        <f aca="false">'Cleaned Data'!B172</f>
        <v>P6734</v>
      </c>
      <c r="C172" s="1" t="str">
        <f aca="false">'Cleaned Data'!C172</f>
        <v>whitemary</v>
      </c>
      <c r="D172" s="1" t="str">
        <f aca="false">'Cleaned Data'!D172</f>
        <v>SpeedX</v>
      </c>
      <c r="E172" s="1" t="str">
        <f aca="false">'Cleaned Data'!E172</f>
        <v>PC</v>
      </c>
      <c r="F172" s="1" t="str">
        <f aca="false">'Cleaned Data'!F172</f>
        <v>North-East</v>
      </c>
      <c r="G172" s="23" t="n">
        <f aca="false">'Cleaned Data'!G172</f>
        <v>45725</v>
      </c>
      <c r="H172" s="1" t="n">
        <f aca="false">'Cleaned Data'!H172</f>
        <v>82</v>
      </c>
      <c r="I172" s="24" t="n">
        <f aca="false">'Cleaned Data'!I172</f>
        <v>0</v>
      </c>
      <c r="J172" s="1" t="str">
        <f aca="false">'Cleaned Data'!J172</f>
        <v>None</v>
      </c>
      <c r="K172" s="1" t="str">
        <f aca="false">'Cleaned Data'!K172</f>
        <v>Exited Early</v>
      </c>
      <c r="L172" s="1" t="str">
        <f aca="false">'Cleaned Data'!L172</f>
        <v>Free</v>
      </c>
      <c r="M172" s="1" t="n">
        <f aca="false">'Cleaned Data'!M172</f>
        <v>17</v>
      </c>
      <c r="N172" s="1" t="str">
        <f aca="false">'Cleaned Data'!N172</f>
        <v>No</v>
      </c>
      <c r="O172" s="1" t="str">
        <f aca="false">TEXT(G172,"yyyy-mm")</f>
        <v>2025-03</v>
      </c>
      <c r="P172" s="1" t="str">
        <f aca="false">IF(H172&lt;20,"Low",IF(H172&lt;=60,"Medium","High"))</f>
        <v>High</v>
      </c>
      <c r="Q172" s="1" t="str">
        <f aca="false">IF(I172&gt;0,"Yes","No")</f>
        <v>No</v>
      </c>
      <c r="R172" s="1" t="n">
        <f aca="false">IF(N172="Yes",1,0)</f>
        <v>0</v>
      </c>
    </row>
    <row r="173" customFormat="false" ht="15" hidden="false" customHeight="true" outlineLevel="0" collapsed="false">
      <c r="A173" s="1" t="str">
        <f aca="false">'Cleaned Data'!A173</f>
        <v>S00169</v>
      </c>
      <c r="B173" s="1" t="str">
        <f aca="false">'Cleaned Data'!B173</f>
        <v>P1828</v>
      </c>
      <c r="C173" s="1" t="str">
        <f aca="false">'Cleaned Data'!C173</f>
        <v>fray</v>
      </c>
      <c r="D173" s="1" t="str">
        <f aca="false">'Cleaned Data'!D173</f>
        <v>SpeedX</v>
      </c>
      <c r="E173" s="1" t="str">
        <f aca="false">'Cleaned Data'!E173</f>
        <v>Mobile</v>
      </c>
      <c r="F173" s="1" t="str">
        <f aca="false">'Cleaned Data'!F173</f>
        <v>North</v>
      </c>
      <c r="G173" s="23" t="n">
        <f aca="false">'Cleaned Data'!G173</f>
        <v>45762</v>
      </c>
      <c r="H173" s="1" t="n">
        <f aca="false">'Cleaned Data'!H173</f>
        <v>35</v>
      </c>
      <c r="I173" s="24" t="n">
        <f aca="false">'Cleaned Data'!I173</f>
        <v>0</v>
      </c>
      <c r="J173" s="1" t="str">
        <f aca="false">'Cleaned Data'!J173</f>
        <v>None</v>
      </c>
      <c r="K173" s="1" t="str">
        <f aca="false">'Cleaned Data'!K173</f>
        <v>Completed</v>
      </c>
      <c r="L173" s="1" t="str">
        <f aca="false">'Cleaned Data'!L173</f>
        <v>Free</v>
      </c>
      <c r="M173" s="1" t="n">
        <f aca="false">'Cleaned Data'!M173</f>
        <v>46</v>
      </c>
      <c r="N173" s="1" t="str">
        <f aca="false">'Cleaned Data'!N173</f>
        <v>No</v>
      </c>
      <c r="O173" s="1" t="str">
        <f aca="false">TEXT(G173,"yyyy-mm")</f>
        <v>2025-04</v>
      </c>
      <c r="P173" s="1" t="str">
        <f aca="false">IF(H173&lt;20,"Low",IF(H173&lt;=60,"Medium","High"))</f>
        <v>Medium</v>
      </c>
      <c r="Q173" s="1" t="str">
        <f aca="false">IF(I173&gt;0,"Yes","No")</f>
        <v>No</v>
      </c>
      <c r="R173" s="1" t="n">
        <f aca="false">IF(N173="Yes",1,0)</f>
        <v>0</v>
      </c>
    </row>
    <row r="174" customFormat="false" ht="15" hidden="false" customHeight="true" outlineLevel="0" collapsed="false">
      <c r="A174" s="1" t="str">
        <f aca="false">'Cleaned Data'!A174</f>
        <v>S00170</v>
      </c>
      <c r="B174" s="1" t="str">
        <f aca="false">'Cleaned Data'!B174</f>
        <v>P1330</v>
      </c>
      <c r="C174" s="1" t="str">
        <f aca="false">'Cleaned Data'!C174</f>
        <v>weaverdaniel</v>
      </c>
      <c r="D174" s="1" t="str">
        <f aca="false">'Cleaned Data'!D174</f>
        <v>Zombie Rush</v>
      </c>
      <c r="E174" s="1" t="str">
        <f aca="false">'Cleaned Data'!E174</f>
        <v>PC</v>
      </c>
      <c r="F174" s="1" t="str">
        <f aca="false">'Cleaned Data'!F174</f>
        <v>West</v>
      </c>
      <c r="G174" s="23" t="n">
        <f aca="false">'Cleaned Data'!G174</f>
        <v>45816</v>
      </c>
      <c r="H174" s="1" t="n">
        <f aca="false">'Cleaned Data'!H174</f>
        <v>168</v>
      </c>
      <c r="I174" s="24" t="n">
        <f aca="false">'Cleaned Data'!I174</f>
        <v>0</v>
      </c>
      <c r="J174" s="1" t="str">
        <f aca="false">'Cleaned Data'!J174</f>
        <v>None</v>
      </c>
      <c r="K174" s="1" t="str">
        <f aca="false">'Cleaned Data'!K174</f>
        <v>Completed</v>
      </c>
      <c r="L174" s="1" t="str">
        <f aca="false">'Cleaned Data'!L174</f>
        <v>Free</v>
      </c>
      <c r="M174" s="1" t="n">
        <f aca="false">'Cleaned Data'!M174</f>
        <v>18</v>
      </c>
      <c r="N174" s="1" t="str">
        <f aca="false">'Cleaned Data'!N174</f>
        <v>Yes</v>
      </c>
      <c r="O174" s="1" t="str">
        <f aca="false">TEXT(G174,"yyyy-mm")</f>
        <v>2025-06</v>
      </c>
      <c r="P174" s="1" t="str">
        <f aca="false">IF(H174&lt;20,"Low",IF(H174&lt;=60,"Medium","High"))</f>
        <v>High</v>
      </c>
      <c r="Q174" s="1" t="str">
        <f aca="false">IF(I174&gt;0,"Yes","No")</f>
        <v>No</v>
      </c>
      <c r="R174" s="1" t="n">
        <f aca="false">IF(N174="Yes",1,0)</f>
        <v>1</v>
      </c>
    </row>
    <row r="175" customFormat="false" ht="15" hidden="false" customHeight="true" outlineLevel="0" collapsed="false">
      <c r="A175" s="1" t="str">
        <f aca="false">'Cleaned Data'!A175</f>
        <v>S00171</v>
      </c>
      <c r="B175" s="1" t="str">
        <f aca="false">'Cleaned Data'!B175</f>
        <v>P4426</v>
      </c>
      <c r="C175" s="1" t="str">
        <f aca="false">'Cleaned Data'!C175</f>
        <v>joe22</v>
      </c>
      <c r="D175" s="1" t="str">
        <f aca="false">'Cleaned Data'!D175</f>
        <v>Clash of Realms</v>
      </c>
      <c r="E175" s="1" t="str">
        <f aca="false">'Cleaned Data'!E175</f>
        <v>Console</v>
      </c>
      <c r="F175" s="1" t="str">
        <f aca="false">'Cleaned Data'!F175</f>
        <v>North-East</v>
      </c>
      <c r="G175" s="23" t="n">
        <f aca="false">'Cleaned Data'!G175</f>
        <v>45756</v>
      </c>
      <c r="H175" s="1" t="n">
        <f aca="false">'Cleaned Data'!H175</f>
        <v>123</v>
      </c>
      <c r="I175" s="24" t="n">
        <f aca="false">'Cleaned Data'!I175</f>
        <v>0</v>
      </c>
      <c r="J175" s="1" t="str">
        <f aca="false">'Cleaned Data'!J175</f>
        <v>None</v>
      </c>
      <c r="K175" s="1" t="str">
        <f aca="false">'Cleaned Data'!K175</f>
        <v>Crashed</v>
      </c>
      <c r="L175" s="1" t="str">
        <f aca="false">'Cleaned Data'!L175</f>
        <v>Paid</v>
      </c>
      <c r="M175" s="1" t="n">
        <f aca="false">'Cleaned Data'!M175</f>
        <v>47</v>
      </c>
      <c r="N175" s="1" t="str">
        <f aca="false">'Cleaned Data'!N175</f>
        <v>No</v>
      </c>
      <c r="O175" s="1" t="str">
        <f aca="false">TEXT(G175,"yyyy-mm")</f>
        <v>2025-04</v>
      </c>
      <c r="P175" s="1" t="str">
        <f aca="false">IF(H175&lt;20,"Low",IF(H175&lt;=60,"Medium","High"))</f>
        <v>High</v>
      </c>
      <c r="Q175" s="1" t="str">
        <f aca="false">IF(I175&gt;0,"Yes","No")</f>
        <v>No</v>
      </c>
      <c r="R175" s="1" t="n">
        <f aca="false">IF(N175="Yes",1,0)</f>
        <v>0</v>
      </c>
    </row>
    <row r="176" customFormat="false" ht="15" hidden="false" customHeight="true" outlineLevel="0" collapsed="false">
      <c r="A176" s="1" t="str">
        <f aca="false">'Cleaned Data'!A176</f>
        <v>S00172</v>
      </c>
      <c r="B176" s="1" t="str">
        <f aca="false">'Cleaned Data'!B176</f>
        <v>P7943</v>
      </c>
      <c r="C176" s="1" t="str">
        <f aca="false">'Cleaned Data'!C176</f>
        <v>vaughnlori</v>
      </c>
      <c r="D176" s="1" t="str">
        <f aca="false">'Cleaned Data'!D176</f>
        <v>Clash of Realms</v>
      </c>
      <c r="E176" s="1" t="str">
        <f aca="false">'Cleaned Data'!E176</f>
        <v>Mobile</v>
      </c>
      <c r="F176" s="1" t="str">
        <f aca="false">'Cleaned Data'!F176</f>
        <v>West</v>
      </c>
      <c r="G176" s="23" t="n">
        <f aca="false">'Cleaned Data'!G176</f>
        <v>45790</v>
      </c>
      <c r="H176" s="1" t="n">
        <f aca="false">'Cleaned Data'!H176</f>
        <v>41</v>
      </c>
      <c r="I176" s="24" t="n">
        <f aca="false">'Cleaned Data'!I176</f>
        <v>33.29</v>
      </c>
      <c r="J176" s="1" t="str">
        <f aca="false">'Cleaned Data'!J176</f>
        <v>Boosters</v>
      </c>
      <c r="K176" s="1" t="str">
        <f aca="false">'Cleaned Data'!K176</f>
        <v>Completed</v>
      </c>
      <c r="L176" s="1" t="str">
        <f aca="false">'Cleaned Data'!L176</f>
        <v>Paid</v>
      </c>
      <c r="M176" s="1" t="n">
        <f aca="false">'Cleaned Data'!M176</f>
        <v>29</v>
      </c>
      <c r="N176" s="1" t="str">
        <f aca="false">'Cleaned Data'!N176</f>
        <v>No</v>
      </c>
      <c r="O176" s="1" t="str">
        <f aca="false">TEXT(G176,"yyyy-mm")</f>
        <v>2025-05</v>
      </c>
      <c r="P176" s="1" t="str">
        <f aca="false">IF(H176&lt;20,"Low",IF(H176&lt;=60,"Medium","High"))</f>
        <v>Medium</v>
      </c>
      <c r="Q176" s="1" t="str">
        <f aca="false">IF(I176&gt;0,"Yes","No")</f>
        <v>Yes</v>
      </c>
      <c r="R176" s="1" t="n">
        <f aca="false">IF(N176="Yes",1,0)</f>
        <v>0</v>
      </c>
    </row>
    <row r="177" customFormat="false" ht="15" hidden="false" customHeight="true" outlineLevel="0" collapsed="false">
      <c r="A177" s="1" t="str">
        <f aca="false">'Cleaned Data'!A177</f>
        <v>S00173</v>
      </c>
      <c r="B177" s="1" t="str">
        <f aca="false">'Cleaned Data'!B177</f>
        <v>P7565</v>
      </c>
      <c r="C177" s="1" t="str">
        <f aca="false">'Cleaned Data'!C177</f>
        <v>ambersmith</v>
      </c>
      <c r="D177" s="1" t="str">
        <f aca="false">'Cleaned Data'!D177</f>
        <v>Zombie Rush</v>
      </c>
      <c r="E177" s="1" t="str">
        <f aca="false">'Cleaned Data'!E177</f>
        <v>Console</v>
      </c>
      <c r="F177" s="1" t="str">
        <f aca="false">'Cleaned Data'!F177</f>
        <v>Central</v>
      </c>
      <c r="G177" s="23" t="n">
        <f aca="false">'Cleaned Data'!G177</f>
        <v>45656</v>
      </c>
      <c r="H177" s="1" t="n">
        <f aca="false">'Cleaned Data'!H177</f>
        <v>156</v>
      </c>
      <c r="I177" s="24" t="n">
        <f aca="false">'Cleaned Data'!I177</f>
        <v>0</v>
      </c>
      <c r="J177" s="1" t="str">
        <f aca="false">'Cleaned Data'!J177</f>
        <v>None</v>
      </c>
      <c r="K177" s="1" t="str">
        <f aca="false">'Cleaned Data'!K177</f>
        <v>Completed</v>
      </c>
      <c r="L177" s="1" t="str">
        <f aca="false">'Cleaned Data'!L177</f>
        <v>Free</v>
      </c>
      <c r="M177" s="1" t="n">
        <f aca="false">'Cleaned Data'!M177</f>
        <v>34</v>
      </c>
      <c r="N177" s="1" t="str">
        <f aca="false">'Cleaned Data'!N177</f>
        <v>Yes</v>
      </c>
      <c r="O177" s="1" t="str">
        <f aca="false">TEXT(G177,"yyyy-mm")</f>
        <v>2024-12</v>
      </c>
      <c r="P177" s="1" t="str">
        <f aca="false">IF(H177&lt;20,"Low",IF(H177&lt;=60,"Medium","High"))</f>
        <v>High</v>
      </c>
      <c r="Q177" s="1" t="str">
        <f aca="false">IF(I177&gt;0,"Yes","No")</f>
        <v>No</v>
      </c>
      <c r="R177" s="1" t="n">
        <f aca="false">IF(N177="Yes",1,0)</f>
        <v>1</v>
      </c>
    </row>
    <row r="178" customFormat="false" ht="15" hidden="false" customHeight="true" outlineLevel="0" collapsed="false">
      <c r="A178" s="1" t="str">
        <f aca="false">'Cleaned Data'!A178</f>
        <v>S00174</v>
      </c>
      <c r="B178" s="1" t="str">
        <f aca="false">'Cleaned Data'!B178</f>
        <v>P4796</v>
      </c>
      <c r="C178" s="1" t="str">
        <f aca="false">'Cleaned Data'!C178</f>
        <v>okoch</v>
      </c>
      <c r="D178" s="1" t="str">
        <f aca="false">'Cleaned Data'!D178</f>
        <v>Clash of Realms</v>
      </c>
      <c r="E178" s="1" t="str">
        <f aca="false">'Cleaned Data'!E178</f>
        <v>PC</v>
      </c>
      <c r="F178" s="1" t="str">
        <f aca="false">'Cleaned Data'!F178</f>
        <v>West</v>
      </c>
      <c r="G178" s="23" t="n">
        <f aca="false">'Cleaned Data'!G178</f>
        <v>45716</v>
      </c>
      <c r="H178" s="1" t="n">
        <f aca="false">'Cleaned Data'!H178</f>
        <v>84</v>
      </c>
      <c r="I178" s="24" t="n">
        <f aca="false">'Cleaned Data'!I178</f>
        <v>0</v>
      </c>
      <c r="J178" s="1" t="str">
        <f aca="false">'Cleaned Data'!J178</f>
        <v>None</v>
      </c>
      <c r="K178" s="1" t="str">
        <f aca="false">'Cleaned Data'!K178</f>
        <v>Completed</v>
      </c>
      <c r="L178" s="1" t="str">
        <f aca="false">'Cleaned Data'!L178</f>
        <v>Free</v>
      </c>
      <c r="M178" s="1" t="n">
        <f aca="false">'Cleaned Data'!M178</f>
        <v>15</v>
      </c>
      <c r="N178" s="1" t="str">
        <f aca="false">'Cleaned Data'!N178</f>
        <v>No</v>
      </c>
      <c r="O178" s="1" t="str">
        <f aca="false">TEXT(G178,"yyyy-mm")</f>
        <v>2025-02</v>
      </c>
      <c r="P178" s="1" t="str">
        <f aca="false">IF(H178&lt;20,"Low",IF(H178&lt;=60,"Medium","High"))</f>
        <v>High</v>
      </c>
      <c r="Q178" s="1" t="str">
        <f aca="false">IF(I178&gt;0,"Yes","No")</f>
        <v>No</v>
      </c>
      <c r="R178" s="1" t="n">
        <f aca="false">IF(N178="Yes",1,0)</f>
        <v>0</v>
      </c>
    </row>
    <row r="179" customFormat="false" ht="15" hidden="false" customHeight="true" outlineLevel="0" collapsed="false">
      <c r="A179" s="1" t="str">
        <f aca="false">'Cleaned Data'!A179</f>
        <v>S00175</v>
      </c>
      <c r="B179" s="1" t="str">
        <f aca="false">'Cleaned Data'!B179</f>
        <v>P6406</v>
      </c>
      <c r="C179" s="1" t="str">
        <f aca="false">'Cleaned Data'!C179</f>
        <v>shannonevans</v>
      </c>
      <c r="D179" s="1" t="str">
        <f aca="false">'Cleaned Data'!D179</f>
        <v>SpeedX</v>
      </c>
      <c r="E179" s="1" t="str">
        <f aca="false">'Cleaned Data'!E179</f>
        <v>Console</v>
      </c>
      <c r="F179" s="1" t="str">
        <f aca="false">'Cleaned Data'!F179</f>
        <v>East</v>
      </c>
      <c r="G179" s="23" t="n">
        <f aca="false">'Cleaned Data'!G179</f>
        <v>45715</v>
      </c>
      <c r="H179" s="1" t="n">
        <f aca="false">'Cleaned Data'!H179</f>
        <v>138</v>
      </c>
      <c r="I179" s="24" t="n">
        <f aca="false">'Cleaned Data'!I179</f>
        <v>27.01</v>
      </c>
      <c r="J179" s="1" t="str">
        <f aca="false">'Cleaned Data'!J179</f>
        <v>Boosters</v>
      </c>
      <c r="K179" s="1" t="str">
        <f aca="false">'Cleaned Data'!K179</f>
        <v>Completed</v>
      </c>
      <c r="L179" s="1" t="str">
        <f aca="false">'Cleaned Data'!L179</f>
        <v>Paid</v>
      </c>
      <c r="M179" s="1" t="n">
        <f aca="false">'Cleaned Data'!M179</f>
        <v>18</v>
      </c>
      <c r="N179" s="1" t="str">
        <f aca="false">'Cleaned Data'!N179</f>
        <v>No</v>
      </c>
      <c r="O179" s="1" t="str">
        <f aca="false">TEXT(G179,"yyyy-mm")</f>
        <v>2025-02</v>
      </c>
      <c r="P179" s="1" t="str">
        <f aca="false">IF(H179&lt;20,"Low",IF(H179&lt;=60,"Medium","High"))</f>
        <v>High</v>
      </c>
      <c r="Q179" s="1" t="str">
        <f aca="false">IF(I179&gt;0,"Yes","No")</f>
        <v>Yes</v>
      </c>
      <c r="R179" s="1" t="n">
        <f aca="false">IF(N179="Yes",1,0)</f>
        <v>0</v>
      </c>
    </row>
    <row r="180" customFormat="false" ht="15" hidden="false" customHeight="true" outlineLevel="0" collapsed="false">
      <c r="A180" s="1" t="str">
        <f aca="false">'Cleaned Data'!A180</f>
        <v>S00176</v>
      </c>
      <c r="B180" s="1" t="str">
        <f aca="false">'Cleaned Data'!B180</f>
        <v>P3229</v>
      </c>
      <c r="C180" s="1" t="str">
        <f aca="false">'Cleaned Data'!C180</f>
        <v>gina94</v>
      </c>
      <c r="D180" s="1" t="str">
        <f aca="false">'Cleaned Data'!D180</f>
        <v>Empire Wars</v>
      </c>
      <c r="E180" s="1" t="str">
        <f aca="false">'Cleaned Data'!E180</f>
        <v>Mobile</v>
      </c>
      <c r="F180" s="1" t="str">
        <f aca="false">'Cleaned Data'!F180</f>
        <v>West</v>
      </c>
      <c r="G180" s="23" t="n">
        <f aca="false">'Cleaned Data'!G180</f>
        <v>45794</v>
      </c>
      <c r="H180" s="1" t="n">
        <f aca="false">'Cleaned Data'!H180</f>
        <v>26</v>
      </c>
      <c r="I180" s="24" t="n">
        <f aca="false">'Cleaned Data'!I180</f>
        <v>0</v>
      </c>
      <c r="J180" s="1" t="str">
        <f aca="false">'Cleaned Data'!J180</f>
        <v>None</v>
      </c>
      <c r="K180" s="1" t="str">
        <f aca="false">'Cleaned Data'!K180</f>
        <v>Completed</v>
      </c>
      <c r="L180" s="1" t="str">
        <f aca="false">'Cleaned Data'!L180</f>
        <v>Free</v>
      </c>
      <c r="M180" s="1" t="n">
        <f aca="false">'Cleaned Data'!M180</f>
        <v>22</v>
      </c>
      <c r="N180" s="1" t="str">
        <f aca="false">'Cleaned Data'!N180</f>
        <v>No</v>
      </c>
      <c r="O180" s="1" t="str">
        <f aca="false">TEXT(G180,"yyyy-mm")</f>
        <v>2025-05</v>
      </c>
      <c r="P180" s="1" t="str">
        <f aca="false">IF(H180&lt;20,"Low",IF(H180&lt;=60,"Medium","High"))</f>
        <v>Medium</v>
      </c>
      <c r="Q180" s="1" t="str">
        <f aca="false">IF(I180&gt;0,"Yes","No")</f>
        <v>No</v>
      </c>
      <c r="R180" s="1" t="n">
        <f aca="false">IF(N180="Yes",1,0)</f>
        <v>0</v>
      </c>
    </row>
    <row r="181" customFormat="false" ht="15" hidden="false" customHeight="true" outlineLevel="0" collapsed="false">
      <c r="A181" s="1" t="str">
        <f aca="false">'Cleaned Data'!A181</f>
        <v>S00177</v>
      </c>
      <c r="B181" s="1" t="str">
        <f aca="false">'Cleaned Data'!B181</f>
        <v>P4485</v>
      </c>
      <c r="C181" s="1" t="str">
        <f aca="false">'Cleaned Data'!C181</f>
        <v>iyoung</v>
      </c>
      <c r="D181" s="1" t="str">
        <f aca="false">'Cleaned Data'!D181</f>
        <v>Clash of Realms</v>
      </c>
      <c r="E181" s="1" t="str">
        <f aca="false">'Cleaned Data'!E181</f>
        <v>Mobile</v>
      </c>
      <c r="F181" s="1" t="str">
        <f aca="false">'Cleaned Data'!F181</f>
        <v>East</v>
      </c>
      <c r="G181" s="23" t="n">
        <f aca="false">'Cleaned Data'!G181</f>
        <v>45806</v>
      </c>
      <c r="H181" s="1" t="n">
        <f aca="false">'Cleaned Data'!H181</f>
        <v>111</v>
      </c>
      <c r="I181" s="24" t="n">
        <f aca="false">'Cleaned Data'!I181</f>
        <v>0</v>
      </c>
      <c r="J181" s="1" t="str">
        <f aca="false">'Cleaned Data'!J181</f>
        <v>None</v>
      </c>
      <c r="K181" s="1" t="str">
        <f aca="false">'Cleaned Data'!K181</f>
        <v>Completed</v>
      </c>
      <c r="L181" s="1" t="str">
        <f aca="false">'Cleaned Data'!L181</f>
        <v>Free</v>
      </c>
      <c r="M181" s="1" t="n">
        <f aca="false">'Cleaned Data'!M181</f>
        <v>26</v>
      </c>
      <c r="N181" s="1" t="str">
        <f aca="false">'Cleaned Data'!N181</f>
        <v>No</v>
      </c>
      <c r="O181" s="1" t="str">
        <f aca="false">TEXT(G181,"yyyy-mm")</f>
        <v>2025-05</v>
      </c>
      <c r="P181" s="1" t="str">
        <f aca="false">IF(H181&lt;20,"Low",IF(H181&lt;=60,"Medium","High"))</f>
        <v>High</v>
      </c>
      <c r="Q181" s="1" t="str">
        <f aca="false">IF(I181&gt;0,"Yes","No")</f>
        <v>No</v>
      </c>
      <c r="R181" s="1" t="n">
        <f aca="false">IF(N181="Yes",1,0)</f>
        <v>0</v>
      </c>
    </row>
    <row r="182" customFormat="false" ht="15" hidden="false" customHeight="true" outlineLevel="0" collapsed="false">
      <c r="A182" s="1" t="str">
        <f aca="false">'Cleaned Data'!A182</f>
        <v>S00178</v>
      </c>
      <c r="B182" s="1" t="str">
        <f aca="false">'Cleaned Data'!B182</f>
        <v>P4333</v>
      </c>
      <c r="C182" s="1" t="str">
        <f aca="false">'Cleaned Data'!C182</f>
        <v>matthewcasey</v>
      </c>
      <c r="D182" s="1" t="str">
        <f aca="false">'Cleaned Data'!D182</f>
        <v>Empire Wars</v>
      </c>
      <c r="E182" s="1" t="str">
        <f aca="false">'Cleaned Data'!E182</f>
        <v>Mobile</v>
      </c>
      <c r="F182" s="1" t="str">
        <f aca="false">'Cleaned Data'!F182</f>
        <v>North</v>
      </c>
      <c r="G182" s="23" t="n">
        <f aca="false">'Cleaned Data'!G182</f>
        <v>45662</v>
      </c>
      <c r="H182" s="1" t="n">
        <f aca="false">'Cleaned Data'!H182</f>
        <v>100</v>
      </c>
      <c r="I182" s="24" t="n">
        <f aca="false">'Cleaned Data'!I182</f>
        <v>0</v>
      </c>
      <c r="J182" s="1" t="str">
        <f aca="false">'Cleaned Data'!J182</f>
        <v>None</v>
      </c>
      <c r="K182" s="1" t="str">
        <f aca="false">'Cleaned Data'!K182</f>
        <v>Completed</v>
      </c>
      <c r="L182" s="1" t="str">
        <f aca="false">'Cleaned Data'!L182</f>
        <v>Free</v>
      </c>
      <c r="M182" s="1" t="n">
        <f aca="false">'Cleaned Data'!M182</f>
        <v>7</v>
      </c>
      <c r="N182" s="1" t="str">
        <f aca="false">'Cleaned Data'!N182</f>
        <v>No</v>
      </c>
      <c r="O182" s="1" t="str">
        <f aca="false">TEXT(G182,"yyyy-mm")</f>
        <v>2025-01</v>
      </c>
      <c r="P182" s="1" t="str">
        <f aca="false">IF(H182&lt;20,"Low",IF(H182&lt;=60,"Medium","High"))</f>
        <v>High</v>
      </c>
      <c r="Q182" s="1" t="str">
        <f aca="false">IF(I182&gt;0,"Yes","No")</f>
        <v>No</v>
      </c>
      <c r="R182" s="1" t="n">
        <f aca="false">IF(N182="Yes",1,0)</f>
        <v>0</v>
      </c>
    </row>
    <row r="183" customFormat="false" ht="15" hidden="false" customHeight="true" outlineLevel="0" collapsed="false">
      <c r="A183" s="1" t="str">
        <f aca="false">'Cleaned Data'!A183</f>
        <v>S00179</v>
      </c>
      <c r="B183" s="1" t="str">
        <f aca="false">'Cleaned Data'!B183</f>
        <v>P3013</v>
      </c>
      <c r="C183" s="1" t="str">
        <f aca="false">'Cleaned Data'!C183</f>
        <v>smayo</v>
      </c>
      <c r="D183" s="1" t="str">
        <f aca="false">'Cleaned Data'!D183</f>
        <v>Empire Wars</v>
      </c>
      <c r="E183" s="1" t="str">
        <f aca="false">'Cleaned Data'!E183</f>
        <v>Mobile</v>
      </c>
      <c r="F183" s="1" t="str">
        <f aca="false">'Cleaned Data'!F183</f>
        <v>West</v>
      </c>
      <c r="G183" s="23" t="n">
        <f aca="false">'Cleaned Data'!G183</f>
        <v>45801</v>
      </c>
      <c r="H183" s="1" t="n">
        <f aca="false">'Cleaned Data'!H183</f>
        <v>84</v>
      </c>
      <c r="I183" s="24" t="n">
        <f aca="false">'Cleaned Data'!I183</f>
        <v>0</v>
      </c>
      <c r="J183" s="1" t="str">
        <f aca="false">'Cleaned Data'!J183</f>
        <v>None</v>
      </c>
      <c r="K183" s="1" t="str">
        <f aca="false">'Cleaned Data'!K183</f>
        <v>Completed</v>
      </c>
      <c r="L183" s="1" t="str">
        <f aca="false">'Cleaned Data'!L183</f>
        <v>Free</v>
      </c>
      <c r="M183" s="1" t="n">
        <f aca="false">'Cleaned Data'!M183</f>
        <v>36</v>
      </c>
      <c r="N183" s="1" t="str">
        <f aca="false">'Cleaned Data'!N183</f>
        <v>No</v>
      </c>
      <c r="O183" s="1" t="str">
        <f aca="false">TEXT(G183,"yyyy-mm")</f>
        <v>2025-05</v>
      </c>
      <c r="P183" s="1" t="str">
        <f aca="false">IF(H183&lt;20,"Low",IF(H183&lt;=60,"Medium","High"))</f>
        <v>High</v>
      </c>
      <c r="Q183" s="1" t="str">
        <f aca="false">IF(I183&gt;0,"Yes","No")</f>
        <v>No</v>
      </c>
      <c r="R183" s="1" t="n">
        <f aca="false">IF(N183="Yes",1,0)</f>
        <v>0</v>
      </c>
    </row>
    <row r="184" customFormat="false" ht="15" hidden="false" customHeight="true" outlineLevel="0" collapsed="false">
      <c r="A184" s="1" t="str">
        <f aca="false">'Cleaned Data'!A184</f>
        <v>S00180</v>
      </c>
      <c r="B184" s="1" t="str">
        <f aca="false">'Cleaned Data'!B184</f>
        <v>P9205</v>
      </c>
      <c r="C184" s="1" t="str">
        <f aca="false">'Cleaned Data'!C184</f>
        <v>douglas13</v>
      </c>
      <c r="D184" s="1" t="str">
        <f aca="false">'Cleaned Data'!D184</f>
        <v>Zombie Rush</v>
      </c>
      <c r="E184" s="1" t="str">
        <f aca="false">'Cleaned Data'!E184</f>
        <v>PC</v>
      </c>
      <c r="F184" s="1" t="str">
        <f aca="false">'Cleaned Data'!F184</f>
        <v>South</v>
      </c>
      <c r="G184" s="23" t="n">
        <f aca="false">'Cleaned Data'!G184</f>
        <v>45743</v>
      </c>
      <c r="H184" s="1" t="n">
        <f aca="false">'Cleaned Data'!H184</f>
        <v>90</v>
      </c>
      <c r="I184" s="24" t="n">
        <f aca="false">'Cleaned Data'!I184</f>
        <v>33.43</v>
      </c>
      <c r="J184" s="1" t="str">
        <f aca="false">'Cleaned Data'!J184</f>
        <v>Boosters</v>
      </c>
      <c r="K184" s="1" t="str">
        <f aca="false">'Cleaned Data'!K184</f>
        <v>Exited Early</v>
      </c>
      <c r="L184" s="1" t="str">
        <f aca="false">'Cleaned Data'!L184</f>
        <v>Paid</v>
      </c>
      <c r="M184" s="1" t="n">
        <f aca="false">'Cleaned Data'!M184</f>
        <v>50</v>
      </c>
      <c r="N184" s="1" t="str">
        <f aca="false">'Cleaned Data'!N184</f>
        <v>No</v>
      </c>
      <c r="O184" s="1" t="str">
        <f aca="false">TEXT(G184,"yyyy-mm")</f>
        <v>2025-03</v>
      </c>
      <c r="P184" s="1" t="str">
        <f aca="false">IF(H184&lt;20,"Low",IF(H184&lt;=60,"Medium","High"))</f>
        <v>High</v>
      </c>
      <c r="Q184" s="1" t="str">
        <f aca="false">IF(I184&gt;0,"Yes","No")</f>
        <v>Yes</v>
      </c>
      <c r="R184" s="1" t="n">
        <f aca="false">IF(N184="Yes",1,0)</f>
        <v>0</v>
      </c>
    </row>
    <row r="185" customFormat="false" ht="15" hidden="false" customHeight="true" outlineLevel="0" collapsed="false">
      <c r="A185" s="1" t="str">
        <f aca="false">'Cleaned Data'!A185</f>
        <v>S00181</v>
      </c>
      <c r="B185" s="1" t="str">
        <f aca="false">'Cleaned Data'!B185</f>
        <v>P2490</v>
      </c>
      <c r="C185" s="1" t="str">
        <f aca="false">'Cleaned Data'!C185</f>
        <v>bakerjohn</v>
      </c>
      <c r="D185" s="1" t="str">
        <f aca="false">'Cleaned Data'!D185</f>
        <v>Empire Wars</v>
      </c>
      <c r="E185" s="1" t="str">
        <f aca="false">'Cleaned Data'!E185</f>
        <v>PC</v>
      </c>
      <c r="F185" s="1" t="str">
        <f aca="false">'Cleaned Data'!F185</f>
        <v>North</v>
      </c>
      <c r="G185" s="23" t="n">
        <f aca="false">'Cleaned Data'!G185</f>
        <v>45799</v>
      </c>
      <c r="H185" s="1" t="n">
        <f aca="false">'Cleaned Data'!H185</f>
        <v>61</v>
      </c>
      <c r="I185" s="24" t="n">
        <f aca="false">'Cleaned Data'!I185</f>
        <v>23.71</v>
      </c>
      <c r="J185" s="1" t="str">
        <f aca="false">'Cleaned Data'!J185</f>
        <v>Battle Pass</v>
      </c>
      <c r="K185" s="1" t="str">
        <f aca="false">'Cleaned Data'!K185</f>
        <v>Completed</v>
      </c>
      <c r="L185" s="1" t="str">
        <f aca="false">'Cleaned Data'!L185</f>
        <v>Paid</v>
      </c>
      <c r="M185" s="1" t="n">
        <f aca="false">'Cleaned Data'!M185</f>
        <v>37</v>
      </c>
      <c r="N185" s="1" t="str">
        <f aca="false">'Cleaned Data'!N185</f>
        <v>No</v>
      </c>
      <c r="O185" s="1" t="str">
        <f aca="false">TEXT(G185,"yyyy-mm")</f>
        <v>2025-05</v>
      </c>
      <c r="P185" s="1" t="str">
        <f aca="false">IF(H185&lt;20,"Low",IF(H185&lt;=60,"Medium","High"))</f>
        <v>High</v>
      </c>
      <c r="Q185" s="1" t="str">
        <f aca="false">IF(I185&gt;0,"Yes","No")</f>
        <v>Yes</v>
      </c>
      <c r="R185" s="1" t="n">
        <f aca="false">IF(N185="Yes",1,0)</f>
        <v>0</v>
      </c>
    </row>
    <row r="186" customFormat="false" ht="15" hidden="false" customHeight="true" outlineLevel="0" collapsed="false">
      <c r="A186" s="1" t="str">
        <f aca="false">'Cleaned Data'!A186</f>
        <v>S00182</v>
      </c>
      <c r="B186" s="1" t="str">
        <f aca="false">'Cleaned Data'!B186</f>
        <v>P3609</v>
      </c>
      <c r="C186" s="1" t="str">
        <f aca="false">'Cleaned Data'!C186</f>
        <v>brianlopez</v>
      </c>
      <c r="D186" s="1" t="str">
        <f aca="false">'Cleaned Data'!D186</f>
        <v>Zombie Rush</v>
      </c>
      <c r="E186" s="1" t="str">
        <f aca="false">'Cleaned Data'!E186</f>
        <v>Console</v>
      </c>
      <c r="F186" s="1" t="str">
        <f aca="false">'Cleaned Data'!F186</f>
        <v>North</v>
      </c>
      <c r="G186" s="23" t="n">
        <f aca="false">'Cleaned Data'!G186</f>
        <v>45748</v>
      </c>
      <c r="H186" s="1" t="n">
        <f aca="false">'Cleaned Data'!H186</f>
        <v>88</v>
      </c>
      <c r="I186" s="24" t="n">
        <f aca="false">'Cleaned Data'!I186</f>
        <v>0</v>
      </c>
      <c r="J186" s="1" t="str">
        <f aca="false">'Cleaned Data'!J186</f>
        <v>None</v>
      </c>
      <c r="K186" s="1" t="str">
        <f aca="false">'Cleaned Data'!K186</f>
        <v>Completed</v>
      </c>
      <c r="L186" s="1" t="str">
        <f aca="false">'Cleaned Data'!L186</f>
        <v>Free</v>
      </c>
      <c r="M186" s="1" t="n">
        <f aca="false">'Cleaned Data'!M186</f>
        <v>39</v>
      </c>
      <c r="N186" s="1" t="str">
        <f aca="false">'Cleaned Data'!N186</f>
        <v>No</v>
      </c>
      <c r="O186" s="1" t="str">
        <f aca="false">TEXT(G186,"yyyy-mm")</f>
        <v>2025-04</v>
      </c>
      <c r="P186" s="1" t="str">
        <f aca="false">IF(H186&lt;20,"Low",IF(H186&lt;=60,"Medium","High"))</f>
        <v>High</v>
      </c>
      <c r="Q186" s="1" t="str">
        <f aca="false">IF(I186&gt;0,"Yes","No")</f>
        <v>No</v>
      </c>
      <c r="R186" s="1" t="n">
        <f aca="false">IF(N186="Yes",1,0)</f>
        <v>0</v>
      </c>
    </row>
    <row r="187" customFormat="false" ht="15" hidden="false" customHeight="true" outlineLevel="0" collapsed="false">
      <c r="A187" s="1" t="str">
        <f aca="false">'Cleaned Data'!A187</f>
        <v>S00183</v>
      </c>
      <c r="B187" s="1" t="str">
        <f aca="false">'Cleaned Data'!B187</f>
        <v>P2506</v>
      </c>
      <c r="C187" s="1" t="str">
        <f aca="false">'Cleaned Data'!C187</f>
        <v>troberts</v>
      </c>
      <c r="D187" s="1" t="str">
        <f aca="false">'Cleaned Data'!D187</f>
        <v>BattleZone</v>
      </c>
      <c r="E187" s="1" t="str">
        <f aca="false">'Cleaned Data'!E187</f>
        <v>Console</v>
      </c>
      <c r="F187" s="1" t="str">
        <f aca="false">'Cleaned Data'!F187</f>
        <v>Central</v>
      </c>
      <c r="G187" s="23" t="n">
        <f aca="false">'Cleaned Data'!G187</f>
        <v>45682</v>
      </c>
      <c r="H187" s="1" t="n">
        <f aca="false">'Cleaned Data'!H187</f>
        <v>56</v>
      </c>
      <c r="I187" s="24" t="n">
        <f aca="false">'Cleaned Data'!I187</f>
        <v>0</v>
      </c>
      <c r="J187" s="1" t="str">
        <f aca="false">'Cleaned Data'!J187</f>
        <v>None</v>
      </c>
      <c r="K187" s="1" t="str">
        <f aca="false">'Cleaned Data'!K187</f>
        <v>Completed</v>
      </c>
      <c r="L187" s="1" t="str">
        <f aca="false">'Cleaned Data'!L187</f>
        <v>Free</v>
      </c>
      <c r="M187" s="1" t="n">
        <f aca="false">'Cleaned Data'!M187</f>
        <v>1</v>
      </c>
      <c r="N187" s="1" t="str">
        <f aca="false">'Cleaned Data'!N187</f>
        <v>No</v>
      </c>
      <c r="O187" s="1" t="str">
        <f aca="false">TEXT(G187,"yyyy-mm")</f>
        <v>2025-01</v>
      </c>
      <c r="P187" s="1" t="str">
        <f aca="false">IF(H187&lt;20,"Low",IF(H187&lt;=60,"Medium","High"))</f>
        <v>Medium</v>
      </c>
      <c r="Q187" s="1" t="str">
        <f aca="false">IF(I187&gt;0,"Yes","No")</f>
        <v>No</v>
      </c>
      <c r="R187" s="1" t="n">
        <f aca="false">IF(N187="Yes",1,0)</f>
        <v>0</v>
      </c>
    </row>
    <row r="188" customFormat="false" ht="15" hidden="false" customHeight="true" outlineLevel="0" collapsed="false">
      <c r="A188" s="1" t="str">
        <f aca="false">'Cleaned Data'!A188</f>
        <v>S00184</v>
      </c>
      <c r="B188" s="1" t="str">
        <f aca="false">'Cleaned Data'!B188</f>
        <v>P6474</v>
      </c>
      <c r="C188" s="1" t="str">
        <f aca="false">'Cleaned Data'!C188</f>
        <v>robertmassey</v>
      </c>
      <c r="D188" s="1" t="str">
        <f aca="false">'Cleaned Data'!D188</f>
        <v>Empire Wars</v>
      </c>
      <c r="E188" s="1" t="str">
        <f aca="false">'Cleaned Data'!E188</f>
        <v>Console</v>
      </c>
      <c r="F188" s="1" t="str">
        <f aca="false">'Cleaned Data'!F188</f>
        <v>Central</v>
      </c>
      <c r="G188" s="23" t="n">
        <f aca="false">'Cleaned Data'!G188</f>
        <v>45693</v>
      </c>
      <c r="H188" s="1" t="n">
        <f aca="false">'Cleaned Data'!H188</f>
        <v>54</v>
      </c>
      <c r="I188" s="24" t="n">
        <f aca="false">'Cleaned Data'!I188</f>
        <v>0</v>
      </c>
      <c r="J188" s="1" t="str">
        <f aca="false">'Cleaned Data'!J188</f>
        <v>None</v>
      </c>
      <c r="K188" s="1" t="str">
        <f aca="false">'Cleaned Data'!K188</f>
        <v>Completed</v>
      </c>
      <c r="L188" s="1" t="str">
        <f aca="false">'Cleaned Data'!L188</f>
        <v>Free</v>
      </c>
      <c r="M188" s="1" t="n">
        <f aca="false">'Cleaned Data'!M188</f>
        <v>49</v>
      </c>
      <c r="N188" s="1" t="str">
        <f aca="false">'Cleaned Data'!N188</f>
        <v>No</v>
      </c>
      <c r="O188" s="1" t="str">
        <f aca="false">TEXT(G188,"yyyy-mm")</f>
        <v>2025-02</v>
      </c>
      <c r="P188" s="1" t="str">
        <f aca="false">IF(H188&lt;20,"Low",IF(H188&lt;=60,"Medium","High"))</f>
        <v>Medium</v>
      </c>
      <c r="Q188" s="1" t="str">
        <f aca="false">IF(I188&gt;0,"Yes","No")</f>
        <v>No</v>
      </c>
      <c r="R188" s="1" t="n">
        <f aca="false">IF(N188="Yes",1,0)</f>
        <v>0</v>
      </c>
    </row>
    <row r="189" customFormat="false" ht="15" hidden="false" customHeight="true" outlineLevel="0" collapsed="false">
      <c r="A189" s="1" t="str">
        <f aca="false">'Cleaned Data'!A189</f>
        <v>S00185</v>
      </c>
      <c r="B189" s="1" t="str">
        <f aca="false">'Cleaned Data'!B189</f>
        <v>P5211</v>
      </c>
      <c r="C189" s="1" t="str">
        <f aca="false">'Cleaned Data'!C189</f>
        <v>ynovak</v>
      </c>
      <c r="D189" s="1" t="str">
        <f aca="false">'Cleaned Data'!D189</f>
        <v>Clash of Realms</v>
      </c>
      <c r="E189" s="1" t="str">
        <f aca="false">'Cleaned Data'!E189</f>
        <v>PC</v>
      </c>
      <c r="F189" s="1" t="str">
        <f aca="false">'Cleaned Data'!F189</f>
        <v>North-East</v>
      </c>
      <c r="G189" s="23" t="n">
        <f aca="false">'Cleaned Data'!G189</f>
        <v>45713</v>
      </c>
      <c r="H189" s="1" t="n">
        <f aca="false">'Cleaned Data'!H189</f>
        <v>27</v>
      </c>
      <c r="I189" s="24" t="n">
        <f aca="false">'Cleaned Data'!I189</f>
        <v>0</v>
      </c>
      <c r="J189" s="1" t="str">
        <f aca="false">'Cleaned Data'!J189</f>
        <v>None</v>
      </c>
      <c r="K189" s="1" t="str">
        <f aca="false">'Cleaned Data'!K189</f>
        <v>Completed</v>
      </c>
      <c r="L189" s="1" t="str">
        <f aca="false">'Cleaned Data'!L189</f>
        <v>Paid</v>
      </c>
      <c r="M189" s="1" t="n">
        <f aca="false">'Cleaned Data'!M189</f>
        <v>29</v>
      </c>
      <c r="N189" s="1" t="str">
        <f aca="false">'Cleaned Data'!N189</f>
        <v>No</v>
      </c>
      <c r="O189" s="1" t="str">
        <f aca="false">TEXT(G189,"yyyy-mm")</f>
        <v>2025-02</v>
      </c>
      <c r="P189" s="1" t="str">
        <f aca="false">IF(H189&lt;20,"Low",IF(H189&lt;=60,"Medium","High"))</f>
        <v>Medium</v>
      </c>
      <c r="Q189" s="1" t="str">
        <f aca="false">IF(I189&gt;0,"Yes","No")</f>
        <v>No</v>
      </c>
      <c r="R189" s="1" t="n">
        <f aca="false">IF(N189="Yes",1,0)</f>
        <v>0</v>
      </c>
    </row>
    <row r="190" customFormat="false" ht="15" hidden="false" customHeight="true" outlineLevel="0" collapsed="false">
      <c r="A190" s="1" t="str">
        <f aca="false">'Cleaned Data'!A190</f>
        <v>S00186</v>
      </c>
      <c r="B190" s="1" t="str">
        <f aca="false">'Cleaned Data'!B190</f>
        <v>P7900</v>
      </c>
      <c r="C190" s="1" t="str">
        <f aca="false">'Cleaned Data'!C190</f>
        <v>colinmartinez</v>
      </c>
      <c r="D190" s="1" t="str">
        <f aca="false">'Cleaned Data'!D190</f>
        <v>SpeedX</v>
      </c>
      <c r="E190" s="1" t="str">
        <f aca="false">'Cleaned Data'!E190</f>
        <v>PC</v>
      </c>
      <c r="F190" s="1" t="str">
        <f aca="false">'Cleaned Data'!F190</f>
        <v>West</v>
      </c>
      <c r="G190" s="23" t="n">
        <f aca="false">'Cleaned Data'!G190</f>
        <v>45644</v>
      </c>
      <c r="H190" s="1" t="n">
        <f aca="false">'Cleaned Data'!H190</f>
        <v>30</v>
      </c>
      <c r="I190" s="24" t="n">
        <f aca="false">'Cleaned Data'!I190</f>
        <v>27.43</v>
      </c>
      <c r="J190" s="1" t="str">
        <f aca="false">'Cleaned Data'!J190</f>
        <v>Subscriptions</v>
      </c>
      <c r="K190" s="1" t="str">
        <f aca="false">'Cleaned Data'!K190</f>
        <v>Completed</v>
      </c>
      <c r="L190" s="1" t="str">
        <f aca="false">'Cleaned Data'!L190</f>
        <v>Paid</v>
      </c>
      <c r="M190" s="1" t="n">
        <f aca="false">'Cleaned Data'!M190</f>
        <v>1</v>
      </c>
      <c r="N190" s="1" t="str">
        <f aca="false">'Cleaned Data'!N190</f>
        <v>No</v>
      </c>
      <c r="O190" s="1" t="str">
        <f aca="false">TEXT(G190,"yyyy-mm")</f>
        <v>2024-12</v>
      </c>
      <c r="P190" s="1" t="str">
        <f aca="false">IF(H190&lt;20,"Low",IF(H190&lt;=60,"Medium","High"))</f>
        <v>Medium</v>
      </c>
      <c r="Q190" s="1" t="str">
        <f aca="false">IF(I190&gt;0,"Yes","No")</f>
        <v>Yes</v>
      </c>
      <c r="R190" s="1" t="n">
        <f aca="false">IF(N190="Yes",1,0)</f>
        <v>0</v>
      </c>
    </row>
    <row r="191" customFormat="false" ht="15" hidden="false" customHeight="true" outlineLevel="0" collapsed="false">
      <c r="A191" s="1" t="str">
        <f aca="false">'Cleaned Data'!A191</f>
        <v>S00187</v>
      </c>
      <c r="B191" s="1" t="str">
        <f aca="false">'Cleaned Data'!B191</f>
        <v>P6989</v>
      </c>
      <c r="C191" s="1" t="str">
        <f aca="false">'Cleaned Data'!C191</f>
        <v>schultzkatherine</v>
      </c>
      <c r="D191" s="1" t="str">
        <f aca="false">'Cleaned Data'!D191</f>
        <v>BattleZone</v>
      </c>
      <c r="E191" s="1" t="str">
        <f aca="false">'Cleaned Data'!E191</f>
        <v>PC</v>
      </c>
      <c r="F191" s="1" t="str">
        <f aca="false">'Cleaned Data'!F191</f>
        <v>West</v>
      </c>
      <c r="G191" s="23" t="n">
        <f aca="false">'Cleaned Data'!G191</f>
        <v>45714</v>
      </c>
      <c r="H191" s="1" t="n">
        <f aca="false">'Cleaned Data'!H191</f>
        <v>128</v>
      </c>
      <c r="I191" s="24" t="n">
        <f aca="false">'Cleaned Data'!I191</f>
        <v>0</v>
      </c>
      <c r="J191" s="1" t="str">
        <f aca="false">'Cleaned Data'!J191</f>
        <v>None</v>
      </c>
      <c r="K191" s="1" t="str">
        <f aca="false">'Cleaned Data'!K191</f>
        <v>Crashed</v>
      </c>
      <c r="L191" s="1" t="str">
        <f aca="false">'Cleaned Data'!L191</f>
        <v>Free</v>
      </c>
      <c r="M191" s="1" t="n">
        <f aca="false">'Cleaned Data'!M191</f>
        <v>36</v>
      </c>
      <c r="N191" s="1" t="str">
        <f aca="false">'Cleaned Data'!N191</f>
        <v>No</v>
      </c>
      <c r="O191" s="1" t="str">
        <f aca="false">TEXT(G191,"yyyy-mm")</f>
        <v>2025-02</v>
      </c>
      <c r="P191" s="1" t="str">
        <f aca="false">IF(H191&lt;20,"Low",IF(H191&lt;=60,"Medium","High"))</f>
        <v>High</v>
      </c>
      <c r="Q191" s="1" t="str">
        <f aca="false">IF(I191&gt;0,"Yes","No")</f>
        <v>No</v>
      </c>
      <c r="R191" s="1" t="n">
        <f aca="false">IF(N191="Yes",1,0)</f>
        <v>0</v>
      </c>
    </row>
    <row r="192" customFormat="false" ht="15" hidden="false" customHeight="true" outlineLevel="0" collapsed="false">
      <c r="A192" s="1" t="str">
        <f aca="false">'Cleaned Data'!A192</f>
        <v>S00188</v>
      </c>
      <c r="B192" s="1" t="str">
        <f aca="false">'Cleaned Data'!B192</f>
        <v>P5714</v>
      </c>
      <c r="C192" s="1" t="str">
        <f aca="false">'Cleaned Data'!C192</f>
        <v>romerostephanie</v>
      </c>
      <c r="D192" s="1" t="str">
        <f aca="false">'Cleaned Data'!D192</f>
        <v>BattleZone</v>
      </c>
      <c r="E192" s="1" t="str">
        <f aca="false">'Cleaned Data'!E192</f>
        <v>Console</v>
      </c>
      <c r="F192" s="1" t="str">
        <f aca="false">'Cleaned Data'!F192</f>
        <v>North</v>
      </c>
      <c r="G192" s="23" t="n">
        <f aca="false">'Cleaned Data'!G192</f>
        <v>45716</v>
      </c>
      <c r="H192" s="1" t="n">
        <f aca="false">'Cleaned Data'!H192</f>
        <v>16</v>
      </c>
      <c r="I192" s="24" t="n">
        <f aca="false">'Cleaned Data'!I192</f>
        <v>36</v>
      </c>
      <c r="J192" s="1" t="str">
        <f aca="false">'Cleaned Data'!J192</f>
        <v>Skins</v>
      </c>
      <c r="K192" s="1" t="str">
        <f aca="false">'Cleaned Data'!K192</f>
        <v>Completed</v>
      </c>
      <c r="L192" s="1" t="str">
        <f aca="false">'Cleaned Data'!L192</f>
        <v>Paid</v>
      </c>
      <c r="M192" s="1" t="n">
        <f aca="false">'Cleaned Data'!M192</f>
        <v>40</v>
      </c>
      <c r="N192" s="1" t="str">
        <f aca="false">'Cleaned Data'!N192</f>
        <v>No</v>
      </c>
      <c r="O192" s="1" t="str">
        <f aca="false">TEXT(G192,"yyyy-mm")</f>
        <v>2025-02</v>
      </c>
      <c r="P192" s="1" t="str">
        <f aca="false">IF(H192&lt;20,"Low",IF(H192&lt;=60,"Medium","High"))</f>
        <v>Low</v>
      </c>
      <c r="Q192" s="1" t="str">
        <f aca="false">IF(I192&gt;0,"Yes","No")</f>
        <v>Yes</v>
      </c>
      <c r="R192" s="1" t="n">
        <f aca="false">IF(N192="Yes",1,0)</f>
        <v>0</v>
      </c>
    </row>
    <row r="193" customFormat="false" ht="15" hidden="false" customHeight="true" outlineLevel="0" collapsed="false">
      <c r="A193" s="1" t="str">
        <f aca="false">'Cleaned Data'!A193</f>
        <v>S00189</v>
      </c>
      <c r="B193" s="1" t="str">
        <f aca="false">'Cleaned Data'!B193</f>
        <v>P4279</v>
      </c>
      <c r="C193" s="1" t="str">
        <f aca="false">'Cleaned Data'!C193</f>
        <v>otaylor</v>
      </c>
      <c r="D193" s="1" t="str">
        <f aca="false">'Cleaned Data'!D193</f>
        <v>Clash of Realms</v>
      </c>
      <c r="E193" s="1" t="str">
        <f aca="false">'Cleaned Data'!E193</f>
        <v>Console</v>
      </c>
      <c r="F193" s="1" t="str">
        <f aca="false">'Cleaned Data'!F193</f>
        <v>Central</v>
      </c>
      <c r="G193" s="23" t="n">
        <f aca="false">'Cleaned Data'!G193</f>
        <v>45800</v>
      </c>
      <c r="H193" s="1" t="n">
        <f aca="false">'Cleaned Data'!H193</f>
        <v>57</v>
      </c>
      <c r="I193" s="24" t="n">
        <f aca="false">'Cleaned Data'!I193</f>
        <v>0</v>
      </c>
      <c r="J193" s="1" t="str">
        <f aca="false">'Cleaned Data'!J193</f>
        <v>None</v>
      </c>
      <c r="K193" s="1" t="str">
        <f aca="false">'Cleaned Data'!K193</f>
        <v>Completed</v>
      </c>
      <c r="L193" s="1" t="str">
        <f aca="false">'Cleaned Data'!L193</f>
        <v>Free</v>
      </c>
      <c r="M193" s="1" t="n">
        <f aca="false">'Cleaned Data'!M193</f>
        <v>18</v>
      </c>
      <c r="N193" s="1" t="str">
        <f aca="false">'Cleaned Data'!N193</f>
        <v>No</v>
      </c>
      <c r="O193" s="1" t="str">
        <f aca="false">TEXT(G193,"yyyy-mm")</f>
        <v>2025-05</v>
      </c>
      <c r="P193" s="1" t="str">
        <f aca="false">IF(H193&lt;20,"Low",IF(H193&lt;=60,"Medium","High"))</f>
        <v>Medium</v>
      </c>
      <c r="Q193" s="1" t="str">
        <f aca="false">IF(I193&gt;0,"Yes","No")</f>
        <v>No</v>
      </c>
      <c r="R193" s="1" t="n">
        <f aca="false">IF(N193="Yes",1,0)</f>
        <v>0</v>
      </c>
    </row>
    <row r="194" customFormat="false" ht="15" hidden="false" customHeight="true" outlineLevel="0" collapsed="false">
      <c r="A194" s="1" t="str">
        <f aca="false">'Cleaned Data'!A194</f>
        <v>S00190</v>
      </c>
      <c r="B194" s="1" t="str">
        <f aca="false">'Cleaned Data'!B194</f>
        <v>P5227</v>
      </c>
      <c r="C194" s="1" t="str">
        <f aca="false">'Cleaned Data'!C194</f>
        <v>snguyen</v>
      </c>
      <c r="D194" s="1" t="str">
        <f aca="false">'Cleaned Data'!D194</f>
        <v>BattleZone</v>
      </c>
      <c r="E194" s="1" t="str">
        <f aca="false">'Cleaned Data'!E194</f>
        <v>Console</v>
      </c>
      <c r="F194" s="1" t="str">
        <f aca="false">'Cleaned Data'!F194</f>
        <v>West</v>
      </c>
      <c r="G194" s="23" t="n">
        <f aca="false">'Cleaned Data'!G194</f>
        <v>45797</v>
      </c>
      <c r="H194" s="1" t="n">
        <f aca="false">'Cleaned Data'!H194</f>
        <v>153</v>
      </c>
      <c r="I194" s="24" t="n">
        <f aca="false">'Cleaned Data'!I194</f>
        <v>0</v>
      </c>
      <c r="J194" s="1" t="str">
        <f aca="false">'Cleaned Data'!J194</f>
        <v>None</v>
      </c>
      <c r="K194" s="1" t="str">
        <f aca="false">'Cleaned Data'!K194</f>
        <v>Completed</v>
      </c>
      <c r="L194" s="1" t="str">
        <f aca="false">'Cleaned Data'!L194</f>
        <v>Free</v>
      </c>
      <c r="M194" s="1" t="n">
        <f aca="false">'Cleaned Data'!M194</f>
        <v>1</v>
      </c>
      <c r="N194" s="1" t="str">
        <f aca="false">'Cleaned Data'!N194</f>
        <v>Yes</v>
      </c>
      <c r="O194" s="1" t="str">
        <f aca="false">TEXT(G194,"yyyy-mm")</f>
        <v>2025-05</v>
      </c>
      <c r="P194" s="1" t="str">
        <f aca="false">IF(H194&lt;20,"Low",IF(H194&lt;=60,"Medium","High"))</f>
        <v>High</v>
      </c>
      <c r="Q194" s="1" t="str">
        <f aca="false">IF(I194&gt;0,"Yes","No")</f>
        <v>No</v>
      </c>
      <c r="R194" s="1" t="n">
        <f aca="false">IF(N194="Yes",1,0)</f>
        <v>1</v>
      </c>
    </row>
    <row r="195" customFormat="false" ht="15" hidden="false" customHeight="true" outlineLevel="0" collapsed="false">
      <c r="A195" s="1" t="str">
        <f aca="false">'Cleaned Data'!A195</f>
        <v>S00191</v>
      </c>
      <c r="B195" s="1" t="str">
        <f aca="false">'Cleaned Data'!B195</f>
        <v>P6734</v>
      </c>
      <c r="C195" s="1" t="str">
        <f aca="false">'Cleaned Data'!C195</f>
        <v>christine87</v>
      </c>
      <c r="D195" s="1" t="str">
        <f aca="false">'Cleaned Data'!D195</f>
        <v>BattleZone</v>
      </c>
      <c r="E195" s="1" t="str">
        <f aca="false">'Cleaned Data'!E195</f>
        <v>Mobile</v>
      </c>
      <c r="F195" s="1" t="str">
        <f aca="false">'Cleaned Data'!F195</f>
        <v>West</v>
      </c>
      <c r="G195" s="23" t="n">
        <f aca="false">'Cleaned Data'!G195</f>
        <v>45682</v>
      </c>
      <c r="H195" s="1" t="n">
        <f aca="false">'Cleaned Data'!H195</f>
        <v>130</v>
      </c>
      <c r="I195" s="24" t="n">
        <f aca="false">'Cleaned Data'!I195</f>
        <v>0</v>
      </c>
      <c r="J195" s="1" t="str">
        <f aca="false">'Cleaned Data'!J195</f>
        <v>None</v>
      </c>
      <c r="K195" s="1" t="str">
        <f aca="false">'Cleaned Data'!K195</f>
        <v>Completed</v>
      </c>
      <c r="L195" s="1" t="str">
        <f aca="false">'Cleaned Data'!L195</f>
        <v>Paid</v>
      </c>
      <c r="M195" s="1" t="n">
        <f aca="false">'Cleaned Data'!M195</f>
        <v>8</v>
      </c>
      <c r="N195" s="1" t="str">
        <f aca="false">'Cleaned Data'!N195</f>
        <v>No</v>
      </c>
      <c r="O195" s="1" t="str">
        <f aca="false">TEXT(G195,"yyyy-mm")</f>
        <v>2025-01</v>
      </c>
      <c r="P195" s="1" t="str">
        <f aca="false">IF(H195&lt;20,"Low",IF(H195&lt;=60,"Medium","High"))</f>
        <v>High</v>
      </c>
      <c r="Q195" s="1" t="str">
        <f aca="false">IF(I195&gt;0,"Yes","No")</f>
        <v>No</v>
      </c>
      <c r="R195" s="1" t="n">
        <f aca="false">IF(N195="Yes",1,0)</f>
        <v>0</v>
      </c>
    </row>
    <row r="196" customFormat="false" ht="15" hidden="false" customHeight="true" outlineLevel="0" collapsed="false">
      <c r="A196" s="1" t="str">
        <f aca="false">'Cleaned Data'!A196</f>
        <v>S00192</v>
      </c>
      <c r="B196" s="1" t="str">
        <f aca="false">'Cleaned Data'!B196</f>
        <v>P2833</v>
      </c>
      <c r="C196" s="1" t="str">
        <f aca="false">'Cleaned Data'!C196</f>
        <v>kerry23</v>
      </c>
      <c r="D196" s="1" t="str">
        <f aca="false">'Cleaned Data'!D196</f>
        <v>Empire Wars</v>
      </c>
      <c r="E196" s="1" t="str">
        <f aca="false">'Cleaned Data'!E196</f>
        <v>PC</v>
      </c>
      <c r="F196" s="1" t="str">
        <f aca="false">'Cleaned Data'!F196</f>
        <v>East</v>
      </c>
      <c r="G196" s="23" t="n">
        <f aca="false">'Cleaned Data'!G196</f>
        <v>45650</v>
      </c>
      <c r="H196" s="1" t="n">
        <f aca="false">'Cleaned Data'!H196</f>
        <v>47</v>
      </c>
      <c r="I196" s="24" t="n">
        <f aca="false">'Cleaned Data'!I196</f>
        <v>12.41</v>
      </c>
      <c r="J196" s="1" t="str">
        <f aca="false">'Cleaned Data'!J196</f>
        <v>Subscriptions</v>
      </c>
      <c r="K196" s="1" t="str">
        <f aca="false">'Cleaned Data'!K196</f>
        <v>Completed</v>
      </c>
      <c r="L196" s="1" t="str">
        <f aca="false">'Cleaned Data'!L196</f>
        <v>Paid</v>
      </c>
      <c r="M196" s="1" t="n">
        <f aca="false">'Cleaned Data'!M196</f>
        <v>36</v>
      </c>
      <c r="N196" s="1" t="str">
        <f aca="false">'Cleaned Data'!N196</f>
        <v>No</v>
      </c>
      <c r="O196" s="1" t="str">
        <f aca="false">TEXT(G196,"yyyy-mm")</f>
        <v>2024-12</v>
      </c>
      <c r="P196" s="1" t="str">
        <f aca="false">IF(H196&lt;20,"Low",IF(H196&lt;=60,"Medium","High"))</f>
        <v>Medium</v>
      </c>
      <c r="Q196" s="1" t="str">
        <f aca="false">IF(I196&gt;0,"Yes","No")</f>
        <v>Yes</v>
      </c>
      <c r="R196" s="1" t="n">
        <f aca="false">IF(N196="Yes",1,0)</f>
        <v>0</v>
      </c>
    </row>
    <row r="197" customFormat="false" ht="15" hidden="false" customHeight="true" outlineLevel="0" collapsed="false">
      <c r="A197" s="1" t="str">
        <f aca="false">'Cleaned Data'!A197</f>
        <v>S00193</v>
      </c>
      <c r="B197" s="1" t="str">
        <f aca="false">'Cleaned Data'!B197</f>
        <v>P3866</v>
      </c>
      <c r="C197" s="1" t="str">
        <f aca="false">'Cleaned Data'!C197</f>
        <v>natashamartin</v>
      </c>
      <c r="D197" s="1" t="str">
        <f aca="false">'Cleaned Data'!D197</f>
        <v>Clash of Realms</v>
      </c>
      <c r="E197" s="1" t="str">
        <f aca="false">'Cleaned Data'!E197</f>
        <v>PC</v>
      </c>
      <c r="F197" s="1" t="str">
        <f aca="false">'Cleaned Data'!F197</f>
        <v>North-East</v>
      </c>
      <c r="G197" s="23" t="n">
        <f aca="false">'Cleaned Data'!G197</f>
        <v>45717</v>
      </c>
      <c r="H197" s="1" t="n">
        <f aca="false">'Cleaned Data'!H197</f>
        <v>53</v>
      </c>
      <c r="I197" s="24" t="n">
        <f aca="false">'Cleaned Data'!I197</f>
        <v>0</v>
      </c>
      <c r="J197" s="1" t="str">
        <f aca="false">'Cleaned Data'!J197</f>
        <v>None</v>
      </c>
      <c r="K197" s="1" t="str">
        <f aca="false">'Cleaned Data'!K197</f>
        <v>Incomplete</v>
      </c>
      <c r="L197" s="1" t="str">
        <f aca="false">'Cleaned Data'!L197</f>
        <v>Free</v>
      </c>
      <c r="M197" s="1" t="n">
        <f aca="false">'Cleaned Data'!M197</f>
        <v>28</v>
      </c>
      <c r="N197" s="1" t="str">
        <f aca="false">'Cleaned Data'!N197</f>
        <v>No</v>
      </c>
      <c r="O197" s="1" t="str">
        <f aca="false">TEXT(G197,"yyyy-mm")</f>
        <v>2025-03</v>
      </c>
      <c r="P197" s="1" t="str">
        <f aca="false">IF(H197&lt;20,"Low",IF(H197&lt;=60,"Medium","High"))</f>
        <v>Medium</v>
      </c>
      <c r="Q197" s="1" t="str">
        <f aca="false">IF(I197&gt;0,"Yes","No")</f>
        <v>No</v>
      </c>
      <c r="R197" s="1" t="n">
        <f aca="false">IF(N197="Yes",1,0)</f>
        <v>0</v>
      </c>
    </row>
    <row r="198" customFormat="false" ht="15" hidden="false" customHeight="true" outlineLevel="0" collapsed="false">
      <c r="A198" s="1" t="str">
        <f aca="false">'Cleaned Data'!A198</f>
        <v>S00194</v>
      </c>
      <c r="B198" s="1" t="str">
        <f aca="false">'Cleaned Data'!B198</f>
        <v>P9566</v>
      </c>
      <c r="C198" s="1" t="str">
        <f aca="false">'Cleaned Data'!C198</f>
        <v>rileyjason</v>
      </c>
      <c r="D198" s="1" t="str">
        <f aca="false">'Cleaned Data'!D198</f>
        <v>BattleZone</v>
      </c>
      <c r="E198" s="1" t="str">
        <f aca="false">'Cleaned Data'!E198</f>
        <v>PC</v>
      </c>
      <c r="F198" s="1" t="str">
        <f aca="false">'Cleaned Data'!F198</f>
        <v>South</v>
      </c>
      <c r="G198" s="23" t="n">
        <f aca="false">'Cleaned Data'!G198</f>
        <v>45746</v>
      </c>
      <c r="H198" s="1" t="n">
        <f aca="false">'Cleaned Data'!H198</f>
        <v>19</v>
      </c>
      <c r="I198" s="24" t="n">
        <f aca="false">'Cleaned Data'!I198</f>
        <v>0</v>
      </c>
      <c r="J198" s="1" t="str">
        <f aca="false">'Cleaned Data'!J198</f>
        <v>None</v>
      </c>
      <c r="K198" s="1" t="str">
        <f aca="false">'Cleaned Data'!K198</f>
        <v>Completed</v>
      </c>
      <c r="L198" s="1" t="str">
        <f aca="false">'Cleaned Data'!L198</f>
        <v>Free</v>
      </c>
      <c r="M198" s="1" t="n">
        <f aca="false">'Cleaned Data'!M198</f>
        <v>27</v>
      </c>
      <c r="N198" s="1" t="str">
        <f aca="false">'Cleaned Data'!N198</f>
        <v>No</v>
      </c>
      <c r="O198" s="1" t="str">
        <f aca="false">TEXT(G198,"yyyy-mm")</f>
        <v>2025-03</v>
      </c>
      <c r="P198" s="1" t="str">
        <f aca="false">IF(H198&lt;20,"Low",IF(H198&lt;=60,"Medium","High"))</f>
        <v>Low</v>
      </c>
      <c r="Q198" s="1" t="str">
        <f aca="false">IF(I198&gt;0,"Yes","No")</f>
        <v>No</v>
      </c>
      <c r="R198" s="1" t="n">
        <f aca="false">IF(N198="Yes",1,0)</f>
        <v>0</v>
      </c>
    </row>
    <row r="199" customFormat="false" ht="15" hidden="false" customHeight="true" outlineLevel="0" collapsed="false">
      <c r="A199" s="1" t="str">
        <f aca="false">'Cleaned Data'!A199</f>
        <v>S00195</v>
      </c>
      <c r="B199" s="1" t="str">
        <f aca="false">'Cleaned Data'!B199</f>
        <v>P1819</v>
      </c>
      <c r="C199" s="1" t="str">
        <f aca="false">'Cleaned Data'!C199</f>
        <v>garciadanielle</v>
      </c>
      <c r="D199" s="1" t="str">
        <f aca="false">'Cleaned Data'!D199</f>
        <v>Zombie Rush</v>
      </c>
      <c r="E199" s="1" t="str">
        <f aca="false">'Cleaned Data'!E199</f>
        <v>Mobile</v>
      </c>
      <c r="F199" s="1" t="str">
        <f aca="false">'Cleaned Data'!F199</f>
        <v>East</v>
      </c>
      <c r="G199" s="23" t="n">
        <f aca="false">'Cleaned Data'!G199</f>
        <v>45654</v>
      </c>
      <c r="H199" s="1" t="n">
        <f aca="false">'Cleaned Data'!H199</f>
        <v>117</v>
      </c>
      <c r="I199" s="24" t="n">
        <f aca="false">'Cleaned Data'!I199</f>
        <v>0</v>
      </c>
      <c r="J199" s="1" t="str">
        <f aca="false">'Cleaned Data'!J199</f>
        <v>None</v>
      </c>
      <c r="K199" s="1" t="str">
        <f aca="false">'Cleaned Data'!K199</f>
        <v>Completed</v>
      </c>
      <c r="L199" s="1" t="str">
        <f aca="false">'Cleaned Data'!L199</f>
        <v>Free</v>
      </c>
      <c r="M199" s="1" t="n">
        <f aca="false">'Cleaned Data'!M199</f>
        <v>17</v>
      </c>
      <c r="N199" s="1" t="str">
        <f aca="false">'Cleaned Data'!N199</f>
        <v>No</v>
      </c>
      <c r="O199" s="1" t="str">
        <f aca="false">TEXT(G199,"yyyy-mm")</f>
        <v>2024-12</v>
      </c>
      <c r="P199" s="1" t="str">
        <f aca="false">IF(H199&lt;20,"Low",IF(H199&lt;=60,"Medium","High"))</f>
        <v>High</v>
      </c>
      <c r="Q199" s="1" t="str">
        <f aca="false">IF(I199&gt;0,"Yes","No")</f>
        <v>No</v>
      </c>
      <c r="R199" s="1" t="n">
        <f aca="false">IF(N199="Yes",1,0)</f>
        <v>0</v>
      </c>
    </row>
    <row r="200" customFormat="false" ht="15" hidden="false" customHeight="true" outlineLevel="0" collapsed="false">
      <c r="A200" s="1" t="str">
        <f aca="false">'Cleaned Data'!A200</f>
        <v>S00196</v>
      </c>
      <c r="B200" s="1" t="str">
        <f aca="false">'Cleaned Data'!B200</f>
        <v>P5750</v>
      </c>
      <c r="C200" s="1" t="str">
        <f aca="false">'Cleaned Data'!C200</f>
        <v>walterkayla</v>
      </c>
      <c r="D200" s="1" t="str">
        <f aca="false">'Cleaned Data'!D200</f>
        <v>BattleZone</v>
      </c>
      <c r="E200" s="1" t="str">
        <f aca="false">'Cleaned Data'!E200</f>
        <v>Console</v>
      </c>
      <c r="F200" s="1" t="str">
        <f aca="false">'Cleaned Data'!F200</f>
        <v>Central</v>
      </c>
      <c r="G200" s="23" t="n">
        <f aca="false">'Cleaned Data'!G200</f>
        <v>45659</v>
      </c>
      <c r="H200" s="1" t="n">
        <f aca="false">'Cleaned Data'!H200</f>
        <v>35</v>
      </c>
      <c r="I200" s="24" t="n">
        <f aca="false">'Cleaned Data'!I200</f>
        <v>18.72</v>
      </c>
      <c r="J200" s="1" t="str">
        <f aca="false">'Cleaned Data'!J200</f>
        <v>Skins</v>
      </c>
      <c r="K200" s="1" t="str">
        <f aca="false">'Cleaned Data'!K200</f>
        <v>Completed</v>
      </c>
      <c r="L200" s="1" t="str">
        <f aca="false">'Cleaned Data'!L200</f>
        <v>Paid</v>
      </c>
      <c r="M200" s="1" t="n">
        <f aca="false">'Cleaned Data'!M200</f>
        <v>20</v>
      </c>
      <c r="N200" s="1" t="str">
        <f aca="false">'Cleaned Data'!N200</f>
        <v>No</v>
      </c>
      <c r="O200" s="1" t="str">
        <f aca="false">TEXT(G200,"yyyy-mm")</f>
        <v>2025-01</v>
      </c>
      <c r="P200" s="1" t="str">
        <f aca="false">IF(H200&lt;20,"Low",IF(H200&lt;=60,"Medium","High"))</f>
        <v>Medium</v>
      </c>
      <c r="Q200" s="1" t="str">
        <f aca="false">IF(I200&gt;0,"Yes","No")</f>
        <v>Yes</v>
      </c>
      <c r="R200" s="1" t="n">
        <f aca="false">IF(N200="Yes",1,0)</f>
        <v>0</v>
      </c>
    </row>
    <row r="201" customFormat="false" ht="15" hidden="false" customHeight="true" outlineLevel="0" collapsed="false">
      <c r="A201" s="1" t="str">
        <f aca="false">'Cleaned Data'!A201</f>
        <v>S00197</v>
      </c>
      <c r="B201" s="1" t="str">
        <f aca="false">'Cleaned Data'!B201</f>
        <v>P8044</v>
      </c>
      <c r="C201" s="1" t="str">
        <f aca="false">'Cleaned Data'!C201</f>
        <v>henryrosales</v>
      </c>
      <c r="D201" s="1" t="str">
        <f aca="false">'Cleaned Data'!D201</f>
        <v>Zombie Rush</v>
      </c>
      <c r="E201" s="1" t="str">
        <f aca="false">'Cleaned Data'!E201</f>
        <v>Mobile</v>
      </c>
      <c r="F201" s="1" t="str">
        <f aca="false">'Cleaned Data'!F201</f>
        <v>North</v>
      </c>
      <c r="G201" s="23" t="n">
        <f aca="false">'Cleaned Data'!G201</f>
        <v>45788</v>
      </c>
      <c r="H201" s="1" t="n">
        <f aca="false">'Cleaned Data'!H201</f>
        <v>138</v>
      </c>
      <c r="I201" s="24" t="n">
        <f aca="false">'Cleaned Data'!I201</f>
        <v>0</v>
      </c>
      <c r="J201" s="1" t="str">
        <f aca="false">'Cleaned Data'!J201</f>
        <v>None</v>
      </c>
      <c r="K201" s="1" t="str">
        <f aca="false">'Cleaned Data'!K201</f>
        <v>Completed</v>
      </c>
      <c r="L201" s="1" t="str">
        <f aca="false">'Cleaned Data'!L201</f>
        <v>Free</v>
      </c>
      <c r="M201" s="1" t="n">
        <f aca="false">'Cleaned Data'!M201</f>
        <v>47</v>
      </c>
      <c r="N201" s="1" t="str">
        <f aca="false">'Cleaned Data'!N201</f>
        <v>No</v>
      </c>
      <c r="O201" s="1" t="str">
        <f aca="false">TEXT(G201,"yyyy-mm")</f>
        <v>2025-05</v>
      </c>
      <c r="P201" s="1" t="str">
        <f aca="false">IF(H201&lt;20,"Low",IF(H201&lt;=60,"Medium","High"))</f>
        <v>High</v>
      </c>
      <c r="Q201" s="1" t="str">
        <f aca="false">IF(I201&gt;0,"Yes","No")</f>
        <v>No</v>
      </c>
      <c r="R201" s="1" t="n">
        <f aca="false">IF(N201="Yes",1,0)</f>
        <v>0</v>
      </c>
    </row>
    <row r="202" customFormat="false" ht="15" hidden="false" customHeight="true" outlineLevel="0" collapsed="false">
      <c r="A202" s="1" t="str">
        <f aca="false">'Cleaned Data'!A202</f>
        <v>S00198</v>
      </c>
      <c r="B202" s="1" t="str">
        <f aca="false">'Cleaned Data'!B202</f>
        <v>P7656</v>
      </c>
      <c r="C202" s="1" t="str">
        <f aca="false">'Cleaned Data'!C202</f>
        <v>nrichmond</v>
      </c>
      <c r="D202" s="1" t="str">
        <f aca="false">'Cleaned Data'!D202</f>
        <v>Empire Wars</v>
      </c>
      <c r="E202" s="1" t="str">
        <f aca="false">'Cleaned Data'!E202</f>
        <v>Console</v>
      </c>
      <c r="F202" s="1" t="str">
        <f aca="false">'Cleaned Data'!F202</f>
        <v>South</v>
      </c>
      <c r="G202" s="23" t="n">
        <f aca="false">'Cleaned Data'!G202</f>
        <v>45687</v>
      </c>
      <c r="H202" s="1" t="n">
        <f aca="false">'Cleaned Data'!H202</f>
        <v>45</v>
      </c>
      <c r="I202" s="24" t="n">
        <f aca="false">'Cleaned Data'!I202</f>
        <v>0</v>
      </c>
      <c r="J202" s="1" t="str">
        <f aca="false">'Cleaned Data'!J202</f>
        <v>None</v>
      </c>
      <c r="K202" s="1" t="str">
        <f aca="false">'Cleaned Data'!K202</f>
        <v>Completed</v>
      </c>
      <c r="L202" s="1" t="str">
        <f aca="false">'Cleaned Data'!L202</f>
        <v>Free</v>
      </c>
      <c r="M202" s="1" t="n">
        <f aca="false">'Cleaned Data'!M202</f>
        <v>24</v>
      </c>
      <c r="N202" s="1" t="str">
        <f aca="false">'Cleaned Data'!N202</f>
        <v>No</v>
      </c>
      <c r="O202" s="1" t="str">
        <f aca="false">TEXT(G202,"yyyy-mm")</f>
        <v>2025-01</v>
      </c>
      <c r="P202" s="1" t="str">
        <f aca="false">IF(H202&lt;20,"Low",IF(H202&lt;=60,"Medium","High"))</f>
        <v>Medium</v>
      </c>
      <c r="Q202" s="1" t="str">
        <f aca="false">IF(I202&gt;0,"Yes","No")</f>
        <v>No</v>
      </c>
      <c r="R202" s="1" t="n">
        <f aca="false">IF(N202="Yes",1,0)</f>
        <v>0</v>
      </c>
    </row>
    <row r="203" customFormat="false" ht="15" hidden="false" customHeight="true" outlineLevel="0" collapsed="false">
      <c r="A203" s="1" t="str">
        <f aca="false">'Cleaned Data'!A203</f>
        <v>S00199</v>
      </c>
      <c r="B203" s="1" t="str">
        <f aca="false">'Cleaned Data'!B203</f>
        <v>P9860</v>
      </c>
      <c r="C203" s="1" t="str">
        <f aca="false">'Cleaned Data'!C203</f>
        <v>andrewbrown</v>
      </c>
      <c r="D203" s="1" t="str">
        <f aca="false">'Cleaned Data'!D203</f>
        <v>SpeedX</v>
      </c>
      <c r="E203" s="1" t="str">
        <f aca="false">'Cleaned Data'!E203</f>
        <v>Console</v>
      </c>
      <c r="F203" s="1" t="str">
        <f aca="false">'Cleaned Data'!F203</f>
        <v>West</v>
      </c>
      <c r="G203" s="23" t="n">
        <f aca="false">'Cleaned Data'!G203</f>
        <v>45808</v>
      </c>
      <c r="H203" s="1" t="n">
        <f aca="false">'Cleaned Data'!H203</f>
        <v>97</v>
      </c>
      <c r="I203" s="24" t="n">
        <f aca="false">'Cleaned Data'!I203</f>
        <v>0</v>
      </c>
      <c r="J203" s="1" t="str">
        <f aca="false">'Cleaned Data'!J203</f>
        <v>None</v>
      </c>
      <c r="K203" s="1" t="str">
        <f aca="false">'Cleaned Data'!K203</f>
        <v>Completed</v>
      </c>
      <c r="L203" s="1" t="str">
        <f aca="false">'Cleaned Data'!L203</f>
        <v>Free</v>
      </c>
      <c r="M203" s="1" t="n">
        <f aca="false">'Cleaned Data'!M203</f>
        <v>5</v>
      </c>
      <c r="N203" s="1" t="str">
        <f aca="false">'Cleaned Data'!N203</f>
        <v>No</v>
      </c>
      <c r="O203" s="1" t="str">
        <f aca="false">TEXT(G203,"yyyy-mm")</f>
        <v>2025-05</v>
      </c>
      <c r="P203" s="1" t="str">
        <f aca="false">IF(H203&lt;20,"Low",IF(H203&lt;=60,"Medium","High"))</f>
        <v>High</v>
      </c>
      <c r="Q203" s="1" t="str">
        <f aca="false">IF(I203&gt;0,"Yes","No")</f>
        <v>No</v>
      </c>
      <c r="R203" s="1" t="n">
        <f aca="false">IF(N203="Yes",1,0)</f>
        <v>0</v>
      </c>
    </row>
    <row r="204" customFormat="false" ht="15" hidden="false" customHeight="true" outlineLevel="0" collapsed="false">
      <c r="A204" s="1" t="str">
        <f aca="false">'Cleaned Data'!A204</f>
        <v>S00200</v>
      </c>
      <c r="B204" s="1" t="str">
        <f aca="false">'Cleaned Data'!B204</f>
        <v>P7486</v>
      </c>
      <c r="C204" s="1" t="str">
        <f aca="false">'Cleaned Data'!C204</f>
        <v>qmills</v>
      </c>
      <c r="D204" s="1" t="str">
        <f aca="false">'Cleaned Data'!D204</f>
        <v>SpeedX</v>
      </c>
      <c r="E204" s="1" t="str">
        <f aca="false">'Cleaned Data'!E204</f>
        <v>Mobile</v>
      </c>
      <c r="F204" s="1" t="str">
        <f aca="false">'Cleaned Data'!F204</f>
        <v>Central</v>
      </c>
      <c r="G204" s="23" t="n">
        <f aca="false">'Cleaned Data'!G204</f>
        <v>45692</v>
      </c>
      <c r="H204" s="1" t="n">
        <f aca="false">'Cleaned Data'!H204</f>
        <v>18</v>
      </c>
      <c r="I204" s="24" t="n">
        <f aca="false">'Cleaned Data'!I204</f>
        <v>0</v>
      </c>
      <c r="J204" s="1" t="str">
        <f aca="false">'Cleaned Data'!J204</f>
        <v>None</v>
      </c>
      <c r="K204" s="1" t="str">
        <f aca="false">'Cleaned Data'!K204</f>
        <v>Completed</v>
      </c>
      <c r="L204" s="1" t="str">
        <f aca="false">'Cleaned Data'!L204</f>
        <v>Free</v>
      </c>
      <c r="M204" s="1" t="n">
        <f aca="false">'Cleaned Data'!M204</f>
        <v>14</v>
      </c>
      <c r="N204" s="1" t="str">
        <f aca="false">'Cleaned Data'!N204</f>
        <v>No</v>
      </c>
      <c r="O204" s="1" t="str">
        <f aca="false">TEXT(G204,"yyyy-mm")</f>
        <v>2025-02</v>
      </c>
      <c r="P204" s="1" t="str">
        <f aca="false">IF(H204&lt;20,"Low",IF(H204&lt;=60,"Medium","High"))</f>
        <v>Low</v>
      </c>
      <c r="Q204" s="1" t="str">
        <f aca="false">IF(I204&gt;0,"Yes","No")</f>
        <v>No</v>
      </c>
      <c r="R204" s="1" t="n">
        <f aca="false">IF(N204="Yes",1,0)</f>
        <v>0</v>
      </c>
    </row>
    <row r="205" customFormat="false" ht="15" hidden="false" customHeight="true" outlineLevel="0" collapsed="false">
      <c r="A205" s="1" t="str">
        <f aca="false">'Cleaned Data'!A205</f>
        <v>S00201</v>
      </c>
      <c r="B205" s="1" t="str">
        <f aca="false">'Cleaned Data'!B205</f>
        <v>P5966</v>
      </c>
      <c r="C205" s="1" t="str">
        <f aca="false">'Cleaned Data'!C205</f>
        <v>qcarrillo</v>
      </c>
      <c r="D205" s="1" t="str">
        <f aca="false">'Cleaned Data'!D205</f>
        <v>SpeedX</v>
      </c>
      <c r="E205" s="1" t="str">
        <f aca="false">'Cleaned Data'!E205</f>
        <v>Mobile</v>
      </c>
      <c r="F205" s="1" t="str">
        <f aca="false">'Cleaned Data'!F205</f>
        <v>West</v>
      </c>
      <c r="G205" s="23" t="n">
        <f aca="false">'Cleaned Data'!G205</f>
        <v>45751</v>
      </c>
      <c r="H205" s="1" t="n">
        <f aca="false">'Cleaned Data'!H205</f>
        <v>7</v>
      </c>
      <c r="I205" s="24" t="n">
        <f aca="false">'Cleaned Data'!I205</f>
        <v>0</v>
      </c>
      <c r="J205" s="1" t="str">
        <f aca="false">'Cleaned Data'!J205</f>
        <v>None</v>
      </c>
      <c r="K205" s="1" t="str">
        <f aca="false">'Cleaned Data'!K205</f>
        <v>Incomplete</v>
      </c>
      <c r="L205" s="1" t="str">
        <f aca="false">'Cleaned Data'!L205</f>
        <v>Free</v>
      </c>
      <c r="M205" s="1" t="n">
        <f aca="false">'Cleaned Data'!M205</f>
        <v>22</v>
      </c>
      <c r="N205" s="1" t="str">
        <f aca="false">'Cleaned Data'!N205</f>
        <v>No</v>
      </c>
      <c r="O205" s="1" t="str">
        <f aca="false">TEXT(G205,"yyyy-mm")</f>
        <v>2025-04</v>
      </c>
      <c r="P205" s="1" t="str">
        <f aca="false">IF(H205&lt;20,"Low",IF(H205&lt;=60,"Medium","High"))</f>
        <v>Low</v>
      </c>
      <c r="Q205" s="1" t="str">
        <f aca="false">IF(I205&gt;0,"Yes","No")</f>
        <v>No</v>
      </c>
      <c r="R205" s="1" t="n">
        <f aca="false">IF(N205="Yes",1,0)</f>
        <v>0</v>
      </c>
    </row>
    <row r="206" customFormat="false" ht="15" hidden="false" customHeight="true" outlineLevel="0" collapsed="false">
      <c r="A206" s="1" t="str">
        <f aca="false">'Cleaned Data'!A206</f>
        <v>S00202</v>
      </c>
      <c r="B206" s="1" t="str">
        <f aca="false">'Cleaned Data'!B206</f>
        <v>P8953</v>
      </c>
      <c r="C206" s="1" t="str">
        <f aca="false">'Cleaned Data'!C206</f>
        <v>mcdanielautumn</v>
      </c>
      <c r="D206" s="1" t="str">
        <f aca="false">'Cleaned Data'!D206</f>
        <v>Empire Wars</v>
      </c>
      <c r="E206" s="1" t="str">
        <f aca="false">'Cleaned Data'!E206</f>
        <v>PC</v>
      </c>
      <c r="F206" s="1" t="str">
        <f aca="false">'Cleaned Data'!F206</f>
        <v>North-East</v>
      </c>
      <c r="G206" s="23" t="n">
        <f aca="false">'Cleaned Data'!G206</f>
        <v>45742</v>
      </c>
      <c r="H206" s="1" t="n">
        <f aca="false">'Cleaned Data'!H206</f>
        <v>42</v>
      </c>
      <c r="I206" s="24" t="n">
        <f aca="false">'Cleaned Data'!I206</f>
        <v>32.85</v>
      </c>
      <c r="J206" s="1" t="str">
        <f aca="false">'Cleaned Data'!J206</f>
        <v>Subscriptions</v>
      </c>
      <c r="K206" s="1" t="str">
        <f aca="false">'Cleaned Data'!K206</f>
        <v>Incomplete</v>
      </c>
      <c r="L206" s="1" t="str">
        <f aca="false">'Cleaned Data'!L206</f>
        <v>Paid</v>
      </c>
      <c r="M206" s="1" t="n">
        <f aca="false">'Cleaned Data'!M206</f>
        <v>38</v>
      </c>
      <c r="N206" s="1" t="str">
        <f aca="false">'Cleaned Data'!N206</f>
        <v>No</v>
      </c>
      <c r="O206" s="1" t="str">
        <f aca="false">TEXT(G206,"yyyy-mm")</f>
        <v>2025-03</v>
      </c>
      <c r="P206" s="1" t="str">
        <f aca="false">IF(H206&lt;20,"Low",IF(H206&lt;=60,"Medium","High"))</f>
        <v>Medium</v>
      </c>
      <c r="Q206" s="1" t="str">
        <f aca="false">IF(I206&gt;0,"Yes","No")</f>
        <v>Yes</v>
      </c>
      <c r="R206" s="1" t="n">
        <f aca="false">IF(N206="Yes",1,0)</f>
        <v>0</v>
      </c>
    </row>
    <row r="207" customFormat="false" ht="15" hidden="false" customHeight="true" outlineLevel="0" collapsed="false">
      <c r="A207" s="1" t="str">
        <f aca="false">'Cleaned Data'!A207</f>
        <v>S00203</v>
      </c>
      <c r="B207" s="1" t="str">
        <f aca="false">'Cleaned Data'!B207</f>
        <v>P5877</v>
      </c>
      <c r="C207" s="1" t="str">
        <f aca="false">'Cleaned Data'!C207</f>
        <v>jperkins</v>
      </c>
      <c r="D207" s="1" t="str">
        <f aca="false">'Cleaned Data'!D207</f>
        <v>Zombie Rush</v>
      </c>
      <c r="E207" s="1" t="str">
        <f aca="false">'Cleaned Data'!E207</f>
        <v>PC</v>
      </c>
      <c r="F207" s="1" t="str">
        <f aca="false">'Cleaned Data'!F207</f>
        <v>North</v>
      </c>
      <c r="G207" s="23" t="n">
        <f aca="false">'Cleaned Data'!G207</f>
        <v>45758</v>
      </c>
      <c r="H207" s="1" t="n">
        <f aca="false">'Cleaned Data'!H207</f>
        <v>111</v>
      </c>
      <c r="I207" s="24" t="n">
        <f aca="false">'Cleaned Data'!I207</f>
        <v>0</v>
      </c>
      <c r="J207" s="1" t="str">
        <f aca="false">'Cleaned Data'!J207</f>
        <v>None</v>
      </c>
      <c r="K207" s="1" t="str">
        <f aca="false">'Cleaned Data'!K207</f>
        <v>Completed</v>
      </c>
      <c r="L207" s="1" t="str">
        <f aca="false">'Cleaned Data'!L207</f>
        <v>Free</v>
      </c>
      <c r="M207" s="1" t="n">
        <f aca="false">'Cleaned Data'!M207</f>
        <v>39</v>
      </c>
      <c r="N207" s="1" t="str">
        <f aca="false">'Cleaned Data'!N207</f>
        <v>No</v>
      </c>
      <c r="O207" s="1" t="str">
        <f aca="false">TEXT(G207,"yyyy-mm")</f>
        <v>2025-04</v>
      </c>
      <c r="P207" s="1" t="str">
        <f aca="false">IF(H207&lt;20,"Low",IF(H207&lt;=60,"Medium","High"))</f>
        <v>High</v>
      </c>
      <c r="Q207" s="1" t="str">
        <f aca="false">IF(I207&gt;0,"Yes","No")</f>
        <v>No</v>
      </c>
      <c r="R207" s="1" t="n">
        <f aca="false">IF(N207="Yes",1,0)</f>
        <v>0</v>
      </c>
    </row>
    <row r="208" customFormat="false" ht="15" hidden="false" customHeight="true" outlineLevel="0" collapsed="false">
      <c r="A208" s="1" t="str">
        <f aca="false">'Cleaned Data'!A208</f>
        <v>S00204</v>
      </c>
      <c r="B208" s="1" t="str">
        <f aca="false">'Cleaned Data'!B208</f>
        <v>P7851</v>
      </c>
      <c r="C208" s="1" t="str">
        <f aca="false">'Cleaned Data'!C208</f>
        <v>hernandezmichael</v>
      </c>
      <c r="D208" s="1" t="str">
        <f aca="false">'Cleaned Data'!D208</f>
        <v>Zombie Rush</v>
      </c>
      <c r="E208" s="1" t="str">
        <f aca="false">'Cleaned Data'!E208</f>
        <v>PC</v>
      </c>
      <c r="F208" s="1" t="str">
        <f aca="false">'Cleaned Data'!F208</f>
        <v>East</v>
      </c>
      <c r="G208" s="23" t="n">
        <f aca="false">'Cleaned Data'!G208</f>
        <v>45782</v>
      </c>
      <c r="H208" s="1" t="n">
        <f aca="false">'Cleaned Data'!H208</f>
        <v>32</v>
      </c>
      <c r="I208" s="24" t="n">
        <f aca="false">'Cleaned Data'!I208</f>
        <v>0</v>
      </c>
      <c r="J208" s="1" t="str">
        <f aca="false">'Cleaned Data'!J208</f>
        <v>None</v>
      </c>
      <c r="K208" s="1" t="str">
        <f aca="false">'Cleaned Data'!K208</f>
        <v>Incomplete</v>
      </c>
      <c r="L208" s="1" t="str">
        <f aca="false">'Cleaned Data'!L208</f>
        <v>Free</v>
      </c>
      <c r="M208" s="1" t="n">
        <f aca="false">'Cleaned Data'!M208</f>
        <v>22</v>
      </c>
      <c r="N208" s="1" t="str">
        <f aca="false">'Cleaned Data'!N208</f>
        <v>No</v>
      </c>
      <c r="O208" s="1" t="str">
        <f aca="false">TEXT(G208,"yyyy-mm")</f>
        <v>2025-05</v>
      </c>
      <c r="P208" s="1" t="str">
        <f aca="false">IF(H208&lt;20,"Low",IF(H208&lt;=60,"Medium","High"))</f>
        <v>Medium</v>
      </c>
      <c r="Q208" s="1" t="str">
        <f aca="false">IF(I208&gt;0,"Yes","No")</f>
        <v>No</v>
      </c>
      <c r="R208" s="1" t="n">
        <f aca="false">IF(N208="Yes",1,0)</f>
        <v>0</v>
      </c>
    </row>
    <row r="209" customFormat="false" ht="15" hidden="false" customHeight="true" outlineLevel="0" collapsed="false">
      <c r="A209" s="1" t="str">
        <f aca="false">'Cleaned Data'!A209</f>
        <v>S00205</v>
      </c>
      <c r="B209" s="1" t="str">
        <f aca="false">'Cleaned Data'!B209</f>
        <v>P8927</v>
      </c>
      <c r="C209" s="1" t="str">
        <f aca="false">'Cleaned Data'!C209</f>
        <v>xpadilla</v>
      </c>
      <c r="D209" s="1" t="str">
        <f aca="false">'Cleaned Data'!D209</f>
        <v>BattleZone</v>
      </c>
      <c r="E209" s="1" t="str">
        <f aca="false">'Cleaned Data'!E209</f>
        <v>Mobile</v>
      </c>
      <c r="F209" s="1" t="str">
        <f aca="false">'Cleaned Data'!F209</f>
        <v>North</v>
      </c>
      <c r="G209" s="23" t="n">
        <f aca="false">'Cleaned Data'!G209</f>
        <v>45805</v>
      </c>
      <c r="H209" s="1" t="n">
        <f aca="false">'Cleaned Data'!H209</f>
        <v>46</v>
      </c>
      <c r="I209" s="24" t="n">
        <f aca="false">'Cleaned Data'!I209</f>
        <v>0</v>
      </c>
      <c r="J209" s="1" t="str">
        <f aca="false">'Cleaned Data'!J209</f>
        <v>None</v>
      </c>
      <c r="K209" s="1" t="str">
        <f aca="false">'Cleaned Data'!K209</f>
        <v>Completed</v>
      </c>
      <c r="L209" s="1" t="str">
        <f aca="false">'Cleaned Data'!L209</f>
        <v>Paid</v>
      </c>
      <c r="M209" s="1" t="n">
        <f aca="false">'Cleaned Data'!M209</f>
        <v>42</v>
      </c>
      <c r="N209" s="1" t="str">
        <f aca="false">'Cleaned Data'!N209</f>
        <v>No</v>
      </c>
      <c r="O209" s="1" t="str">
        <f aca="false">TEXT(G209,"yyyy-mm")</f>
        <v>2025-05</v>
      </c>
      <c r="P209" s="1" t="str">
        <f aca="false">IF(H209&lt;20,"Low",IF(H209&lt;=60,"Medium","High"))</f>
        <v>Medium</v>
      </c>
      <c r="Q209" s="1" t="str">
        <f aca="false">IF(I209&gt;0,"Yes","No")</f>
        <v>No</v>
      </c>
      <c r="R209" s="1" t="n">
        <f aca="false">IF(N209="Yes",1,0)</f>
        <v>0</v>
      </c>
    </row>
    <row r="210" customFormat="false" ht="15" hidden="false" customHeight="true" outlineLevel="0" collapsed="false">
      <c r="A210" s="1" t="str">
        <f aca="false">'Cleaned Data'!A210</f>
        <v>S00206</v>
      </c>
      <c r="B210" s="1" t="str">
        <f aca="false">'Cleaned Data'!B210</f>
        <v>P3345</v>
      </c>
      <c r="C210" s="1" t="str">
        <f aca="false">'Cleaned Data'!C210</f>
        <v>wjohnson</v>
      </c>
      <c r="D210" s="1" t="str">
        <f aca="false">'Cleaned Data'!D210</f>
        <v>Empire Wars</v>
      </c>
      <c r="E210" s="1" t="str">
        <f aca="false">'Cleaned Data'!E210</f>
        <v>Console</v>
      </c>
      <c r="F210" s="1" t="str">
        <f aca="false">'Cleaned Data'!F210</f>
        <v>Central</v>
      </c>
      <c r="G210" s="23" t="n">
        <f aca="false">'Cleaned Data'!G210</f>
        <v>45802</v>
      </c>
      <c r="H210" s="1" t="n">
        <f aca="false">'Cleaned Data'!H210</f>
        <v>98</v>
      </c>
      <c r="I210" s="24" t="n">
        <f aca="false">'Cleaned Data'!I210</f>
        <v>0</v>
      </c>
      <c r="J210" s="1" t="str">
        <f aca="false">'Cleaned Data'!J210</f>
        <v>None</v>
      </c>
      <c r="K210" s="1" t="str">
        <f aca="false">'Cleaned Data'!K210</f>
        <v>Completed</v>
      </c>
      <c r="L210" s="1" t="str">
        <f aca="false">'Cleaned Data'!L210</f>
        <v>Paid</v>
      </c>
      <c r="M210" s="1" t="n">
        <f aca="false">'Cleaned Data'!M210</f>
        <v>30</v>
      </c>
      <c r="N210" s="1" t="str">
        <f aca="false">'Cleaned Data'!N210</f>
        <v>No</v>
      </c>
      <c r="O210" s="1" t="str">
        <f aca="false">TEXT(G210,"yyyy-mm")</f>
        <v>2025-05</v>
      </c>
      <c r="P210" s="1" t="str">
        <f aca="false">IF(H210&lt;20,"Low",IF(H210&lt;=60,"Medium","High"))</f>
        <v>High</v>
      </c>
      <c r="Q210" s="1" t="str">
        <f aca="false">IF(I210&gt;0,"Yes","No")</f>
        <v>No</v>
      </c>
      <c r="R210" s="1" t="n">
        <f aca="false">IF(N210="Yes",1,0)</f>
        <v>0</v>
      </c>
    </row>
    <row r="211" customFormat="false" ht="15" hidden="false" customHeight="true" outlineLevel="0" collapsed="false">
      <c r="A211" s="1" t="str">
        <f aca="false">'Cleaned Data'!A211</f>
        <v>S00207</v>
      </c>
      <c r="B211" s="1" t="str">
        <f aca="false">'Cleaned Data'!B211</f>
        <v>P1709</v>
      </c>
      <c r="C211" s="1" t="str">
        <f aca="false">'Cleaned Data'!C211</f>
        <v>darren53</v>
      </c>
      <c r="D211" s="1" t="str">
        <f aca="false">'Cleaned Data'!D211</f>
        <v>Empire Wars</v>
      </c>
      <c r="E211" s="1" t="str">
        <f aca="false">'Cleaned Data'!E211</f>
        <v>Console</v>
      </c>
      <c r="F211" s="1" t="str">
        <f aca="false">'Cleaned Data'!F211</f>
        <v>West</v>
      </c>
      <c r="G211" s="23" t="n">
        <f aca="false">'Cleaned Data'!G211</f>
        <v>45791</v>
      </c>
      <c r="H211" s="1" t="n">
        <f aca="false">'Cleaned Data'!H211</f>
        <v>85</v>
      </c>
      <c r="I211" s="24" t="n">
        <f aca="false">'Cleaned Data'!I211</f>
        <v>0</v>
      </c>
      <c r="J211" s="1" t="str">
        <f aca="false">'Cleaned Data'!J211</f>
        <v>None</v>
      </c>
      <c r="K211" s="1" t="str">
        <f aca="false">'Cleaned Data'!K211</f>
        <v>Completed</v>
      </c>
      <c r="L211" s="1" t="str">
        <f aca="false">'Cleaned Data'!L211</f>
        <v>Free</v>
      </c>
      <c r="M211" s="1" t="n">
        <f aca="false">'Cleaned Data'!M211</f>
        <v>4</v>
      </c>
      <c r="N211" s="1" t="str">
        <f aca="false">'Cleaned Data'!N211</f>
        <v>No</v>
      </c>
      <c r="O211" s="1" t="str">
        <f aca="false">TEXT(G211,"yyyy-mm")</f>
        <v>2025-05</v>
      </c>
      <c r="P211" s="1" t="str">
        <f aca="false">IF(H211&lt;20,"Low",IF(H211&lt;=60,"Medium","High"))</f>
        <v>High</v>
      </c>
      <c r="Q211" s="1" t="str">
        <f aca="false">IF(I211&gt;0,"Yes","No")</f>
        <v>No</v>
      </c>
      <c r="R211" s="1" t="n">
        <f aca="false">IF(N211="Yes",1,0)</f>
        <v>0</v>
      </c>
    </row>
    <row r="212" customFormat="false" ht="15" hidden="false" customHeight="true" outlineLevel="0" collapsed="false">
      <c r="A212" s="1" t="str">
        <f aca="false">'Cleaned Data'!A212</f>
        <v>S00208</v>
      </c>
      <c r="B212" s="1" t="str">
        <f aca="false">'Cleaned Data'!B212</f>
        <v>P3727</v>
      </c>
      <c r="C212" s="1" t="str">
        <f aca="false">'Cleaned Data'!C212</f>
        <v>nathanielchavez</v>
      </c>
      <c r="D212" s="1" t="str">
        <f aca="false">'Cleaned Data'!D212</f>
        <v>Empire Wars</v>
      </c>
      <c r="E212" s="1" t="str">
        <f aca="false">'Cleaned Data'!E212</f>
        <v>Console</v>
      </c>
      <c r="F212" s="1" t="str">
        <f aca="false">'Cleaned Data'!F212</f>
        <v>North</v>
      </c>
      <c r="G212" s="23" t="n">
        <f aca="false">'Cleaned Data'!G212</f>
        <v>45790</v>
      </c>
      <c r="H212" s="1" t="n">
        <f aca="false">'Cleaned Data'!H212</f>
        <v>135</v>
      </c>
      <c r="I212" s="24" t="n">
        <f aca="false">'Cleaned Data'!I212</f>
        <v>0</v>
      </c>
      <c r="J212" s="1" t="str">
        <f aca="false">'Cleaned Data'!J212</f>
        <v>None</v>
      </c>
      <c r="K212" s="1" t="str">
        <f aca="false">'Cleaned Data'!K212</f>
        <v>Completed</v>
      </c>
      <c r="L212" s="1" t="str">
        <f aca="false">'Cleaned Data'!L212</f>
        <v>Paid</v>
      </c>
      <c r="M212" s="1" t="n">
        <f aca="false">'Cleaned Data'!M212</f>
        <v>42</v>
      </c>
      <c r="N212" s="1" t="str">
        <f aca="false">'Cleaned Data'!N212</f>
        <v>No</v>
      </c>
      <c r="O212" s="1" t="str">
        <f aca="false">TEXT(G212,"yyyy-mm")</f>
        <v>2025-05</v>
      </c>
      <c r="P212" s="1" t="str">
        <f aca="false">IF(H212&lt;20,"Low",IF(H212&lt;=60,"Medium","High"))</f>
        <v>High</v>
      </c>
      <c r="Q212" s="1" t="str">
        <f aca="false">IF(I212&gt;0,"Yes","No")</f>
        <v>No</v>
      </c>
      <c r="R212" s="1" t="n">
        <f aca="false">IF(N212="Yes",1,0)</f>
        <v>0</v>
      </c>
    </row>
    <row r="213" customFormat="false" ht="15" hidden="false" customHeight="true" outlineLevel="0" collapsed="false">
      <c r="A213" s="1" t="str">
        <f aca="false">'Cleaned Data'!A213</f>
        <v>S00209</v>
      </c>
      <c r="B213" s="1" t="str">
        <f aca="false">'Cleaned Data'!B213</f>
        <v>P6903</v>
      </c>
      <c r="C213" s="1" t="str">
        <f aca="false">'Cleaned Data'!C213</f>
        <v>selliott</v>
      </c>
      <c r="D213" s="1" t="str">
        <f aca="false">'Cleaned Data'!D213</f>
        <v>Empire Wars</v>
      </c>
      <c r="E213" s="1" t="str">
        <f aca="false">'Cleaned Data'!E213</f>
        <v>Mobile</v>
      </c>
      <c r="F213" s="1" t="str">
        <f aca="false">'Cleaned Data'!F213</f>
        <v>North-East</v>
      </c>
      <c r="G213" s="23" t="n">
        <f aca="false">'Cleaned Data'!G213</f>
        <v>45641</v>
      </c>
      <c r="H213" s="1" t="n">
        <f aca="false">'Cleaned Data'!H213</f>
        <v>109</v>
      </c>
      <c r="I213" s="24" t="n">
        <f aca="false">'Cleaned Data'!I213</f>
        <v>0</v>
      </c>
      <c r="J213" s="1" t="str">
        <f aca="false">'Cleaned Data'!J213</f>
        <v>None</v>
      </c>
      <c r="K213" s="1" t="str">
        <f aca="false">'Cleaned Data'!K213</f>
        <v>Completed</v>
      </c>
      <c r="L213" s="1" t="str">
        <f aca="false">'Cleaned Data'!L213</f>
        <v>Free</v>
      </c>
      <c r="M213" s="1" t="n">
        <f aca="false">'Cleaned Data'!M213</f>
        <v>15</v>
      </c>
      <c r="N213" s="1" t="str">
        <f aca="false">'Cleaned Data'!N213</f>
        <v>No</v>
      </c>
      <c r="O213" s="1" t="str">
        <f aca="false">TEXT(G213,"yyyy-mm")</f>
        <v>2024-12</v>
      </c>
      <c r="P213" s="1" t="str">
        <f aca="false">IF(H213&lt;20,"Low",IF(H213&lt;=60,"Medium","High"))</f>
        <v>High</v>
      </c>
      <c r="Q213" s="1" t="str">
        <f aca="false">IF(I213&gt;0,"Yes","No")</f>
        <v>No</v>
      </c>
      <c r="R213" s="1" t="n">
        <f aca="false">IF(N213="Yes",1,0)</f>
        <v>0</v>
      </c>
    </row>
    <row r="214" customFormat="false" ht="15" hidden="false" customHeight="true" outlineLevel="0" collapsed="false">
      <c r="A214" s="1" t="str">
        <f aca="false">'Cleaned Data'!A214</f>
        <v>S00210</v>
      </c>
      <c r="B214" s="1" t="str">
        <f aca="false">'Cleaned Data'!B214</f>
        <v>P9657</v>
      </c>
      <c r="C214" s="1" t="str">
        <f aca="false">'Cleaned Data'!C214</f>
        <v>elowe</v>
      </c>
      <c r="D214" s="1" t="str">
        <f aca="false">'Cleaned Data'!D214</f>
        <v>Clash of Realms</v>
      </c>
      <c r="E214" s="1" t="str">
        <f aca="false">'Cleaned Data'!E214</f>
        <v>PC</v>
      </c>
      <c r="F214" s="1" t="str">
        <f aca="false">'Cleaned Data'!F214</f>
        <v>North-East</v>
      </c>
      <c r="G214" s="23" t="n">
        <f aca="false">'Cleaned Data'!G214</f>
        <v>45790</v>
      </c>
      <c r="H214" s="1" t="n">
        <f aca="false">'Cleaned Data'!H214</f>
        <v>41</v>
      </c>
      <c r="I214" s="24" t="n">
        <f aca="false">'Cleaned Data'!I214</f>
        <v>0</v>
      </c>
      <c r="J214" s="1" t="str">
        <f aca="false">'Cleaned Data'!J214</f>
        <v>None</v>
      </c>
      <c r="K214" s="1" t="str">
        <f aca="false">'Cleaned Data'!K214</f>
        <v>Completed</v>
      </c>
      <c r="L214" s="1" t="str">
        <f aca="false">'Cleaned Data'!L214</f>
        <v>Free</v>
      </c>
      <c r="M214" s="1" t="n">
        <f aca="false">'Cleaned Data'!M214</f>
        <v>14</v>
      </c>
      <c r="N214" s="1" t="str">
        <f aca="false">'Cleaned Data'!N214</f>
        <v>No</v>
      </c>
      <c r="O214" s="1" t="str">
        <f aca="false">TEXT(G214,"yyyy-mm")</f>
        <v>2025-05</v>
      </c>
      <c r="P214" s="1" t="str">
        <f aca="false">IF(H214&lt;20,"Low",IF(H214&lt;=60,"Medium","High"))</f>
        <v>Medium</v>
      </c>
      <c r="Q214" s="1" t="str">
        <f aca="false">IF(I214&gt;0,"Yes","No")</f>
        <v>No</v>
      </c>
      <c r="R214" s="1" t="n">
        <f aca="false">IF(N214="Yes",1,0)</f>
        <v>0</v>
      </c>
    </row>
    <row r="215" customFormat="false" ht="15" hidden="false" customHeight="true" outlineLevel="0" collapsed="false">
      <c r="A215" s="1" t="str">
        <f aca="false">'Cleaned Data'!A215</f>
        <v>S00211</v>
      </c>
      <c r="B215" s="1" t="str">
        <f aca="false">'Cleaned Data'!B215</f>
        <v>P6523</v>
      </c>
      <c r="C215" s="1" t="str">
        <f aca="false">'Cleaned Data'!C215</f>
        <v>edwardsjohn</v>
      </c>
      <c r="D215" s="1" t="str">
        <f aca="false">'Cleaned Data'!D215</f>
        <v>Zombie Rush</v>
      </c>
      <c r="E215" s="1" t="str">
        <f aca="false">'Cleaned Data'!E215</f>
        <v>Console</v>
      </c>
      <c r="F215" s="1" t="str">
        <f aca="false">'Cleaned Data'!F215</f>
        <v>West</v>
      </c>
      <c r="G215" s="23" t="n">
        <f aca="false">'Cleaned Data'!G215</f>
        <v>45686</v>
      </c>
      <c r="H215" s="1" t="n">
        <f aca="false">'Cleaned Data'!H215</f>
        <v>47</v>
      </c>
      <c r="I215" s="24" t="n">
        <f aca="false">'Cleaned Data'!I215</f>
        <v>8.61</v>
      </c>
      <c r="J215" s="1" t="str">
        <f aca="false">'Cleaned Data'!J215</f>
        <v>Subscriptions</v>
      </c>
      <c r="K215" s="1" t="str">
        <f aca="false">'Cleaned Data'!K215</f>
        <v>Completed</v>
      </c>
      <c r="L215" s="1" t="str">
        <f aca="false">'Cleaned Data'!L215</f>
        <v>Paid</v>
      </c>
      <c r="M215" s="1" t="n">
        <f aca="false">'Cleaned Data'!M215</f>
        <v>1</v>
      </c>
      <c r="N215" s="1" t="str">
        <f aca="false">'Cleaned Data'!N215</f>
        <v>No</v>
      </c>
      <c r="O215" s="1" t="str">
        <f aca="false">TEXT(G215,"yyyy-mm")</f>
        <v>2025-01</v>
      </c>
      <c r="P215" s="1" t="str">
        <f aca="false">IF(H215&lt;20,"Low",IF(H215&lt;=60,"Medium","High"))</f>
        <v>Medium</v>
      </c>
      <c r="Q215" s="1" t="str">
        <f aca="false">IF(I215&gt;0,"Yes","No")</f>
        <v>Yes</v>
      </c>
      <c r="R215" s="1" t="n">
        <f aca="false">IF(N215="Yes",1,0)</f>
        <v>0</v>
      </c>
    </row>
    <row r="216" customFormat="false" ht="15" hidden="false" customHeight="true" outlineLevel="0" collapsed="false">
      <c r="A216" s="1" t="str">
        <f aca="false">'Cleaned Data'!A216</f>
        <v>S00212</v>
      </c>
      <c r="B216" s="1" t="str">
        <f aca="false">'Cleaned Data'!B216</f>
        <v>P4216</v>
      </c>
      <c r="C216" s="1" t="str">
        <f aca="false">'Cleaned Data'!C216</f>
        <v>sheilawatkins</v>
      </c>
      <c r="D216" s="1" t="str">
        <f aca="false">'Cleaned Data'!D216</f>
        <v>BattleZone</v>
      </c>
      <c r="E216" s="1" t="str">
        <f aca="false">'Cleaned Data'!E216</f>
        <v>Console</v>
      </c>
      <c r="F216" s="1" t="str">
        <f aca="false">'Cleaned Data'!F216</f>
        <v>Central</v>
      </c>
      <c r="G216" s="23" t="n">
        <f aca="false">'Cleaned Data'!G216</f>
        <v>45738</v>
      </c>
      <c r="H216" s="1" t="n">
        <f aca="false">'Cleaned Data'!H216</f>
        <v>141</v>
      </c>
      <c r="I216" s="24" t="n">
        <f aca="false">'Cleaned Data'!I216</f>
        <v>0</v>
      </c>
      <c r="J216" s="1" t="str">
        <f aca="false">'Cleaned Data'!J216</f>
        <v>None</v>
      </c>
      <c r="K216" s="1" t="str">
        <f aca="false">'Cleaned Data'!K216</f>
        <v>Completed</v>
      </c>
      <c r="L216" s="1" t="str">
        <f aca="false">'Cleaned Data'!L216</f>
        <v>Free</v>
      </c>
      <c r="M216" s="1" t="n">
        <f aca="false">'Cleaned Data'!M216</f>
        <v>17</v>
      </c>
      <c r="N216" s="1" t="str">
        <f aca="false">'Cleaned Data'!N216</f>
        <v>No</v>
      </c>
      <c r="O216" s="1" t="str">
        <f aca="false">TEXT(G216,"yyyy-mm")</f>
        <v>2025-03</v>
      </c>
      <c r="P216" s="1" t="str">
        <f aca="false">IF(H216&lt;20,"Low",IF(H216&lt;=60,"Medium","High"))</f>
        <v>High</v>
      </c>
      <c r="Q216" s="1" t="str">
        <f aca="false">IF(I216&gt;0,"Yes","No")</f>
        <v>No</v>
      </c>
      <c r="R216" s="1" t="n">
        <f aca="false">IF(N216="Yes",1,0)</f>
        <v>0</v>
      </c>
    </row>
    <row r="217" customFormat="false" ht="15" hidden="false" customHeight="true" outlineLevel="0" collapsed="false">
      <c r="A217" s="1" t="str">
        <f aca="false">'Cleaned Data'!A217</f>
        <v>S00213</v>
      </c>
      <c r="B217" s="1" t="str">
        <f aca="false">'Cleaned Data'!B217</f>
        <v>P5442</v>
      </c>
      <c r="C217" s="1" t="str">
        <f aca="false">'Cleaned Data'!C217</f>
        <v>nicholas77</v>
      </c>
      <c r="D217" s="1" t="str">
        <f aca="false">'Cleaned Data'!D217</f>
        <v>SpeedX</v>
      </c>
      <c r="E217" s="1" t="str">
        <f aca="false">'Cleaned Data'!E217</f>
        <v>Mobile</v>
      </c>
      <c r="F217" s="1" t="str">
        <f aca="false">'Cleaned Data'!F217</f>
        <v>East</v>
      </c>
      <c r="G217" s="23" t="n">
        <f aca="false">'Cleaned Data'!G217</f>
        <v>45722</v>
      </c>
      <c r="H217" s="1" t="n">
        <f aca="false">'Cleaned Data'!H217</f>
        <v>56</v>
      </c>
      <c r="I217" s="24" t="n">
        <f aca="false">'Cleaned Data'!I217</f>
        <v>15.9</v>
      </c>
      <c r="J217" s="1" t="str">
        <f aca="false">'Cleaned Data'!J217</f>
        <v>Boosters</v>
      </c>
      <c r="K217" s="1" t="str">
        <f aca="false">'Cleaned Data'!K217</f>
        <v>Exited Early</v>
      </c>
      <c r="L217" s="1" t="str">
        <f aca="false">'Cleaned Data'!L217</f>
        <v>Paid</v>
      </c>
      <c r="M217" s="1" t="n">
        <f aca="false">'Cleaned Data'!M217</f>
        <v>28</v>
      </c>
      <c r="N217" s="1" t="str">
        <f aca="false">'Cleaned Data'!N217</f>
        <v>No</v>
      </c>
      <c r="O217" s="1" t="str">
        <f aca="false">TEXT(G217,"yyyy-mm")</f>
        <v>2025-03</v>
      </c>
      <c r="P217" s="1" t="str">
        <f aca="false">IF(H217&lt;20,"Low",IF(H217&lt;=60,"Medium","High"))</f>
        <v>Medium</v>
      </c>
      <c r="Q217" s="1" t="str">
        <f aca="false">IF(I217&gt;0,"Yes","No")</f>
        <v>Yes</v>
      </c>
      <c r="R217" s="1" t="n">
        <f aca="false">IF(N217="Yes",1,0)</f>
        <v>0</v>
      </c>
    </row>
    <row r="218" customFormat="false" ht="15" hidden="false" customHeight="true" outlineLevel="0" collapsed="false">
      <c r="A218" s="1" t="str">
        <f aca="false">'Cleaned Data'!A218</f>
        <v>S00214</v>
      </c>
      <c r="B218" s="1" t="str">
        <f aca="false">'Cleaned Data'!B218</f>
        <v>P5369</v>
      </c>
      <c r="C218" s="1" t="str">
        <f aca="false">'Cleaned Data'!C218</f>
        <v>alexandermoore</v>
      </c>
      <c r="D218" s="1" t="str">
        <f aca="false">'Cleaned Data'!D218</f>
        <v>SpeedX</v>
      </c>
      <c r="E218" s="1" t="str">
        <f aca="false">'Cleaned Data'!E218</f>
        <v>Mobile</v>
      </c>
      <c r="F218" s="1" t="str">
        <f aca="false">'Cleaned Data'!F218</f>
        <v>West</v>
      </c>
      <c r="G218" s="23" t="n">
        <f aca="false">'Cleaned Data'!G218</f>
        <v>45817</v>
      </c>
      <c r="H218" s="1" t="n">
        <f aca="false">'Cleaned Data'!H218</f>
        <v>93</v>
      </c>
      <c r="I218" s="24" t="n">
        <f aca="false">'Cleaned Data'!I218</f>
        <v>0</v>
      </c>
      <c r="J218" s="1" t="str">
        <f aca="false">'Cleaned Data'!J218</f>
        <v>None</v>
      </c>
      <c r="K218" s="1" t="str">
        <f aca="false">'Cleaned Data'!K218</f>
        <v>Completed</v>
      </c>
      <c r="L218" s="1" t="str">
        <f aca="false">'Cleaned Data'!L218</f>
        <v>Free</v>
      </c>
      <c r="M218" s="1" t="n">
        <f aca="false">'Cleaned Data'!M218</f>
        <v>21</v>
      </c>
      <c r="N218" s="1" t="str">
        <f aca="false">'Cleaned Data'!N218</f>
        <v>No</v>
      </c>
      <c r="O218" s="1" t="str">
        <f aca="false">TEXT(G218,"yyyy-mm")</f>
        <v>2025-06</v>
      </c>
      <c r="P218" s="1" t="str">
        <f aca="false">IF(H218&lt;20,"Low",IF(H218&lt;=60,"Medium","High"))</f>
        <v>High</v>
      </c>
      <c r="Q218" s="1" t="str">
        <f aca="false">IF(I218&gt;0,"Yes","No")</f>
        <v>No</v>
      </c>
      <c r="R218" s="1" t="n">
        <f aca="false">IF(N218="Yes",1,0)</f>
        <v>0</v>
      </c>
    </row>
    <row r="219" customFormat="false" ht="15" hidden="false" customHeight="true" outlineLevel="0" collapsed="false">
      <c r="A219" s="1" t="str">
        <f aca="false">'Cleaned Data'!A219</f>
        <v>S00215</v>
      </c>
      <c r="B219" s="1" t="str">
        <f aca="false">'Cleaned Data'!B219</f>
        <v>P2904</v>
      </c>
      <c r="C219" s="1" t="str">
        <f aca="false">'Cleaned Data'!C219</f>
        <v>william77</v>
      </c>
      <c r="D219" s="1" t="str">
        <f aca="false">'Cleaned Data'!D219</f>
        <v>Clash of Realms</v>
      </c>
      <c r="E219" s="1" t="str">
        <f aca="false">'Cleaned Data'!E219</f>
        <v>PC</v>
      </c>
      <c r="F219" s="1" t="str">
        <f aca="false">'Cleaned Data'!F219</f>
        <v>Central</v>
      </c>
      <c r="G219" s="23" t="n">
        <f aca="false">'Cleaned Data'!G219</f>
        <v>45688</v>
      </c>
      <c r="H219" s="1" t="n">
        <f aca="false">'Cleaned Data'!H219</f>
        <v>147</v>
      </c>
      <c r="I219" s="24" t="n">
        <f aca="false">'Cleaned Data'!I219</f>
        <v>0</v>
      </c>
      <c r="J219" s="1" t="str">
        <f aca="false">'Cleaned Data'!J219</f>
        <v>None</v>
      </c>
      <c r="K219" s="1" t="str">
        <f aca="false">'Cleaned Data'!K219</f>
        <v>Completed</v>
      </c>
      <c r="L219" s="1" t="str">
        <f aca="false">'Cleaned Data'!L219</f>
        <v>Free</v>
      </c>
      <c r="M219" s="1" t="n">
        <f aca="false">'Cleaned Data'!M219</f>
        <v>48</v>
      </c>
      <c r="N219" s="1" t="str">
        <f aca="false">'Cleaned Data'!N219</f>
        <v>No</v>
      </c>
      <c r="O219" s="1" t="str">
        <f aca="false">TEXT(G219,"yyyy-mm")</f>
        <v>2025-01</v>
      </c>
      <c r="P219" s="1" t="str">
        <f aca="false">IF(H219&lt;20,"Low",IF(H219&lt;=60,"Medium","High"))</f>
        <v>High</v>
      </c>
      <c r="Q219" s="1" t="str">
        <f aca="false">IF(I219&gt;0,"Yes","No")</f>
        <v>No</v>
      </c>
      <c r="R219" s="1" t="n">
        <f aca="false">IF(N219="Yes",1,0)</f>
        <v>0</v>
      </c>
    </row>
    <row r="220" customFormat="false" ht="15" hidden="false" customHeight="true" outlineLevel="0" collapsed="false">
      <c r="A220" s="1" t="str">
        <f aca="false">'Cleaned Data'!A220</f>
        <v>S00216</v>
      </c>
      <c r="B220" s="1" t="str">
        <f aca="false">'Cleaned Data'!B220</f>
        <v>P2461</v>
      </c>
      <c r="C220" s="1" t="str">
        <f aca="false">'Cleaned Data'!C220</f>
        <v>michelle54</v>
      </c>
      <c r="D220" s="1" t="str">
        <f aca="false">'Cleaned Data'!D220</f>
        <v>Zombie Rush</v>
      </c>
      <c r="E220" s="1" t="str">
        <f aca="false">'Cleaned Data'!E220</f>
        <v>Console</v>
      </c>
      <c r="F220" s="1" t="str">
        <f aca="false">'Cleaned Data'!F220</f>
        <v>West</v>
      </c>
      <c r="G220" s="23" t="n">
        <f aca="false">'Cleaned Data'!G220</f>
        <v>45688</v>
      </c>
      <c r="H220" s="1" t="n">
        <f aca="false">'Cleaned Data'!H220</f>
        <v>34</v>
      </c>
      <c r="I220" s="24" t="n">
        <f aca="false">'Cleaned Data'!I220</f>
        <v>0</v>
      </c>
      <c r="J220" s="1" t="str">
        <f aca="false">'Cleaned Data'!J220</f>
        <v>None</v>
      </c>
      <c r="K220" s="1" t="str">
        <f aca="false">'Cleaned Data'!K220</f>
        <v>Completed</v>
      </c>
      <c r="L220" s="1" t="str">
        <f aca="false">'Cleaned Data'!L220</f>
        <v>Free</v>
      </c>
      <c r="M220" s="1" t="n">
        <f aca="false">'Cleaned Data'!M220</f>
        <v>50</v>
      </c>
      <c r="N220" s="1" t="str">
        <f aca="false">'Cleaned Data'!N220</f>
        <v>No</v>
      </c>
      <c r="O220" s="1" t="str">
        <f aca="false">TEXT(G220,"yyyy-mm")</f>
        <v>2025-01</v>
      </c>
      <c r="P220" s="1" t="str">
        <f aca="false">IF(H220&lt;20,"Low",IF(H220&lt;=60,"Medium","High"))</f>
        <v>Medium</v>
      </c>
      <c r="Q220" s="1" t="str">
        <f aca="false">IF(I220&gt;0,"Yes","No")</f>
        <v>No</v>
      </c>
      <c r="R220" s="1" t="n">
        <f aca="false">IF(N220="Yes",1,0)</f>
        <v>0</v>
      </c>
    </row>
    <row r="221" customFormat="false" ht="15" hidden="false" customHeight="true" outlineLevel="0" collapsed="false">
      <c r="A221" s="1" t="str">
        <f aca="false">'Cleaned Data'!A221</f>
        <v>S00217</v>
      </c>
      <c r="B221" s="1" t="str">
        <f aca="false">'Cleaned Data'!B221</f>
        <v>P3087</v>
      </c>
      <c r="C221" s="1" t="str">
        <f aca="false">'Cleaned Data'!C221</f>
        <v>quinncaroline</v>
      </c>
      <c r="D221" s="1" t="str">
        <f aca="false">'Cleaned Data'!D221</f>
        <v>SpeedX</v>
      </c>
      <c r="E221" s="1" t="str">
        <f aca="false">'Cleaned Data'!E221</f>
        <v>Console</v>
      </c>
      <c r="F221" s="1" t="str">
        <f aca="false">'Cleaned Data'!F221</f>
        <v>North-East</v>
      </c>
      <c r="G221" s="23" t="n">
        <f aca="false">'Cleaned Data'!G221</f>
        <v>45764</v>
      </c>
      <c r="H221" s="1" t="n">
        <f aca="false">'Cleaned Data'!H221</f>
        <v>51</v>
      </c>
      <c r="I221" s="24" t="n">
        <f aca="false">'Cleaned Data'!I221</f>
        <v>0</v>
      </c>
      <c r="J221" s="1" t="str">
        <f aca="false">'Cleaned Data'!J221</f>
        <v>None</v>
      </c>
      <c r="K221" s="1" t="str">
        <f aca="false">'Cleaned Data'!K221</f>
        <v>Crashed</v>
      </c>
      <c r="L221" s="1" t="str">
        <f aca="false">'Cleaned Data'!L221</f>
        <v>Free</v>
      </c>
      <c r="M221" s="1" t="n">
        <f aca="false">'Cleaned Data'!M221</f>
        <v>2</v>
      </c>
      <c r="N221" s="1" t="str">
        <f aca="false">'Cleaned Data'!N221</f>
        <v>No</v>
      </c>
      <c r="O221" s="1" t="str">
        <f aca="false">TEXT(G221,"yyyy-mm")</f>
        <v>2025-04</v>
      </c>
      <c r="P221" s="1" t="str">
        <f aca="false">IF(H221&lt;20,"Low",IF(H221&lt;=60,"Medium","High"))</f>
        <v>Medium</v>
      </c>
      <c r="Q221" s="1" t="str">
        <f aca="false">IF(I221&gt;0,"Yes","No")</f>
        <v>No</v>
      </c>
      <c r="R221" s="1" t="n">
        <f aca="false">IF(N221="Yes",1,0)</f>
        <v>0</v>
      </c>
    </row>
    <row r="222" customFormat="false" ht="15" hidden="false" customHeight="true" outlineLevel="0" collapsed="false">
      <c r="A222" s="1" t="str">
        <f aca="false">'Cleaned Data'!A222</f>
        <v>S00218</v>
      </c>
      <c r="B222" s="1" t="str">
        <f aca="false">'Cleaned Data'!B222</f>
        <v>P1617</v>
      </c>
      <c r="C222" s="1" t="str">
        <f aca="false">'Cleaned Data'!C222</f>
        <v>hlucas</v>
      </c>
      <c r="D222" s="1" t="str">
        <f aca="false">'Cleaned Data'!D222</f>
        <v>Clash of Realms</v>
      </c>
      <c r="E222" s="1" t="str">
        <f aca="false">'Cleaned Data'!E222</f>
        <v>Console</v>
      </c>
      <c r="F222" s="1" t="str">
        <f aca="false">'Cleaned Data'!F222</f>
        <v>North</v>
      </c>
      <c r="G222" s="23" t="n">
        <f aca="false">'Cleaned Data'!G222</f>
        <v>45811</v>
      </c>
      <c r="H222" s="1" t="n">
        <f aca="false">'Cleaned Data'!H222</f>
        <v>44</v>
      </c>
      <c r="I222" s="24" t="n">
        <f aca="false">'Cleaned Data'!I222</f>
        <v>0</v>
      </c>
      <c r="J222" s="1" t="str">
        <f aca="false">'Cleaned Data'!J222</f>
        <v>None</v>
      </c>
      <c r="K222" s="1" t="str">
        <f aca="false">'Cleaned Data'!K222</f>
        <v>Incomplete</v>
      </c>
      <c r="L222" s="1" t="str">
        <f aca="false">'Cleaned Data'!L222</f>
        <v>Free</v>
      </c>
      <c r="M222" s="1" t="n">
        <f aca="false">'Cleaned Data'!M222</f>
        <v>27</v>
      </c>
      <c r="N222" s="1" t="str">
        <f aca="false">'Cleaned Data'!N222</f>
        <v>No</v>
      </c>
      <c r="O222" s="1" t="str">
        <f aca="false">TEXT(G222,"yyyy-mm")</f>
        <v>2025-06</v>
      </c>
      <c r="P222" s="1" t="str">
        <f aca="false">IF(H222&lt;20,"Low",IF(H222&lt;=60,"Medium","High"))</f>
        <v>Medium</v>
      </c>
      <c r="Q222" s="1" t="str">
        <f aca="false">IF(I222&gt;0,"Yes","No")</f>
        <v>No</v>
      </c>
      <c r="R222" s="1" t="n">
        <f aca="false">IF(N222="Yes",1,0)</f>
        <v>0</v>
      </c>
    </row>
    <row r="223" customFormat="false" ht="15" hidden="false" customHeight="true" outlineLevel="0" collapsed="false">
      <c r="A223" s="1" t="str">
        <f aca="false">'Cleaned Data'!A223</f>
        <v>S00219</v>
      </c>
      <c r="B223" s="1" t="str">
        <f aca="false">'Cleaned Data'!B223</f>
        <v>P3673</v>
      </c>
      <c r="C223" s="1" t="str">
        <f aca="false">'Cleaned Data'!C223</f>
        <v>davisdevin</v>
      </c>
      <c r="D223" s="1" t="str">
        <f aca="false">'Cleaned Data'!D223</f>
        <v>BattleZone</v>
      </c>
      <c r="E223" s="1" t="str">
        <f aca="false">'Cleaned Data'!E223</f>
        <v>Mobile</v>
      </c>
      <c r="F223" s="1" t="str">
        <f aca="false">'Cleaned Data'!F223</f>
        <v>West</v>
      </c>
      <c r="G223" s="23" t="n">
        <f aca="false">'Cleaned Data'!G223</f>
        <v>45642</v>
      </c>
      <c r="H223" s="1" t="n">
        <f aca="false">'Cleaned Data'!H223</f>
        <v>114</v>
      </c>
      <c r="I223" s="24" t="n">
        <f aca="false">'Cleaned Data'!I223</f>
        <v>5.31</v>
      </c>
      <c r="J223" s="1" t="str">
        <f aca="false">'Cleaned Data'!J223</f>
        <v>Boosters</v>
      </c>
      <c r="K223" s="1" t="str">
        <f aca="false">'Cleaned Data'!K223</f>
        <v>Completed</v>
      </c>
      <c r="L223" s="1" t="str">
        <f aca="false">'Cleaned Data'!L223</f>
        <v>Paid</v>
      </c>
      <c r="M223" s="1" t="n">
        <f aca="false">'Cleaned Data'!M223</f>
        <v>9</v>
      </c>
      <c r="N223" s="1" t="str">
        <f aca="false">'Cleaned Data'!N223</f>
        <v>No</v>
      </c>
      <c r="O223" s="1" t="str">
        <f aca="false">TEXT(G223,"yyyy-mm")</f>
        <v>2024-12</v>
      </c>
      <c r="P223" s="1" t="str">
        <f aca="false">IF(H223&lt;20,"Low",IF(H223&lt;=60,"Medium","High"))</f>
        <v>High</v>
      </c>
      <c r="Q223" s="1" t="str">
        <f aca="false">IF(I223&gt;0,"Yes","No")</f>
        <v>Yes</v>
      </c>
      <c r="R223" s="1" t="n">
        <f aca="false">IF(N223="Yes",1,0)</f>
        <v>0</v>
      </c>
    </row>
    <row r="224" customFormat="false" ht="15" hidden="false" customHeight="true" outlineLevel="0" collapsed="false">
      <c r="A224" s="1" t="str">
        <f aca="false">'Cleaned Data'!A224</f>
        <v>S00220</v>
      </c>
      <c r="B224" s="1" t="str">
        <f aca="false">'Cleaned Data'!B224</f>
        <v>P7757</v>
      </c>
      <c r="C224" s="1" t="str">
        <f aca="false">'Cleaned Data'!C224</f>
        <v>tonyachristensen</v>
      </c>
      <c r="D224" s="1" t="str">
        <f aca="false">'Cleaned Data'!D224</f>
        <v>Empire Wars</v>
      </c>
      <c r="E224" s="1" t="str">
        <f aca="false">'Cleaned Data'!E224</f>
        <v>Console</v>
      </c>
      <c r="F224" s="1" t="str">
        <f aca="false">'Cleaned Data'!F224</f>
        <v>Central</v>
      </c>
      <c r="G224" s="23" t="n">
        <f aca="false">'Cleaned Data'!G224</f>
        <v>45720</v>
      </c>
      <c r="H224" s="1" t="n">
        <f aca="false">'Cleaned Data'!H224</f>
        <v>154</v>
      </c>
      <c r="I224" s="24" t="n">
        <f aca="false">'Cleaned Data'!I224</f>
        <v>0</v>
      </c>
      <c r="J224" s="1" t="str">
        <f aca="false">'Cleaned Data'!J224</f>
        <v>None</v>
      </c>
      <c r="K224" s="1" t="str">
        <f aca="false">'Cleaned Data'!K224</f>
        <v>Completed</v>
      </c>
      <c r="L224" s="1" t="str">
        <f aca="false">'Cleaned Data'!L224</f>
        <v>Free</v>
      </c>
      <c r="M224" s="1" t="n">
        <f aca="false">'Cleaned Data'!M224</f>
        <v>26</v>
      </c>
      <c r="N224" s="1" t="str">
        <f aca="false">'Cleaned Data'!N224</f>
        <v>Yes</v>
      </c>
      <c r="O224" s="1" t="str">
        <f aca="false">TEXT(G224,"yyyy-mm")</f>
        <v>2025-03</v>
      </c>
      <c r="P224" s="1" t="str">
        <f aca="false">IF(H224&lt;20,"Low",IF(H224&lt;=60,"Medium","High"))</f>
        <v>High</v>
      </c>
      <c r="Q224" s="1" t="str">
        <f aca="false">IF(I224&gt;0,"Yes","No")</f>
        <v>No</v>
      </c>
      <c r="R224" s="1" t="n">
        <f aca="false">IF(N224="Yes",1,0)</f>
        <v>1</v>
      </c>
    </row>
    <row r="225" customFormat="false" ht="15" hidden="false" customHeight="true" outlineLevel="0" collapsed="false">
      <c r="A225" s="1" t="str">
        <f aca="false">'Cleaned Data'!A225</f>
        <v>S00221</v>
      </c>
      <c r="B225" s="1" t="str">
        <f aca="false">'Cleaned Data'!B225</f>
        <v>P1073</v>
      </c>
      <c r="C225" s="1" t="str">
        <f aca="false">'Cleaned Data'!C225</f>
        <v>shawna86</v>
      </c>
      <c r="D225" s="1" t="str">
        <f aca="false">'Cleaned Data'!D225</f>
        <v>Clash of Realms</v>
      </c>
      <c r="E225" s="1" t="str">
        <f aca="false">'Cleaned Data'!E225</f>
        <v>PC</v>
      </c>
      <c r="F225" s="1" t="str">
        <f aca="false">'Cleaned Data'!F225</f>
        <v>Central</v>
      </c>
      <c r="G225" s="23" t="n">
        <f aca="false">'Cleaned Data'!G225</f>
        <v>45775</v>
      </c>
      <c r="H225" s="1" t="n">
        <f aca="false">'Cleaned Data'!H225</f>
        <v>105</v>
      </c>
      <c r="I225" s="24" t="n">
        <f aca="false">'Cleaned Data'!I225</f>
        <v>0</v>
      </c>
      <c r="J225" s="1" t="str">
        <f aca="false">'Cleaned Data'!J225</f>
        <v>None</v>
      </c>
      <c r="K225" s="1" t="str">
        <f aca="false">'Cleaned Data'!K225</f>
        <v>Completed</v>
      </c>
      <c r="L225" s="1" t="str">
        <f aca="false">'Cleaned Data'!L225</f>
        <v>Free</v>
      </c>
      <c r="M225" s="1" t="n">
        <f aca="false">'Cleaned Data'!M225</f>
        <v>38</v>
      </c>
      <c r="N225" s="1" t="str">
        <f aca="false">'Cleaned Data'!N225</f>
        <v>No</v>
      </c>
      <c r="O225" s="1" t="str">
        <f aca="false">TEXT(G225,"yyyy-mm")</f>
        <v>2025-04</v>
      </c>
      <c r="P225" s="1" t="str">
        <f aca="false">IF(H225&lt;20,"Low",IF(H225&lt;=60,"Medium","High"))</f>
        <v>High</v>
      </c>
      <c r="Q225" s="1" t="str">
        <f aca="false">IF(I225&gt;0,"Yes","No")</f>
        <v>No</v>
      </c>
      <c r="R225" s="1" t="n">
        <f aca="false">IF(N225="Yes",1,0)</f>
        <v>0</v>
      </c>
    </row>
    <row r="226" customFormat="false" ht="15" hidden="false" customHeight="true" outlineLevel="0" collapsed="false">
      <c r="A226" s="1" t="str">
        <f aca="false">'Cleaned Data'!A226</f>
        <v>S00222</v>
      </c>
      <c r="B226" s="1" t="str">
        <f aca="false">'Cleaned Data'!B226</f>
        <v>P9392</v>
      </c>
      <c r="C226" s="1" t="str">
        <f aca="false">'Cleaned Data'!C226</f>
        <v>scott81</v>
      </c>
      <c r="D226" s="1" t="str">
        <f aca="false">'Cleaned Data'!D226</f>
        <v>SpeedX</v>
      </c>
      <c r="E226" s="1" t="str">
        <f aca="false">'Cleaned Data'!E226</f>
        <v>PC</v>
      </c>
      <c r="F226" s="1" t="str">
        <f aca="false">'Cleaned Data'!F226</f>
        <v>East</v>
      </c>
      <c r="G226" s="23" t="n">
        <f aca="false">'Cleaned Data'!G226</f>
        <v>45683</v>
      </c>
      <c r="H226" s="1" t="n">
        <f aca="false">'Cleaned Data'!H226</f>
        <v>80</v>
      </c>
      <c r="I226" s="24" t="n">
        <f aca="false">'Cleaned Data'!I226</f>
        <v>0</v>
      </c>
      <c r="J226" s="1" t="str">
        <f aca="false">'Cleaned Data'!J226</f>
        <v>None</v>
      </c>
      <c r="K226" s="1" t="str">
        <f aca="false">'Cleaned Data'!K226</f>
        <v>Exited Early</v>
      </c>
      <c r="L226" s="1" t="str">
        <f aca="false">'Cleaned Data'!L226</f>
        <v>Free</v>
      </c>
      <c r="M226" s="1" t="n">
        <f aca="false">'Cleaned Data'!M226</f>
        <v>39</v>
      </c>
      <c r="N226" s="1" t="str">
        <f aca="false">'Cleaned Data'!N226</f>
        <v>No</v>
      </c>
      <c r="O226" s="1" t="str">
        <f aca="false">TEXT(G226,"yyyy-mm")</f>
        <v>2025-01</v>
      </c>
      <c r="P226" s="1" t="str">
        <f aca="false">IF(H226&lt;20,"Low",IF(H226&lt;=60,"Medium","High"))</f>
        <v>High</v>
      </c>
      <c r="Q226" s="1" t="str">
        <f aca="false">IF(I226&gt;0,"Yes","No")</f>
        <v>No</v>
      </c>
      <c r="R226" s="1" t="n">
        <f aca="false">IF(N226="Yes",1,0)</f>
        <v>0</v>
      </c>
    </row>
    <row r="227" customFormat="false" ht="15" hidden="false" customHeight="true" outlineLevel="0" collapsed="false">
      <c r="A227" s="1" t="str">
        <f aca="false">'Cleaned Data'!A227</f>
        <v>S00223</v>
      </c>
      <c r="B227" s="1" t="str">
        <f aca="false">'Cleaned Data'!B227</f>
        <v>P8292</v>
      </c>
      <c r="C227" s="1" t="str">
        <f aca="false">'Cleaned Data'!C227</f>
        <v>kellyrichardson</v>
      </c>
      <c r="D227" s="1" t="str">
        <f aca="false">'Cleaned Data'!D227</f>
        <v>SpeedX</v>
      </c>
      <c r="E227" s="1" t="str">
        <f aca="false">'Cleaned Data'!E227</f>
        <v>PC</v>
      </c>
      <c r="F227" s="1" t="str">
        <f aca="false">'Cleaned Data'!F227</f>
        <v>East</v>
      </c>
      <c r="G227" s="23" t="n">
        <f aca="false">'Cleaned Data'!G227</f>
        <v>45756</v>
      </c>
      <c r="H227" s="1" t="n">
        <f aca="false">'Cleaned Data'!H227</f>
        <v>92</v>
      </c>
      <c r="I227" s="24" t="n">
        <f aca="false">'Cleaned Data'!I227</f>
        <v>0</v>
      </c>
      <c r="J227" s="1" t="str">
        <f aca="false">'Cleaned Data'!J227</f>
        <v>None</v>
      </c>
      <c r="K227" s="1" t="str">
        <f aca="false">'Cleaned Data'!K227</f>
        <v>Completed</v>
      </c>
      <c r="L227" s="1" t="str">
        <f aca="false">'Cleaned Data'!L227</f>
        <v>Free</v>
      </c>
      <c r="M227" s="1" t="n">
        <f aca="false">'Cleaned Data'!M227</f>
        <v>11</v>
      </c>
      <c r="N227" s="1" t="str">
        <f aca="false">'Cleaned Data'!N227</f>
        <v>No</v>
      </c>
      <c r="O227" s="1" t="str">
        <f aca="false">TEXT(G227,"yyyy-mm")</f>
        <v>2025-04</v>
      </c>
      <c r="P227" s="1" t="str">
        <f aca="false">IF(H227&lt;20,"Low",IF(H227&lt;=60,"Medium","High"))</f>
        <v>High</v>
      </c>
      <c r="Q227" s="1" t="str">
        <f aca="false">IF(I227&gt;0,"Yes","No")</f>
        <v>No</v>
      </c>
      <c r="R227" s="1" t="n">
        <f aca="false">IF(N227="Yes",1,0)</f>
        <v>0</v>
      </c>
    </row>
    <row r="228" customFormat="false" ht="15" hidden="false" customHeight="true" outlineLevel="0" collapsed="false">
      <c r="A228" s="1" t="str">
        <f aca="false">'Cleaned Data'!A228</f>
        <v>S00224</v>
      </c>
      <c r="B228" s="1" t="str">
        <f aca="false">'Cleaned Data'!B228</f>
        <v>P4744</v>
      </c>
      <c r="C228" s="1" t="str">
        <f aca="false">'Cleaned Data'!C228</f>
        <v>jeansmall</v>
      </c>
      <c r="D228" s="1" t="str">
        <f aca="false">'Cleaned Data'!D228</f>
        <v>Clash of Realms</v>
      </c>
      <c r="E228" s="1" t="str">
        <f aca="false">'Cleaned Data'!E228</f>
        <v>Mobile</v>
      </c>
      <c r="F228" s="1" t="str">
        <f aca="false">'Cleaned Data'!F228</f>
        <v>Central</v>
      </c>
      <c r="G228" s="23" t="n">
        <f aca="false">'Cleaned Data'!G228</f>
        <v>45683</v>
      </c>
      <c r="H228" s="1" t="n">
        <f aca="false">'Cleaned Data'!H228</f>
        <v>113</v>
      </c>
      <c r="I228" s="24" t="n">
        <f aca="false">'Cleaned Data'!I228</f>
        <v>0</v>
      </c>
      <c r="J228" s="1" t="str">
        <f aca="false">'Cleaned Data'!J228</f>
        <v>None</v>
      </c>
      <c r="K228" s="1" t="str">
        <f aca="false">'Cleaned Data'!K228</f>
        <v>Completed</v>
      </c>
      <c r="L228" s="1" t="str">
        <f aca="false">'Cleaned Data'!L228</f>
        <v>Free</v>
      </c>
      <c r="M228" s="1" t="n">
        <f aca="false">'Cleaned Data'!M228</f>
        <v>46</v>
      </c>
      <c r="N228" s="1" t="str">
        <f aca="false">'Cleaned Data'!N228</f>
        <v>No</v>
      </c>
      <c r="O228" s="1" t="str">
        <f aca="false">TEXT(G228,"yyyy-mm")</f>
        <v>2025-01</v>
      </c>
      <c r="P228" s="1" t="str">
        <f aca="false">IF(H228&lt;20,"Low",IF(H228&lt;=60,"Medium","High"))</f>
        <v>High</v>
      </c>
      <c r="Q228" s="1" t="str">
        <f aca="false">IF(I228&gt;0,"Yes","No")</f>
        <v>No</v>
      </c>
      <c r="R228" s="1" t="n">
        <f aca="false">IF(N228="Yes",1,0)</f>
        <v>0</v>
      </c>
    </row>
    <row r="229" customFormat="false" ht="15" hidden="false" customHeight="true" outlineLevel="0" collapsed="false">
      <c r="A229" s="1" t="str">
        <f aca="false">'Cleaned Data'!A229</f>
        <v>S00225</v>
      </c>
      <c r="B229" s="1" t="str">
        <f aca="false">'Cleaned Data'!B229</f>
        <v>P1940</v>
      </c>
      <c r="C229" s="1" t="str">
        <f aca="false">'Cleaned Data'!C229</f>
        <v>richard18</v>
      </c>
      <c r="D229" s="1" t="str">
        <f aca="false">'Cleaned Data'!D229</f>
        <v>SpeedX</v>
      </c>
      <c r="E229" s="1" t="str">
        <f aca="false">'Cleaned Data'!E229</f>
        <v>Mobile</v>
      </c>
      <c r="F229" s="1" t="str">
        <f aca="false">'Cleaned Data'!F229</f>
        <v>East</v>
      </c>
      <c r="G229" s="23" t="n">
        <f aca="false">'Cleaned Data'!G229</f>
        <v>45663</v>
      </c>
      <c r="H229" s="1" t="n">
        <f aca="false">'Cleaned Data'!H229</f>
        <v>117</v>
      </c>
      <c r="I229" s="24" t="n">
        <f aca="false">'Cleaned Data'!I229</f>
        <v>23.32</v>
      </c>
      <c r="J229" s="1" t="str">
        <f aca="false">'Cleaned Data'!J229</f>
        <v>Boosters</v>
      </c>
      <c r="K229" s="1" t="str">
        <f aca="false">'Cleaned Data'!K229</f>
        <v>Completed</v>
      </c>
      <c r="L229" s="1" t="str">
        <f aca="false">'Cleaned Data'!L229</f>
        <v>Paid</v>
      </c>
      <c r="M229" s="1" t="n">
        <f aca="false">'Cleaned Data'!M229</f>
        <v>11</v>
      </c>
      <c r="N229" s="1" t="str">
        <f aca="false">'Cleaned Data'!N229</f>
        <v>No</v>
      </c>
      <c r="O229" s="1" t="str">
        <f aca="false">TEXT(G229,"yyyy-mm")</f>
        <v>2025-01</v>
      </c>
      <c r="P229" s="1" t="str">
        <f aca="false">IF(H229&lt;20,"Low",IF(H229&lt;=60,"Medium","High"))</f>
        <v>High</v>
      </c>
      <c r="Q229" s="1" t="str">
        <f aca="false">IF(I229&gt;0,"Yes","No")</f>
        <v>Yes</v>
      </c>
      <c r="R229" s="1" t="n">
        <f aca="false">IF(N229="Yes",1,0)</f>
        <v>0</v>
      </c>
    </row>
    <row r="230" customFormat="false" ht="15" hidden="false" customHeight="true" outlineLevel="0" collapsed="false">
      <c r="A230" s="1" t="str">
        <f aca="false">'Cleaned Data'!A230</f>
        <v>S00226</v>
      </c>
      <c r="B230" s="1" t="str">
        <f aca="false">'Cleaned Data'!B230</f>
        <v>P7147</v>
      </c>
      <c r="C230" s="1" t="str">
        <f aca="false">'Cleaned Data'!C230</f>
        <v>jayroberts</v>
      </c>
      <c r="D230" s="1" t="str">
        <f aca="false">'Cleaned Data'!D230</f>
        <v>BattleZone</v>
      </c>
      <c r="E230" s="1" t="str">
        <f aca="false">'Cleaned Data'!E230</f>
        <v>Console</v>
      </c>
      <c r="F230" s="1" t="str">
        <f aca="false">'Cleaned Data'!F230</f>
        <v>West</v>
      </c>
      <c r="G230" s="23" t="n">
        <f aca="false">'Cleaned Data'!G230</f>
        <v>45688</v>
      </c>
      <c r="H230" s="1" t="n">
        <f aca="false">'Cleaned Data'!H230</f>
        <v>71</v>
      </c>
      <c r="I230" s="24" t="n">
        <f aca="false">'Cleaned Data'!I230</f>
        <v>0</v>
      </c>
      <c r="J230" s="1" t="str">
        <f aca="false">'Cleaned Data'!J230</f>
        <v>None</v>
      </c>
      <c r="K230" s="1" t="str">
        <f aca="false">'Cleaned Data'!K230</f>
        <v>Completed</v>
      </c>
      <c r="L230" s="1" t="str">
        <f aca="false">'Cleaned Data'!L230</f>
        <v>Free</v>
      </c>
      <c r="M230" s="1" t="n">
        <f aca="false">'Cleaned Data'!M230</f>
        <v>37</v>
      </c>
      <c r="N230" s="1" t="str">
        <f aca="false">'Cleaned Data'!N230</f>
        <v>No</v>
      </c>
      <c r="O230" s="1" t="str">
        <f aca="false">TEXT(G230,"yyyy-mm")</f>
        <v>2025-01</v>
      </c>
      <c r="P230" s="1" t="str">
        <f aca="false">IF(H230&lt;20,"Low",IF(H230&lt;=60,"Medium","High"))</f>
        <v>High</v>
      </c>
      <c r="Q230" s="1" t="str">
        <f aca="false">IF(I230&gt;0,"Yes","No")</f>
        <v>No</v>
      </c>
      <c r="R230" s="1" t="n">
        <f aca="false">IF(N230="Yes",1,0)</f>
        <v>0</v>
      </c>
    </row>
    <row r="231" customFormat="false" ht="15" hidden="false" customHeight="true" outlineLevel="0" collapsed="false">
      <c r="A231" s="1" t="str">
        <f aca="false">'Cleaned Data'!A231</f>
        <v>S00227</v>
      </c>
      <c r="B231" s="1" t="str">
        <f aca="false">'Cleaned Data'!B231</f>
        <v>P9650</v>
      </c>
      <c r="C231" s="1" t="str">
        <f aca="false">'Cleaned Data'!C231</f>
        <v>lpowers</v>
      </c>
      <c r="D231" s="1" t="str">
        <f aca="false">'Cleaned Data'!D231</f>
        <v>Empire Wars</v>
      </c>
      <c r="E231" s="1" t="str">
        <f aca="false">'Cleaned Data'!E231</f>
        <v>Mobile</v>
      </c>
      <c r="F231" s="1" t="str">
        <f aca="false">'Cleaned Data'!F231</f>
        <v>South</v>
      </c>
      <c r="G231" s="23" t="n">
        <f aca="false">'Cleaned Data'!G231</f>
        <v>45680</v>
      </c>
      <c r="H231" s="1" t="n">
        <f aca="false">'Cleaned Data'!H231</f>
        <v>132</v>
      </c>
      <c r="I231" s="24" t="n">
        <f aca="false">'Cleaned Data'!I231</f>
        <v>0</v>
      </c>
      <c r="J231" s="1" t="str">
        <f aca="false">'Cleaned Data'!J231</f>
        <v>None</v>
      </c>
      <c r="K231" s="1" t="str">
        <f aca="false">'Cleaned Data'!K231</f>
        <v>Completed</v>
      </c>
      <c r="L231" s="1" t="str">
        <f aca="false">'Cleaned Data'!L231</f>
        <v>Paid</v>
      </c>
      <c r="M231" s="1" t="n">
        <f aca="false">'Cleaned Data'!M231</f>
        <v>50</v>
      </c>
      <c r="N231" s="1" t="str">
        <f aca="false">'Cleaned Data'!N231</f>
        <v>No</v>
      </c>
      <c r="O231" s="1" t="str">
        <f aca="false">TEXT(G231,"yyyy-mm")</f>
        <v>2025-01</v>
      </c>
      <c r="P231" s="1" t="str">
        <f aca="false">IF(H231&lt;20,"Low",IF(H231&lt;=60,"Medium","High"))</f>
        <v>High</v>
      </c>
      <c r="Q231" s="1" t="str">
        <f aca="false">IF(I231&gt;0,"Yes","No")</f>
        <v>No</v>
      </c>
      <c r="R231" s="1" t="n">
        <f aca="false">IF(N231="Yes",1,0)</f>
        <v>0</v>
      </c>
    </row>
    <row r="232" customFormat="false" ht="15" hidden="false" customHeight="true" outlineLevel="0" collapsed="false">
      <c r="A232" s="1" t="str">
        <f aca="false">'Cleaned Data'!A232</f>
        <v>S00228</v>
      </c>
      <c r="B232" s="1" t="str">
        <f aca="false">'Cleaned Data'!B232</f>
        <v>P4765</v>
      </c>
      <c r="C232" s="1" t="str">
        <f aca="false">'Cleaned Data'!C232</f>
        <v>thomas60</v>
      </c>
      <c r="D232" s="1" t="str">
        <f aca="false">'Cleaned Data'!D232</f>
        <v>BattleZone</v>
      </c>
      <c r="E232" s="1" t="str">
        <f aca="false">'Cleaned Data'!E232</f>
        <v>Mobile</v>
      </c>
      <c r="F232" s="1" t="str">
        <f aca="false">'Cleaned Data'!F232</f>
        <v>South</v>
      </c>
      <c r="G232" s="23" t="n">
        <f aca="false">'Cleaned Data'!G232</f>
        <v>45779</v>
      </c>
      <c r="H232" s="1" t="n">
        <f aca="false">'Cleaned Data'!H232</f>
        <v>30</v>
      </c>
      <c r="I232" s="24" t="n">
        <f aca="false">'Cleaned Data'!I232</f>
        <v>0</v>
      </c>
      <c r="J232" s="1" t="str">
        <f aca="false">'Cleaned Data'!J232</f>
        <v>None</v>
      </c>
      <c r="K232" s="1" t="str">
        <f aca="false">'Cleaned Data'!K232</f>
        <v>Completed</v>
      </c>
      <c r="L232" s="1" t="str">
        <f aca="false">'Cleaned Data'!L232</f>
        <v>Free</v>
      </c>
      <c r="M232" s="1" t="n">
        <f aca="false">'Cleaned Data'!M232</f>
        <v>20</v>
      </c>
      <c r="N232" s="1" t="str">
        <f aca="false">'Cleaned Data'!N232</f>
        <v>No</v>
      </c>
      <c r="O232" s="1" t="str">
        <f aca="false">TEXT(G232,"yyyy-mm")</f>
        <v>2025-05</v>
      </c>
      <c r="P232" s="1" t="str">
        <f aca="false">IF(H232&lt;20,"Low",IF(H232&lt;=60,"Medium","High"))</f>
        <v>Medium</v>
      </c>
      <c r="Q232" s="1" t="str">
        <f aca="false">IF(I232&gt;0,"Yes","No")</f>
        <v>No</v>
      </c>
      <c r="R232" s="1" t="n">
        <f aca="false">IF(N232="Yes",1,0)</f>
        <v>0</v>
      </c>
    </row>
    <row r="233" customFormat="false" ht="15" hidden="false" customHeight="true" outlineLevel="0" collapsed="false">
      <c r="A233" s="1" t="str">
        <f aca="false">'Cleaned Data'!A233</f>
        <v>S00229</v>
      </c>
      <c r="B233" s="1" t="str">
        <f aca="false">'Cleaned Data'!B233</f>
        <v>P1732</v>
      </c>
      <c r="C233" s="1" t="str">
        <f aca="false">'Cleaned Data'!C233</f>
        <v>zjames</v>
      </c>
      <c r="D233" s="1" t="str">
        <f aca="false">'Cleaned Data'!D233</f>
        <v>Empire Wars</v>
      </c>
      <c r="E233" s="1" t="str">
        <f aca="false">'Cleaned Data'!E233</f>
        <v>Console</v>
      </c>
      <c r="F233" s="1" t="str">
        <f aca="false">'Cleaned Data'!F233</f>
        <v>Central</v>
      </c>
      <c r="G233" s="23" t="n">
        <f aca="false">'Cleaned Data'!G233</f>
        <v>45804</v>
      </c>
      <c r="H233" s="1" t="n">
        <f aca="false">'Cleaned Data'!H233</f>
        <v>48</v>
      </c>
      <c r="I233" s="24" t="n">
        <f aca="false">'Cleaned Data'!I233</f>
        <v>0</v>
      </c>
      <c r="J233" s="1" t="str">
        <f aca="false">'Cleaned Data'!J233</f>
        <v>None</v>
      </c>
      <c r="K233" s="1" t="str">
        <f aca="false">'Cleaned Data'!K233</f>
        <v>Exited Early</v>
      </c>
      <c r="L233" s="1" t="str">
        <f aca="false">'Cleaned Data'!L233</f>
        <v>Free</v>
      </c>
      <c r="M233" s="1" t="n">
        <f aca="false">'Cleaned Data'!M233</f>
        <v>36</v>
      </c>
      <c r="N233" s="1" t="str">
        <f aca="false">'Cleaned Data'!N233</f>
        <v>No</v>
      </c>
      <c r="O233" s="1" t="str">
        <f aca="false">TEXT(G233,"yyyy-mm")</f>
        <v>2025-05</v>
      </c>
      <c r="P233" s="1" t="str">
        <f aca="false">IF(H233&lt;20,"Low",IF(H233&lt;=60,"Medium","High"))</f>
        <v>Medium</v>
      </c>
      <c r="Q233" s="1" t="str">
        <f aca="false">IF(I233&gt;0,"Yes","No")</f>
        <v>No</v>
      </c>
      <c r="R233" s="1" t="n">
        <f aca="false">IF(N233="Yes",1,0)</f>
        <v>0</v>
      </c>
    </row>
    <row r="234" customFormat="false" ht="15" hidden="false" customHeight="true" outlineLevel="0" collapsed="false">
      <c r="A234" s="1" t="str">
        <f aca="false">'Cleaned Data'!A234</f>
        <v>S00230</v>
      </c>
      <c r="B234" s="1" t="str">
        <f aca="false">'Cleaned Data'!B234</f>
        <v>P7236</v>
      </c>
      <c r="C234" s="1" t="str">
        <f aca="false">'Cleaned Data'!C234</f>
        <v>zhopkins</v>
      </c>
      <c r="D234" s="1" t="str">
        <f aca="false">'Cleaned Data'!D234</f>
        <v>SpeedX</v>
      </c>
      <c r="E234" s="1" t="str">
        <f aca="false">'Cleaned Data'!E234</f>
        <v>PC</v>
      </c>
      <c r="F234" s="1" t="str">
        <f aca="false">'Cleaned Data'!F234</f>
        <v>Central</v>
      </c>
      <c r="G234" s="23" t="n">
        <f aca="false">'Cleaned Data'!G234</f>
        <v>45795</v>
      </c>
      <c r="H234" s="1" t="n">
        <f aca="false">'Cleaned Data'!H234</f>
        <v>98</v>
      </c>
      <c r="I234" s="24" t="n">
        <f aca="false">'Cleaned Data'!I234</f>
        <v>27.66</v>
      </c>
      <c r="J234" s="1" t="str">
        <f aca="false">'Cleaned Data'!J234</f>
        <v>Boosters</v>
      </c>
      <c r="K234" s="1" t="str">
        <f aca="false">'Cleaned Data'!K234</f>
        <v>Completed</v>
      </c>
      <c r="L234" s="1" t="str">
        <f aca="false">'Cleaned Data'!L234</f>
        <v>Paid</v>
      </c>
      <c r="M234" s="1" t="n">
        <f aca="false">'Cleaned Data'!M234</f>
        <v>27</v>
      </c>
      <c r="N234" s="1" t="str">
        <f aca="false">'Cleaned Data'!N234</f>
        <v>No</v>
      </c>
      <c r="O234" s="1" t="str">
        <f aca="false">TEXT(G234,"yyyy-mm")</f>
        <v>2025-05</v>
      </c>
      <c r="P234" s="1" t="str">
        <f aca="false">IF(H234&lt;20,"Low",IF(H234&lt;=60,"Medium","High"))</f>
        <v>High</v>
      </c>
      <c r="Q234" s="1" t="str">
        <f aca="false">IF(I234&gt;0,"Yes","No")</f>
        <v>Yes</v>
      </c>
      <c r="R234" s="1" t="n">
        <f aca="false">IF(N234="Yes",1,0)</f>
        <v>0</v>
      </c>
    </row>
    <row r="235" customFormat="false" ht="15" hidden="false" customHeight="true" outlineLevel="0" collapsed="false">
      <c r="A235" s="1" t="str">
        <f aca="false">'Cleaned Data'!A235</f>
        <v>S00231</v>
      </c>
      <c r="B235" s="1" t="str">
        <f aca="false">'Cleaned Data'!B235</f>
        <v>P9363</v>
      </c>
      <c r="C235" s="1" t="str">
        <f aca="false">'Cleaned Data'!C235</f>
        <v>melissa94</v>
      </c>
      <c r="D235" s="1" t="str">
        <f aca="false">'Cleaned Data'!D235</f>
        <v>Zombie Rush</v>
      </c>
      <c r="E235" s="1" t="str">
        <f aca="false">'Cleaned Data'!E235</f>
        <v>Mobile</v>
      </c>
      <c r="F235" s="1" t="str">
        <f aca="false">'Cleaned Data'!F235</f>
        <v>North</v>
      </c>
      <c r="G235" s="23" t="n">
        <f aca="false">'Cleaned Data'!G235</f>
        <v>45693</v>
      </c>
      <c r="H235" s="1" t="n">
        <f aca="false">'Cleaned Data'!H235</f>
        <v>23</v>
      </c>
      <c r="I235" s="24" t="n">
        <f aca="false">'Cleaned Data'!I235</f>
        <v>24.09</v>
      </c>
      <c r="J235" s="1" t="str">
        <f aca="false">'Cleaned Data'!J235</f>
        <v>Skins</v>
      </c>
      <c r="K235" s="1" t="str">
        <f aca="false">'Cleaned Data'!K235</f>
        <v>Incomplete</v>
      </c>
      <c r="L235" s="1" t="str">
        <f aca="false">'Cleaned Data'!L235</f>
        <v>Paid</v>
      </c>
      <c r="M235" s="1" t="n">
        <f aca="false">'Cleaned Data'!M235</f>
        <v>23</v>
      </c>
      <c r="N235" s="1" t="str">
        <f aca="false">'Cleaned Data'!N235</f>
        <v>No</v>
      </c>
      <c r="O235" s="1" t="str">
        <f aca="false">TEXT(G235,"yyyy-mm")</f>
        <v>2025-02</v>
      </c>
      <c r="P235" s="1" t="str">
        <f aca="false">IF(H235&lt;20,"Low",IF(H235&lt;=60,"Medium","High"))</f>
        <v>Medium</v>
      </c>
      <c r="Q235" s="1" t="str">
        <f aca="false">IF(I235&gt;0,"Yes","No")</f>
        <v>Yes</v>
      </c>
      <c r="R235" s="1" t="n">
        <f aca="false">IF(N235="Yes",1,0)</f>
        <v>0</v>
      </c>
    </row>
    <row r="236" customFormat="false" ht="15" hidden="false" customHeight="true" outlineLevel="0" collapsed="false">
      <c r="A236" s="1" t="str">
        <f aca="false">'Cleaned Data'!A236</f>
        <v>S00232</v>
      </c>
      <c r="B236" s="1" t="str">
        <f aca="false">'Cleaned Data'!B236</f>
        <v>P8348</v>
      </c>
      <c r="C236" s="1" t="str">
        <f aca="false">'Cleaned Data'!C236</f>
        <v>pottsdavid</v>
      </c>
      <c r="D236" s="1" t="str">
        <f aca="false">'Cleaned Data'!D236</f>
        <v>Zombie Rush</v>
      </c>
      <c r="E236" s="1" t="str">
        <f aca="false">'Cleaned Data'!E236</f>
        <v>Console</v>
      </c>
      <c r="F236" s="1" t="str">
        <f aca="false">'Cleaned Data'!F236</f>
        <v>West</v>
      </c>
      <c r="G236" s="23" t="n">
        <f aca="false">'Cleaned Data'!G236</f>
        <v>45786</v>
      </c>
      <c r="H236" s="1" t="n">
        <f aca="false">'Cleaned Data'!H236</f>
        <v>146</v>
      </c>
      <c r="I236" s="24" t="n">
        <f aca="false">'Cleaned Data'!I236</f>
        <v>43.02</v>
      </c>
      <c r="J236" s="1" t="str">
        <f aca="false">'Cleaned Data'!J236</f>
        <v>Skins</v>
      </c>
      <c r="K236" s="1" t="str">
        <f aca="false">'Cleaned Data'!K236</f>
        <v>Completed</v>
      </c>
      <c r="L236" s="1" t="str">
        <f aca="false">'Cleaned Data'!L236</f>
        <v>Paid</v>
      </c>
      <c r="M236" s="1" t="n">
        <f aca="false">'Cleaned Data'!M236</f>
        <v>24</v>
      </c>
      <c r="N236" s="1" t="str">
        <f aca="false">'Cleaned Data'!N236</f>
        <v>Yes</v>
      </c>
      <c r="O236" s="1" t="str">
        <f aca="false">TEXT(G236,"yyyy-mm")</f>
        <v>2025-05</v>
      </c>
      <c r="P236" s="1" t="str">
        <f aca="false">IF(H236&lt;20,"Low",IF(H236&lt;=60,"Medium","High"))</f>
        <v>High</v>
      </c>
      <c r="Q236" s="1" t="str">
        <f aca="false">IF(I236&gt;0,"Yes","No")</f>
        <v>Yes</v>
      </c>
      <c r="R236" s="1" t="n">
        <f aca="false">IF(N236="Yes",1,0)</f>
        <v>1</v>
      </c>
    </row>
    <row r="237" customFormat="false" ht="15" hidden="false" customHeight="true" outlineLevel="0" collapsed="false">
      <c r="A237" s="1" t="str">
        <f aca="false">'Cleaned Data'!A237</f>
        <v>S00233</v>
      </c>
      <c r="B237" s="1" t="str">
        <f aca="false">'Cleaned Data'!B237</f>
        <v>P8315</v>
      </c>
      <c r="C237" s="1" t="str">
        <f aca="false">'Cleaned Data'!C237</f>
        <v>zmartin</v>
      </c>
      <c r="D237" s="1" t="str">
        <f aca="false">'Cleaned Data'!D237</f>
        <v>SpeedX</v>
      </c>
      <c r="E237" s="1" t="str">
        <f aca="false">'Cleaned Data'!E237</f>
        <v>PC</v>
      </c>
      <c r="F237" s="1" t="str">
        <f aca="false">'Cleaned Data'!F237</f>
        <v>North-East</v>
      </c>
      <c r="G237" s="23" t="n">
        <f aca="false">'Cleaned Data'!G237</f>
        <v>45757</v>
      </c>
      <c r="H237" s="1" t="n">
        <f aca="false">'Cleaned Data'!H237</f>
        <v>55</v>
      </c>
      <c r="I237" s="24" t="n">
        <f aca="false">'Cleaned Data'!I237</f>
        <v>0</v>
      </c>
      <c r="J237" s="1" t="str">
        <f aca="false">'Cleaned Data'!J237</f>
        <v>None</v>
      </c>
      <c r="K237" s="1" t="str">
        <f aca="false">'Cleaned Data'!K237</f>
        <v>Completed</v>
      </c>
      <c r="L237" s="1" t="str">
        <f aca="false">'Cleaned Data'!L237</f>
        <v>Free</v>
      </c>
      <c r="M237" s="1" t="n">
        <f aca="false">'Cleaned Data'!M237</f>
        <v>20</v>
      </c>
      <c r="N237" s="1" t="str">
        <f aca="false">'Cleaned Data'!N237</f>
        <v>No</v>
      </c>
      <c r="O237" s="1" t="str">
        <f aca="false">TEXT(G237,"yyyy-mm")</f>
        <v>2025-04</v>
      </c>
      <c r="P237" s="1" t="str">
        <f aca="false">IF(H237&lt;20,"Low",IF(H237&lt;=60,"Medium","High"))</f>
        <v>Medium</v>
      </c>
      <c r="Q237" s="1" t="str">
        <f aca="false">IF(I237&gt;0,"Yes","No")</f>
        <v>No</v>
      </c>
      <c r="R237" s="1" t="n">
        <f aca="false">IF(N237="Yes",1,0)</f>
        <v>0</v>
      </c>
    </row>
    <row r="238" customFormat="false" ht="15" hidden="false" customHeight="true" outlineLevel="0" collapsed="false">
      <c r="A238" s="1" t="str">
        <f aca="false">'Cleaned Data'!A238</f>
        <v>S00234</v>
      </c>
      <c r="B238" s="1" t="str">
        <f aca="false">'Cleaned Data'!B238</f>
        <v>P4086</v>
      </c>
      <c r="C238" s="1" t="str">
        <f aca="false">'Cleaned Data'!C238</f>
        <v>joseph76</v>
      </c>
      <c r="D238" s="1" t="str">
        <f aca="false">'Cleaned Data'!D238</f>
        <v>Zombie Rush</v>
      </c>
      <c r="E238" s="1" t="str">
        <f aca="false">'Cleaned Data'!E238</f>
        <v>Mobile</v>
      </c>
      <c r="F238" s="1" t="str">
        <f aca="false">'Cleaned Data'!F238</f>
        <v>North</v>
      </c>
      <c r="G238" s="23" t="n">
        <f aca="false">'Cleaned Data'!G238</f>
        <v>45652</v>
      </c>
      <c r="H238" s="1" t="n">
        <f aca="false">'Cleaned Data'!H238</f>
        <v>154</v>
      </c>
      <c r="I238" s="24" t="n">
        <f aca="false">'Cleaned Data'!I238</f>
        <v>0</v>
      </c>
      <c r="J238" s="1" t="str">
        <f aca="false">'Cleaned Data'!J238</f>
        <v>None</v>
      </c>
      <c r="K238" s="1" t="str">
        <f aca="false">'Cleaned Data'!K238</f>
        <v>Completed</v>
      </c>
      <c r="L238" s="1" t="str">
        <f aca="false">'Cleaned Data'!L238</f>
        <v>Free</v>
      </c>
      <c r="M238" s="1" t="n">
        <f aca="false">'Cleaned Data'!M238</f>
        <v>22</v>
      </c>
      <c r="N238" s="1" t="str">
        <f aca="false">'Cleaned Data'!N238</f>
        <v>Yes</v>
      </c>
      <c r="O238" s="1" t="str">
        <f aca="false">TEXT(G238,"yyyy-mm")</f>
        <v>2024-12</v>
      </c>
      <c r="P238" s="1" t="str">
        <f aca="false">IF(H238&lt;20,"Low",IF(H238&lt;=60,"Medium","High"))</f>
        <v>High</v>
      </c>
      <c r="Q238" s="1" t="str">
        <f aca="false">IF(I238&gt;0,"Yes","No")</f>
        <v>No</v>
      </c>
      <c r="R238" s="1" t="n">
        <f aca="false">IF(N238="Yes",1,0)</f>
        <v>1</v>
      </c>
    </row>
    <row r="239" customFormat="false" ht="15" hidden="false" customHeight="true" outlineLevel="0" collapsed="false">
      <c r="A239" s="1" t="str">
        <f aca="false">'Cleaned Data'!A239</f>
        <v>S00235</v>
      </c>
      <c r="B239" s="1" t="str">
        <f aca="false">'Cleaned Data'!B239</f>
        <v>P5994</v>
      </c>
      <c r="C239" s="1" t="str">
        <f aca="false">'Cleaned Data'!C239</f>
        <v>deannanewman</v>
      </c>
      <c r="D239" s="1" t="str">
        <f aca="false">'Cleaned Data'!D239</f>
        <v>BattleZone</v>
      </c>
      <c r="E239" s="1" t="str">
        <f aca="false">'Cleaned Data'!E239</f>
        <v>PC</v>
      </c>
      <c r="F239" s="1" t="str">
        <f aca="false">'Cleaned Data'!F239</f>
        <v>West</v>
      </c>
      <c r="G239" s="23" t="n">
        <f aca="false">'Cleaned Data'!G239</f>
        <v>45764</v>
      </c>
      <c r="H239" s="1" t="n">
        <f aca="false">'Cleaned Data'!H239</f>
        <v>163</v>
      </c>
      <c r="I239" s="24" t="n">
        <f aca="false">'Cleaned Data'!I239</f>
        <v>0</v>
      </c>
      <c r="J239" s="1" t="str">
        <f aca="false">'Cleaned Data'!J239</f>
        <v>None</v>
      </c>
      <c r="K239" s="1" t="str">
        <f aca="false">'Cleaned Data'!K239</f>
        <v>Completed</v>
      </c>
      <c r="L239" s="1" t="str">
        <f aca="false">'Cleaned Data'!L239</f>
        <v>Free</v>
      </c>
      <c r="M239" s="1" t="n">
        <f aca="false">'Cleaned Data'!M239</f>
        <v>46</v>
      </c>
      <c r="N239" s="1" t="str">
        <f aca="false">'Cleaned Data'!N239</f>
        <v>Yes</v>
      </c>
      <c r="O239" s="1" t="str">
        <f aca="false">TEXT(G239,"yyyy-mm")</f>
        <v>2025-04</v>
      </c>
      <c r="P239" s="1" t="str">
        <f aca="false">IF(H239&lt;20,"Low",IF(H239&lt;=60,"Medium","High"))</f>
        <v>High</v>
      </c>
      <c r="Q239" s="1" t="str">
        <f aca="false">IF(I239&gt;0,"Yes","No")</f>
        <v>No</v>
      </c>
      <c r="R239" s="1" t="n">
        <f aca="false">IF(N239="Yes",1,0)</f>
        <v>1</v>
      </c>
    </row>
    <row r="240" customFormat="false" ht="15" hidden="false" customHeight="true" outlineLevel="0" collapsed="false">
      <c r="A240" s="1" t="str">
        <f aca="false">'Cleaned Data'!A240</f>
        <v>S00236</v>
      </c>
      <c r="B240" s="1" t="str">
        <f aca="false">'Cleaned Data'!B240</f>
        <v>P5794</v>
      </c>
      <c r="C240" s="1" t="str">
        <f aca="false">'Cleaned Data'!C240</f>
        <v>rodriguezkathleen</v>
      </c>
      <c r="D240" s="1" t="str">
        <f aca="false">'Cleaned Data'!D240</f>
        <v>SpeedX</v>
      </c>
      <c r="E240" s="1" t="str">
        <f aca="false">'Cleaned Data'!E240</f>
        <v>PC</v>
      </c>
      <c r="F240" s="1" t="str">
        <f aca="false">'Cleaned Data'!F240</f>
        <v>North-East</v>
      </c>
      <c r="G240" s="23" t="n">
        <f aca="false">'Cleaned Data'!G240</f>
        <v>45759</v>
      </c>
      <c r="H240" s="1" t="n">
        <f aca="false">'Cleaned Data'!H240</f>
        <v>59</v>
      </c>
      <c r="I240" s="24" t="n">
        <f aca="false">'Cleaned Data'!I240</f>
        <v>0</v>
      </c>
      <c r="J240" s="1" t="str">
        <f aca="false">'Cleaned Data'!J240</f>
        <v>None</v>
      </c>
      <c r="K240" s="1" t="str">
        <f aca="false">'Cleaned Data'!K240</f>
        <v>Crashed</v>
      </c>
      <c r="L240" s="1" t="str">
        <f aca="false">'Cleaned Data'!L240</f>
        <v>Free</v>
      </c>
      <c r="M240" s="1" t="n">
        <f aca="false">'Cleaned Data'!M240</f>
        <v>5</v>
      </c>
      <c r="N240" s="1" t="str">
        <f aca="false">'Cleaned Data'!N240</f>
        <v>No</v>
      </c>
      <c r="O240" s="1" t="str">
        <f aca="false">TEXT(G240,"yyyy-mm")</f>
        <v>2025-04</v>
      </c>
      <c r="P240" s="1" t="str">
        <f aca="false">IF(H240&lt;20,"Low",IF(H240&lt;=60,"Medium","High"))</f>
        <v>Medium</v>
      </c>
      <c r="Q240" s="1" t="str">
        <f aca="false">IF(I240&gt;0,"Yes","No")</f>
        <v>No</v>
      </c>
      <c r="R240" s="1" t="n">
        <f aca="false">IF(N240="Yes",1,0)</f>
        <v>0</v>
      </c>
    </row>
    <row r="241" customFormat="false" ht="15" hidden="false" customHeight="true" outlineLevel="0" collapsed="false">
      <c r="A241" s="1" t="str">
        <f aca="false">'Cleaned Data'!A241</f>
        <v>S00237</v>
      </c>
      <c r="B241" s="1" t="str">
        <f aca="false">'Cleaned Data'!B241</f>
        <v>P4427</v>
      </c>
      <c r="C241" s="1" t="str">
        <f aca="false">'Cleaned Data'!C241</f>
        <v>nelsonbrandon</v>
      </c>
      <c r="D241" s="1" t="str">
        <f aca="false">'Cleaned Data'!D241</f>
        <v>SpeedX</v>
      </c>
      <c r="E241" s="1" t="str">
        <f aca="false">'Cleaned Data'!E241</f>
        <v>PC</v>
      </c>
      <c r="F241" s="1" t="str">
        <f aca="false">'Cleaned Data'!F241</f>
        <v>North-East</v>
      </c>
      <c r="G241" s="23" t="n">
        <f aca="false">'Cleaned Data'!G241</f>
        <v>45703</v>
      </c>
      <c r="H241" s="1" t="n">
        <f aca="false">'Cleaned Data'!H241</f>
        <v>26</v>
      </c>
      <c r="I241" s="24" t="n">
        <f aca="false">'Cleaned Data'!I241</f>
        <v>11.67</v>
      </c>
      <c r="J241" s="1" t="str">
        <f aca="false">'Cleaned Data'!J241</f>
        <v>Boosters</v>
      </c>
      <c r="K241" s="1" t="str">
        <f aca="false">'Cleaned Data'!K241</f>
        <v>Completed</v>
      </c>
      <c r="L241" s="1" t="str">
        <f aca="false">'Cleaned Data'!L241</f>
        <v>Paid</v>
      </c>
      <c r="M241" s="1" t="n">
        <f aca="false">'Cleaned Data'!M241</f>
        <v>49</v>
      </c>
      <c r="N241" s="1" t="str">
        <f aca="false">'Cleaned Data'!N241</f>
        <v>No</v>
      </c>
      <c r="O241" s="1" t="str">
        <f aca="false">TEXT(G241,"yyyy-mm")</f>
        <v>2025-02</v>
      </c>
      <c r="P241" s="1" t="str">
        <f aca="false">IF(H241&lt;20,"Low",IF(H241&lt;=60,"Medium","High"))</f>
        <v>Medium</v>
      </c>
      <c r="Q241" s="1" t="str">
        <f aca="false">IF(I241&gt;0,"Yes","No")</f>
        <v>Yes</v>
      </c>
      <c r="R241" s="1" t="n">
        <f aca="false">IF(N241="Yes",1,0)</f>
        <v>0</v>
      </c>
    </row>
    <row r="242" customFormat="false" ht="15" hidden="false" customHeight="true" outlineLevel="0" collapsed="false">
      <c r="A242" s="1" t="str">
        <f aca="false">'Cleaned Data'!A242</f>
        <v>S00238</v>
      </c>
      <c r="B242" s="1" t="str">
        <f aca="false">'Cleaned Data'!B242</f>
        <v>P4599</v>
      </c>
      <c r="C242" s="1" t="str">
        <f aca="false">'Cleaned Data'!C242</f>
        <v>wrightjulia</v>
      </c>
      <c r="D242" s="1" t="str">
        <f aca="false">'Cleaned Data'!D242</f>
        <v>Clash of Realms</v>
      </c>
      <c r="E242" s="1" t="str">
        <f aca="false">'Cleaned Data'!E242</f>
        <v>Mobile</v>
      </c>
      <c r="F242" s="1" t="str">
        <f aca="false">'Cleaned Data'!F242</f>
        <v>North</v>
      </c>
      <c r="G242" s="23" t="n">
        <f aca="false">'Cleaned Data'!G242</f>
        <v>45715</v>
      </c>
      <c r="H242" s="1" t="n">
        <f aca="false">'Cleaned Data'!H242</f>
        <v>117</v>
      </c>
      <c r="I242" s="24" t="n">
        <f aca="false">'Cleaned Data'!I242</f>
        <v>0</v>
      </c>
      <c r="J242" s="1" t="str">
        <f aca="false">'Cleaned Data'!J242</f>
        <v>None</v>
      </c>
      <c r="K242" s="1" t="str">
        <f aca="false">'Cleaned Data'!K242</f>
        <v>Exited Early</v>
      </c>
      <c r="L242" s="1" t="str">
        <f aca="false">'Cleaned Data'!L242</f>
        <v>Free</v>
      </c>
      <c r="M242" s="1" t="n">
        <f aca="false">'Cleaned Data'!M242</f>
        <v>21</v>
      </c>
      <c r="N242" s="1" t="str">
        <f aca="false">'Cleaned Data'!N242</f>
        <v>No</v>
      </c>
      <c r="O242" s="1" t="str">
        <f aca="false">TEXT(G242,"yyyy-mm")</f>
        <v>2025-02</v>
      </c>
      <c r="P242" s="1" t="str">
        <f aca="false">IF(H242&lt;20,"Low",IF(H242&lt;=60,"Medium","High"))</f>
        <v>High</v>
      </c>
      <c r="Q242" s="1" t="str">
        <f aca="false">IF(I242&gt;0,"Yes","No")</f>
        <v>No</v>
      </c>
      <c r="R242" s="1" t="n">
        <f aca="false">IF(N242="Yes",1,0)</f>
        <v>0</v>
      </c>
    </row>
    <row r="243" customFormat="false" ht="15" hidden="false" customHeight="true" outlineLevel="0" collapsed="false">
      <c r="A243" s="1" t="str">
        <f aca="false">'Cleaned Data'!A243</f>
        <v>S00239</v>
      </c>
      <c r="B243" s="1" t="str">
        <f aca="false">'Cleaned Data'!B243</f>
        <v>P3944</v>
      </c>
      <c r="C243" s="1" t="str">
        <f aca="false">'Cleaned Data'!C243</f>
        <v>zthomas</v>
      </c>
      <c r="D243" s="1" t="str">
        <f aca="false">'Cleaned Data'!D243</f>
        <v>SpeedX</v>
      </c>
      <c r="E243" s="1" t="str">
        <f aca="false">'Cleaned Data'!E243</f>
        <v>Mobile</v>
      </c>
      <c r="F243" s="1" t="str">
        <f aca="false">'Cleaned Data'!F243</f>
        <v>South</v>
      </c>
      <c r="G243" s="23" t="n">
        <f aca="false">'Cleaned Data'!G243</f>
        <v>45684</v>
      </c>
      <c r="H243" s="1" t="n">
        <f aca="false">'Cleaned Data'!H243</f>
        <v>112</v>
      </c>
      <c r="I243" s="24" t="n">
        <f aca="false">'Cleaned Data'!I243</f>
        <v>2.26</v>
      </c>
      <c r="J243" s="1" t="str">
        <f aca="false">'Cleaned Data'!J243</f>
        <v>Subscriptions</v>
      </c>
      <c r="K243" s="1" t="str">
        <f aca="false">'Cleaned Data'!K243</f>
        <v>Completed</v>
      </c>
      <c r="L243" s="1" t="str">
        <f aca="false">'Cleaned Data'!L243</f>
        <v>Paid</v>
      </c>
      <c r="M243" s="1" t="n">
        <f aca="false">'Cleaned Data'!M243</f>
        <v>22</v>
      </c>
      <c r="N243" s="1" t="str">
        <f aca="false">'Cleaned Data'!N243</f>
        <v>No</v>
      </c>
      <c r="O243" s="1" t="str">
        <f aca="false">TEXT(G243,"yyyy-mm")</f>
        <v>2025-01</v>
      </c>
      <c r="P243" s="1" t="str">
        <f aca="false">IF(H243&lt;20,"Low",IF(H243&lt;=60,"Medium","High"))</f>
        <v>High</v>
      </c>
      <c r="Q243" s="1" t="str">
        <f aca="false">IF(I243&gt;0,"Yes","No")</f>
        <v>Yes</v>
      </c>
      <c r="R243" s="1" t="n">
        <f aca="false">IF(N243="Yes",1,0)</f>
        <v>0</v>
      </c>
    </row>
    <row r="244" customFormat="false" ht="15" hidden="false" customHeight="true" outlineLevel="0" collapsed="false">
      <c r="A244" s="1" t="str">
        <f aca="false">'Cleaned Data'!A244</f>
        <v>S00240</v>
      </c>
      <c r="B244" s="1" t="str">
        <f aca="false">'Cleaned Data'!B244</f>
        <v>P9467</v>
      </c>
      <c r="C244" s="1" t="str">
        <f aca="false">'Cleaned Data'!C244</f>
        <v>fmay</v>
      </c>
      <c r="D244" s="1" t="str">
        <f aca="false">'Cleaned Data'!D244</f>
        <v>SpeedX</v>
      </c>
      <c r="E244" s="1" t="str">
        <f aca="false">'Cleaned Data'!E244</f>
        <v>Console</v>
      </c>
      <c r="F244" s="1" t="str">
        <f aca="false">'Cleaned Data'!F244</f>
        <v>East</v>
      </c>
      <c r="G244" s="23" t="n">
        <f aca="false">'Cleaned Data'!G244</f>
        <v>45749</v>
      </c>
      <c r="H244" s="1" t="n">
        <f aca="false">'Cleaned Data'!H244</f>
        <v>116</v>
      </c>
      <c r="I244" s="24" t="n">
        <f aca="false">'Cleaned Data'!I244</f>
        <v>0</v>
      </c>
      <c r="J244" s="1" t="str">
        <f aca="false">'Cleaned Data'!J244</f>
        <v>None</v>
      </c>
      <c r="K244" s="1" t="str">
        <f aca="false">'Cleaned Data'!K244</f>
        <v>Incomplete</v>
      </c>
      <c r="L244" s="1" t="str">
        <f aca="false">'Cleaned Data'!L244</f>
        <v>Paid</v>
      </c>
      <c r="M244" s="1" t="n">
        <f aca="false">'Cleaned Data'!M244</f>
        <v>11</v>
      </c>
      <c r="N244" s="1" t="str">
        <f aca="false">'Cleaned Data'!N244</f>
        <v>No</v>
      </c>
      <c r="O244" s="1" t="str">
        <f aca="false">TEXT(G244,"yyyy-mm")</f>
        <v>2025-04</v>
      </c>
      <c r="P244" s="1" t="str">
        <f aca="false">IF(H244&lt;20,"Low",IF(H244&lt;=60,"Medium","High"))</f>
        <v>High</v>
      </c>
      <c r="Q244" s="1" t="str">
        <f aca="false">IF(I244&gt;0,"Yes","No")</f>
        <v>No</v>
      </c>
      <c r="R244" s="1" t="n">
        <f aca="false">IF(N244="Yes",1,0)</f>
        <v>0</v>
      </c>
    </row>
    <row r="245" customFormat="false" ht="15" hidden="false" customHeight="true" outlineLevel="0" collapsed="false">
      <c r="A245" s="1" t="str">
        <f aca="false">'Cleaned Data'!A245</f>
        <v>S00241</v>
      </c>
      <c r="B245" s="1" t="str">
        <f aca="false">'Cleaned Data'!B245</f>
        <v>P9330</v>
      </c>
      <c r="C245" s="1" t="str">
        <f aca="false">'Cleaned Data'!C245</f>
        <v>susan69</v>
      </c>
      <c r="D245" s="1" t="str">
        <f aca="false">'Cleaned Data'!D245</f>
        <v>Clash of Realms</v>
      </c>
      <c r="E245" s="1" t="str">
        <f aca="false">'Cleaned Data'!E245</f>
        <v>Console</v>
      </c>
      <c r="F245" s="1" t="str">
        <f aca="false">'Cleaned Data'!F245</f>
        <v>South</v>
      </c>
      <c r="G245" s="23" t="n">
        <f aca="false">'Cleaned Data'!G245</f>
        <v>45764</v>
      </c>
      <c r="H245" s="1" t="n">
        <f aca="false">'Cleaned Data'!H245</f>
        <v>8</v>
      </c>
      <c r="I245" s="24" t="n">
        <f aca="false">'Cleaned Data'!I245</f>
        <v>36.39</v>
      </c>
      <c r="J245" s="1" t="str">
        <f aca="false">'Cleaned Data'!J245</f>
        <v>Boosters</v>
      </c>
      <c r="K245" s="1" t="str">
        <f aca="false">'Cleaned Data'!K245</f>
        <v>Completed</v>
      </c>
      <c r="L245" s="1" t="str">
        <f aca="false">'Cleaned Data'!L245</f>
        <v>Paid</v>
      </c>
      <c r="M245" s="1" t="n">
        <f aca="false">'Cleaned Data'!M245</f>
        <v>22</v>
      </c>
      <c r="N245" s="1" t="str">
        <f aca="false">'Cleaned Data'!N245</f>
        <v>No</v>
      </c>
      <c r="O245" s="1" t="str">
        <f aca="false">TEXT(G245,"yyyy-mm")</f>
        <v>2025-04</v>
      </c>
      <c r="P245" s="1" t="str">
        <f aca="false">IF(H245&lt;20,"Low",IF(H245&lt;=60,"Medium","High"))</f>
        <v>Low</v>
      </c>
      <c r="Q245" s="1" t="str">
        <f aca="false">IF(I245&gt;0,"Yes","No")</f>
        <v>Yes</v>
      </c>
      <c r="R245" s="1" t="n">
        <f aca="false">IF(N245="Yes",1,0)</f>
        <v>0</v>
      </c>
    </row>
    <row r="246" customFormat="false" ht="15" hidden="false" customHeight="true" outlineLevel="0" collapsed="false">
      <c r="A246" s="1" t="str">
        <f aca="false">'Cleaned Data'!A246</f>
        <v>S00242</v>
      </c>
      <c r="B246" s="1" t="str">
        <f aca="false">'Cleaned Data'!B246</f>
        <v>P7057</v>
      </c>
      <c r="C246" s="1" t="str">
        <f aca="false">'Cleaned Data'!C246</f>
        <v>anthony60</v>
      </c>
      <c r="D246" s="1" t="str">
        <f aca="false">'Cleaned Data'!D246</f>
        <v>Zombie Rush</v>
      </c>
      <c r="E246" s="1" t="str">
        <f aca="false">'Cleaned Data'!E246</f>
        <v>Console</v>
      </c>
      <c r="F246" s="1" t="str">
        <f aca="false">'Cleaned Data'!F246</f>
        <v>North-East</v>
      </c>
      <c r="G246" s="23" t="n">
        <f aca="false">'Cleaned Data'!G246</f>
        <v>45660</v>
      </c>
      <c r="H246" s="1" t="n">
        <f aca="false">'Cleaned Data'!H246</f>
        <v>115</v>
      </c>
      <c r="I246" s="24" t="n">
        <f aca="false">'Cleaned Data'!I246</f>
        <v>0</v>
      </c>
      <c r="J246" s="1" t="str">
        <f aca="false">'Cleaned Data'!J246</f>
        <v>None</v>
      </c>
      <c r="K246" s="1" t="str">
        <f aca="false">'Cleaned Data'!K246</f>
        <v>Completed</v>
      </c>
      <c r="L246" s="1" t="str">
        <f aca="false">'Cleaned Data'!L246</f>
        <v>Free</v>
      </c>
      <c r="M246" s="1" t="n">
        <f aca="false">'Cleaned Data'!M246</f>
        <v>18</v>
      </c>
      <c r="N246" s="1" t="str">
        <f aca="false">'Cleaned Data'!N246</f>
        <v>No</v>
      </c>
      <c r="O246" s="1" t="str">
        <f aca="false">TEXT(G246,"yyyy-mm")</f>
        <v>2025-01</v>
      </c>
      <c r="P246" s="1" t="str">
        <f aca="false">IF(H246&lt;20,"Low",IF(H246&lt;=60,"Medium","High"))</f>
        <v>High</v>
      </c>
      <c r="Q246" s="1" t="str">
        <f aca="false">IF(I246&gt;0,"Yes","No")</f>
        <v>No</v>
      </c>
      <c r="R246" s="1" t="n">
        <f aca="false">IF(N246="Yes",1,0)</f>
        <v>0</v>
      </c>
    </row>
    <row r="247" customFormat="false" ht="15" hidden="false" customHeight="true" outlineLevel="0" collapsed="false">
      <c r="A247" s="1" t="str">
        <f aca="false">'Cleaned Data'!A247</f>
        <v>S00243</v>
      </c>
      <c r="B247" s="1" t="str">
        <f aca="false">'Cleaned Data'!B247</f>
        <v>P5909</v>
      </c>
      <c r="C247" s="1" t="str">
        <f aca="false">'Cleaned Data'!C247</f>
        <v>mercedesyoung</v>
      </c>
      <c r="D247" s="1" t="str">
        <f aca="false">'Cleaned Data'!D247</f>
        <v>BattleZone</v>
      </c>
      <c r="E247" s="1" t="str">
        <f aca="false">'Cleaned Data'!E247</f>
        <v>Mobile</v>
      </c>
      <c r="F247" s="1" t="str">
        <f aca="false">'Cleaned Data'!F247</f>
        <v>North</v>
      </c>
      <c r="G247" s="23" t="n">
        <f aca="false">'Cleaned Data'!G247</f>
        <v>45803</v>
      </c>
      <c r="H247" s="1" t="n">
        <f aca="false">'Cleaned Data'!H247</f>
        <v>144</v>
      </c>
      <c r="I247" s="24" t="n">
        <f aca="false">'Cleaned Data'!I247</f>
        <v>0</v>
      </c>
      <c r="J247" s="1" t="str">
        <f aca="false">'Cleaned Data'!J247</f>
        <v>None</v>
      </c>
      <c r="K247" s="1" t="str">
        <f aca="false">'Cleaned Data'!K247</f>
        <v>Exited Early</v>
      </c>
      <c r="L247" s="1" t="str">
        <f aca="false">'Cleaned Data'!L247</f>
        <v>Free</v>
      </c>
      <c r="M247" s="1" t="n">
        <f aca="false">'Cleaned Data'!M247</f>
        <v>18</v>
      </c>
      <c r="N247" s="1" t="str">
        <f aca="false">'Cleaned Data'!N247</f>
        <v>No</v>
      </c>
      <c r="O247" s="1" t="str">
        <f aca="false">TEXT(G247,"yyyy-mm")</f>
        <v>2025-05</v>
      </c>
      <c r="P247" s="1" t="str">
        <f aca="false">IF(H247&lt;20,"Low",IF(H247&lt;=60,"Medium","High"))</f>
        <v>High</v>
      </c>
      <c r="Q247" s="1" t="str">
        <f aca="false">IF(I247&gt;0,"Yes","No")</f>
        <v>No</v>
      </c>
      <c r="R247" s="1" t="n">
        <f aca="false">IF(N247="Yes",1,0)</f>
        <v>0</v>
      </c>
    </row>
    <row r="248" customFormat="false" ht="15" hidden="false" customHeight="true" outlineLevel="0" collapsed="false">
      <c r="A248" s="1" t="str">
        <f aca="false">'Cleaned Data'!A248</f>
        <v>S00244</v>
      </c>
      <c r="B248" s="1" t="str">
        <f aca="false">'Cleaned Data'!B248</f>
        <v>P8810</v>
      </c>
      <c r="C248" s="1" t="str">
        <f aca="false">'Cleaned Data'!C248</f>
        <v>tracy64</v>
      </c>
      <c r="D248" s="1" t="str">
        <f aca="false">'Cleaned Data'!D248</f>
        <v>Empire Wars</v>
      </c>
      <c r="E248" s="1" t="str">
        <f aca="false">'Cleaned Data'!E248</f>
        <v>Console</v>
      </c>
      <c r="F248" s="1" t="str">
        <f aca="false">'Cleaned Data'!F248</f>
        <v>North-East</v>
      </c>
      <c r="G248" s="23" t="n">
        <f aca="false">'Cleaned Data'!G248</f>
        <v>45749</v>
      </c>
      <c r="H248" s="1" t="n">
        <f aca="false">'Cleaned Data'!H248</f>
        <v>175</v>
      </c>
      <c r="I248" s="24" t="n">
        <f aca="false">'Cleaned Data'!I248</f>
        <v>7.47</v>
      </c>
      <c r="J248" s="1" t="str">
        <f aca="false">'Cleaned Data'!J248</f>
        <v>Skins</v>
      </c>
      <c r="K248" s="1" t="str">
        <f aca="false">'Cleaned Data'!K248</f>
        <v>Completed</v>
      </c>
      <c r="L248" s="1" t="str">
        <f aca="false">'Cleaned Data'!L248</f>
        <v>Paid</v>
      </c>
      <c r="M248" s="1" t="n">
        <f aca="false">'Cleaned Data'!M248</f>
        <v>17</v>
      </c>
      <c r="N248" s="1" t="str">
        <f aca="false">'Cleaned Data'!N248</f>
        <v>Yes</v>
      </c>
      <c r="O248" s="1" t="str">
        <f aca="false">TEXT(G248,"yyyy-mm")</f>
        <v>2025-04</v>
      </c>
      <c r="P248" s="1" t="str">
        <f aca="false">IF(H248&lt;20,"Low",IF(H248&lt;=60,"Medium","High"))</f>
        <v>High</v>
      </c>
      <c r="Q248" s="1" t="str">
        <f aca="false">IF(I248&gt;0,"Yes","No")</f>
        <v>Yes</v>
      </c>
      <c r="R248" s="1" t="n">
        <f aca="false">IF(N248="Yes",1,0)</f>
        <v>1</v>
      </c>
    </row>
    <row r="249" customFormat="false" ht="15" hidden="false" customHeight="true" outlineLevel="0" collapsed="false">
      <c r="A249" s="1" t="str">
        <f aca="false">'Cleaned Data'!A249</f>
        <v>S00245</v>
      </c>
      <c r="B249" s="1" t="str">
        <f aca="false">'Cleaned Data'!B249</f>
        <v>P8881</v>
      </c>
      <c r="C249" s="1" t="str">
        <f aca="false">'Cleaned Data'!C249</f>
        <v>carpenterjohn</v>
      </c>
      <c r="D249" s="1" t="str">
        <f aca="false">'Cleaned Data'!D249</f>
        <v>SpeedX</v>
      </c>
      <c r="E249" s="1" t="str">
        <f aca="false">'Cleaned Data'!E249</f>
        <v>Mobile</v>
      </c>
      <c r="F249" s="1" t="str">
        <f aca="false">'Cleaned Data'!F249</f>
        <v>Central</v>
      </c>
      <c r="G249" s="23" t="n">
        <f aca="false">'Cleaned Data'!G249</f>
        <v>45675</v>
      </c>
      <c r="H249" s="1" t="n">
        <f aca="false">'Cleaned Data'!H249</f>
        <v>142</v>
      </c>
      <c r="I249" s="24" t="n">
        <f aca="false">'Cleaned Data'!I249</f>
        <v>0</v>
      </c>
      <c r="J249" s="1" t="str">
        <f aca="false">'Cleaned Data'!J249</f>
        <v>None</v>
      </c>
      <c r="K249" s="1" t="str">
        <f aca="false">'Cleaned Data'!K249</f>
        <v>Completed</v>
      </c>
      <c r="L249" s="1" t="str">
        <f aca="false">'Cleaned Data'!L249</f>
        <v>Free</v>
      </c>
      <c r="M249" s="1" t="n">
        <f aca="false">'Cleaned Data'!M249</f>
        <v>11</v>
      </c>
      <c r="N249" s="1" t="str">
        <f aca="false">'Cleaned Data'!N249</f>
        <v>No</v>
      </c>
      <c r="O249" s="1" t="str">
        <f aca="false">TEXT(G249,"yyyy-mm")</f>
        <v>2025-01</v>
      </c>
      <c r="P249" s="1" t="str">
        <f aca="false">IF(H249&lt;20,"Low",IF(H249&lt;=60,"Medium","High"))</f>
        <v>High</v>
      </c>
      <c r="Q249" s="1" t="str">
        <f aca="false">IF(I249&gt;0,"Yes","No")</f>
        <v>No</v>
      </c>
      <c r="R249" s="1" t="n">
        <f aca="false">IF(N249="Yes",1,0)</f>
        <v>0</v>
      </c>
    </row>
    <row r="250" customFormat="false" ht="15" hidden="false" customHeight="true" outlineLevel="0" collapsed="false">
      <c r="A250" s="1" t="str">
        <f aca="false">'Cleaned Data'!A250</f>
        <v>S00246</v>
      </c>
      <c r="B250" s="1" t="str">
        <f aca="false">'Cleaned Data'!B250</f>
        <v>P4807</v>
      </c>
      <c r="C250" s="1" t="str">
        <f aca="false">'Cleaned Data'!C250</f>
        <v>alexwilson</v>
      </c>
      <c r="D250" s="1" t="str">
        <f aca="false">'Cleaned Data'!D250</f>
        <v>BattleZone</v>
      </c>
      <c r="E250" s="1" t="str">
        <f aca="false">'Cleaned Data'!E250</f>
        <v>Console</v>
      </c>
      <c r="F250" s="1" t="str">
        <f aca="false">'Cleaned Data'!F250</f>
        <v>Central</v>
      </c>
      <c r="G250" s="23" t="n">
        <f aca="false">'Cleaned Data'!G250</f>
        <v>45675</v>
      </c>
      <c r="H250" s="1" t="n">
        <f aca="false">'Cleaned Data'!H250</f>
        <v>154</v>
      </c>
      <c r="I250" s="24" t="n">
        <f aca="false">'Cleaned Data'!I250</f>
        <v>0</v>
      </c>
      <c r="J250" s="1" t="str">
        <f aca="false">'Cleaned Data'!J250</f>
        <v>None</v>
      </c>
      <c r="K250" s="1" t="str">
        <f aca="false">'Cleaned Data'!K250</f>
        <v>Completed</v>
      </c>
      <c r="L250" s="1" t="str">
        <f aca="false">'Cleaned Data'!L250</f>
        <v>Free</v>
      </c>
      <c r="M250" s="1" t="n">
        <f aca="false">'Cleaned Data'!M250</f>
        <v>8</v>
      </c>
      <c r="N250" s="1" t="str">
        <f aca="false">'Cleaned Data'!N250</f>
        <v>Yes</v>
      </c>
      <c r="O250" s="1" t="str">
        <f aca="false">TEXT(G250,"yyyy-mm")</f>
        <v>2025-01</v>
      </c>
      <c r="P250" s="1" t="str">
        <f aca="false">IF(H250&lt;20,"Low",IF(H250&lt;=60,"Medium","High"))</f>
        <v>High</v>
      </c>
      <c r="Q250" s="1" t="str">
        <f aca="false">IF(I250&gt;0,"Yes","No")</f>
        <v>No</v>
      </c>
      <c r="R250" s="1" t="n">
        <f aca="false">IF(N250="Yes",1,0)</f>
        <v>1</v>
      </c>
    </row>
    <row r="251" customFormat="false" ht="15" hidden="false" customHeight="true" outlineLevel="0" collapsed="false">
      <c r="A251" s="1" t="str">
        <f aca="false">'Cleaned Data'!A251</f>
        <v>S00247</v>
      </c>
      <c r="B251" s="1" t="str">
        <f aca="false">'Cleaned Data'!B251</f>
        <v>P3394</v>
      </c>
      <c r="C251" s="1" t="str">
        <f aca="false">'Cleaned Data'!C251</f>
        <v>moyerdanny</v>
      </c>
      <c r="D251" s="1" t="str">
        <f aca="false">'Cleaned Data'!D251</f>
        <v>SpeedX</v>
      </c>
      <c r="E251" s="1" t="str">
        <f aca="false">'Cleaned Data'!E251</f>
        <v>Mobile</v>
      </c>
      <c r="F251" s="1" t="str">
        <f aca="false">'Cleaned Data'!F251</f>
        <v>West</v>
      </c>
      <c r="G251" s="23" t="n">
        <f aca="false">'Cleaned Data'!G251</f>
        <v>45680</v>
      </c>
      <c r="H251" s="1" t="n">
        <f aca="false">'Cleaned Data'!H251</f>
        <v>33</v>
      </c>
      <c r="I251" s="24" t="n">
        <f aca="false">'Cleaned Data'!I251</f>
        <v>0</v>
      </c>
      <c r="J251" s="1" t="str">
        <f aca="false">'Cleaned Data'!J251</f>
        <v>None</v>
      </c>
      <c r="K251" s="1" t="str">
        <f aca="false">'Cleaned Data'!K251</f>
        <v>Completed</v>
      </c>
      <c r="L251" s="1" t="str">
        <f aca="false">'Cleaned Data'!L251</f>
        <v>Free</v>
      </c>
      <c r="M251" s="1" t="n">
        <f aca="false">'Cleaned Data'!M251</f>
        <v>9</v>
      </c>
      <c r="N251" s="1" t="str">
        <f aca="false">'Cleaned Data'!N251</f>
        <v>No</v>
      </c>
      <c r="O251" s="1" t="str">
        <f aca="false">TEXT(G251,"yyyy-mm")</f>
        <v>2025-01</v>
      </c>
      <c r="P251" s="1" t="str">
        <f aca="false">IF(H251&lt;20,"Low",IF(H251&lt;=60,"Medium","High"))</f>
        <v>Medium</v>
      </c>
      <c r="Q251" s="1" t="str">
        <f aca="false">IF(I251&gt;0,"Yes","No")</f>
        <v>No</v>
      </c>
      <c r="R251" s="1" t="n">
        <f aca="false">IF(N251="Yes",1,0)</f>
        <v>0</v>
      </c>
    </row>
    <row r="252" customFormat="false" ht="15" hidden="false" customHeight="true" outlineLevel="0" collapsed="false">
      <c r="A252" s="1" t="str">
        <f aca="false">'Cleaned Data'!A252</f>
        <v>S00248</v>
      </c>
      <c r="B252" s="1" t="str">
        <f aca="false">'Cleaned Data'!B252</f>
        <v>P2659</v>
      </c>
      <c r="C252" s="1" t="str">
        <f aca="false">'Cleaned Data'!C252</f>
        <v>joshuasmith</v>
      </c>
      <c r="D252" s="1" t="str">
        <f aca="false">'Cleaned Data'!D252</f>
        <v>SpeedX</v>
      </c>
      <c r="E252" s="1" t="str">
        <f aca="false">'Cleaned Data'!E252</f>
        <v>Mobile</v>
      </c>
      <c r="F252" s="1" t="str">
        <f aca="false">'Cleaned Data'!F252</f>
        <v>West</v>
      </c>
      <c r="G252" s="23" t="n">
        <f aca="false">'Cleaned Data'!G252</f>
        <v>45772</v>
      </c>
      <c r="H252" s="1" t="n">
        <f aca="false">'Cleaned Data'!H252</f>
        <v>91</v>
      </c>
      <c r="I252" s="24" t="n">
        <f aca="false">'Cleaned Data'!I252</f>
        <v>0</v>
      </c>
      <c r="J252" s="1" t="str">
        <f aca="false">'Cleaned Data'!J252</f>
        <v>None</v>
      </c>
      <c r="K252" s="1" t="str">
        <f aca="false">'Cleaned Data'!K252</f>
        <v>Exited Early</v>
      </c>
      <c r="L252" s="1" t="str">
        <f aca="false">'Cleaned Data'!L252</f>
        <v>Free</v>
      </c>
      <c r="M252" s="1" t="n">
        <f aca="false">'Cleaned Data'!M252</f>
        <v>44</v>
      </c>
      <c r="N252" s="1" t="str">
        <f aca="false">'Cleaned Data'!N252</f>
        <v>No</v>
      </c>
      <c r="O252" s="1" t="str">
        <f aca="false">TEXT(G252,"yyyy-mm")</f>
        <v>2025-04</v>
      </c>
      <c r="P252" s="1" t="str">
        <f aca="false">IF(H252&lt;20,"Low",IF(H252&lt;=60,"Medium","High"))</f>
        <v>High</v>
      </c>
      <c r="Q252" s="1" t="str">
        <f aca="false">IF(I252&gt;0,"Yes","No")</f>
        <v>No</v>
      </c>
      <c r="R252" s="1" t="n">
        <f aca="false">IF(N252="Yes",1,0)</f>
        <v>0</v>
      </c>
    </row>
    <row r="253" customFormat="false" ht="15" hidden="false" customHeight="true" outlineLevel="0" collapsed="false">
      <c r="A253" s="1" t="str">
        <f aca="false">'Cleaned Data'!A253</f>
        <v>S00249</v>
      </c>
      <c r="B253" s="1" t="str">
        <f aca="false">'Cleaned Data'!B253</f>
        <v>P3780</v>
      </c>
      <c r="C253" s="1" t="str">
        <f aca="false">'Cleaned Data'!C253</f>
        <v>zacharygonzales</v>
      </c>
      <c r="D253" s="1" t="str">
        <f aca="false">'Cleaned Data'!D253</f>
        <v>Clash of Realms</v>
      </c>
      <c r="E253" s="1" t="str">
        <f aca="false">'Cleaned Data'!E253</f>
        <v>PC</v>
      </c>
      <c r="F253" s="1" t="str">
        <f aca="false">'Cleaned Data'!F253</f>
        <v>West</v>
      </c>
      <c r="G253" s="23" t="n">
        <f aca="false">'Cleaned Data'!G253</f>
        <v>45684</v>
      </c>
      <c r="H253" s="1" t="n">
        <f aca="false">'Cleaned Data'!H253</f>
        <v>36</v>
      </c>
      <c r="I253" s="24" t="n">
        <f aca="false">'Cleaned Data'!I253</f>
        <v>0</v>
      </c>
      <c r="J253" s="1" t="str">
        <f aca="false">'Cleaned Data'!J253</f>
        <v>None</v>
      </c>
      <c r="K253" s="1" t="str">
        <f aca="false">'Cleaned Data'!K253</f>
        <v>Completed</v>
      </c>
      <c r="L253" s="1" t="str">
        <f aca="false">'Cleaned Data'!L253</f>
        <v>Free</v>
      </c>
      <c r="M253" s="1" t="n">
        <f aca="false">'Cleaned Data'!M253</f>
        <v>36</v>
      </c>
      <c r="N253" s="1" t="str">
        <f aca="false">'Cleaned Data'!N253</f>
        <v>No</v>
      </c>
      <c r="O253" s="1" t="str">
        <f aca="false">TEXT(G253,"yyyy-mm")</f>
        <v>2025-01</v>
      </c>
      <c r="P253" s="1" t="str">
        <f aca="false">IF(H253&lt;20,"Low",IF(H253&lt;=60,"Medium","High"))</f>
        <v>Medium</v>
      </c>
      <c r="Q253" s="1" t="str">
        <f aca="false">IF(I253&gt;0,"Yes","No")</f>
        <v>No</v>
      </c>
      <c r="R253" s="1" t="n">
        <f aca="false">IF(N253="Yes",1,0)</f>
        <v>0</v>
      </c>
    </row>
    <row r="254" customFormat="false" ht="15" hidden="false" customHeight="true" outlineLevel="0" collapsed="false">
      <c r="A254" s="1" t="str">
        <f aca="false">'Cleaned Data'!A254</f>
        <v>S00250</v>
      </c>
      <c r="B254" s="1" t="str">
        <f aca="false">'Cleaned Data'!B254</f>
        <v>P2357</v>
      </c>
      <c r="C254" s="1" t="str">
        <f aca="false">'Cleaned Data'!C254</f>
        <v>coxlauren</v>
      </c>
      <c r="D254" s="1" t="str">
        <f aca="false">'Cleaned Data'!D254</f>
        <v>BattleZone</v>
      </c>
      <c r="E254" s="1" t="str">
        <f aca="false">'Cleaned Data'!E254</f>
        <v>Mobile</v>
      </c>
      <c r="F254" s="1" t="str">
        <f aca="false">'Cleaned Data'!F254</f>
        <v>North-East</v>
      </c>
      <c r="G254" s="23" t="n">
        <f aca="false">'Cleaned Data'!G254</f>
        <v>45703</v>
      </c>
      <c r="H254" s="1" t="n">
        <f aca="false">'Cleaned Data'!H254</f>
        <v>66</v>
      </c>
      <c r="I254" s="24" t="n">
        <f aca="false">'Cleaned Data'!I254</f>
        <v>0</v>
      </c>
      <c r="J254" s="1" t="str">
        <f aca="false">'Cleaned Data'!J254</f>
        <v>None</v>
      </c>
      <c r="K254" s="1" t="str">
        <f aca="false">'Cleaned Data'!K254</f>
        <v>Incomplete</v>
      </c>
      <c r="L254" s="1" t="str">
        <f aca="false">'Cleaned Data'!L254</f>
        <v>Paid</v>
      </c>
      <c r="M254" s="1" t="n">
        <f aca="false">'Cleaned Data'!M254</f>
        <v>38</v>
      </c>
      <c r="N254" s="1" t="str">
        <f aca="false">'Cleaned Data'!N254</f>
        <v>No</v>
      </c>
      <c r="O254" s="1" t="str">
        <f aca="false">TEXT(G254,"yyyy-mm")</f>
        <v>2025-02</v>
      </c>
      <c r="P254" s="1" t="str">
        <f aca="false">IF(H254&lt;20,"Low",IF(H254&lt;=60,"Medium","High"))</f>
        <v>High</v>
      </c>
      <c r="Q254" s="1" t="str">
        <f aca="false">IF(I254&gt;0,"Yes","No")</f>
        <v>No</v>
      </c>
      <c r="R254" s="1" t="n">
        <f aca="false">IF(N254="Yes",1,0)</f>
        <v>0</v>
      </c>
    </row>
    <row r="255" customFormat="false" ht="15" hidden="false" customHeight="true" outlineLevel="0" collapsed="false">
      <c r="A255" s="1" t="str">
        <f aca="false">'Cleaned Data'!A255</f>
        <v>S00251</v>
      </c>
      <c r="B255" s="1" t="str">
        <f aca="false">'Cleaned Data'!B255</f>
        <v>P6820</v>
      </c>
      <c r="C255" s="1" t="str">
        <f aca="false">'Cleaned Data'!C255</f>
        <v>espinozajennifer</v>
      </c>
      <c r="D255" s="1" t="str">
        <f aca="false">'Cleaned Data'!D255</f>
        <v>BattleZone</v>
      </c>
      <c r="E255" s="1" t="str">
        <f aca="false">'Cleaned Data'!E255</f>
        <v>Console</v>
      </c>
      <c r="F255" s="1" t="str">
        <f aca="false">'Cleaned Data'!F255</f>
        <v>North-East</v>
      </c>
      <c r="G255" s="23" t="n">
        <f aca="false">'Cleaned Data'!G255</f>
        <v>45691</v>
      </c>
      <c r="H255" s="1" t="n">
        <f aca="false">'Cleaned Data'!H255</f>
        <v>38</v>
      </c>
      <c r="I255" s="24" t="n">
        <f aca="false">'Cleaned Data'!I255</f>
        <v>30.6</v>
      </c>
      <c r="J255" s="1" t="str">
        <f aca="false">'Cleaned Data'!J255</f>
        <v>Subscriptions</v>
      </c>
      <c r="K255" s="1" t="str">
        <f aca="false">'Cleaned Data'!K255</f>
        <v>Completed</v>
      </c>
      <c r="L255" s="1" t="str">
        <f aca="false">'Cleaned Data'!L255</f>
        <v>Paid</v>
      </c>
      <c r="M255" s="1" t="n">
        <f aca="false">'Cleaned Data'!M255</f>
        <v>27</v>
      </c>
      <c r="N255" s="1" t="str">
        <f aca="false">'Cleaned Data'!N255</f>
        <v>No</v>
      </c>
      <c r="O255" s="1" t="str">
        <f aca="false">TEXT(G255,"yyyy-mm")</f>
        <v>2025-02</v>
      </c>
      <c r="P255" s="1" t="str">
        <f aca="false">IF(H255&lt;20,"Low",IF(H255&lt;=60,"Medium","High"))</f>
        <v>Medium</v>
      </c>
      <c r="Q255" s="1" t="str">
        <f aca="false">IF(I255&gt;0,"Yes","No")</f>
        <v>Yes</v>
      </c>
      <c r="R255" s="1" t="n">
        <f aca="false">IF(N255="Yes",1,0)</f>
        <v>0</v>
      </c>
    </row>
    <row r="256" customFormat="false" ht="15" hidden="false" customHeight="true" outlineLevel="0" collapsed="false">
      <c r="A256" s="1" t="str">
        <f aca="false">'Cleaned Data'!A256</f>
        <v>S00252</v>
      </c>
      <c r="B256" s="1" t="str">
        <f aca="false">'Cleaned Data'!B256</f>
        <v>P7067</v>
      </c>
      <c r="C256" s="1" t="str">
        <f aca="false">'Cleaned Data'!C256</f>
        <v>jackbarnes</v>
      </c>
      <c r="D256" s="1" t="str">
        <f aca="false">'Cleaned Data'!D256</f>
        <v>Empire Wars</v>
      </c>
      <c r="E256" s="1" t="str">
        <f aca="false">'Cleaned Data'!E256</f>
        <v>Console</v>
      </c>
      <c r="F256" s="1" t="str">
        <f aca="false">'Cleaned Data'!F256</f>
        <v>North</v>
      </c>
      <c r="G256" s="23" t="n">
        <f aca="false">'Cleaned Data'!G256</f>
        <v>45639</v>
      </c>
      <c r="H256" s="1" t="n">
        <f aca="false">'Cleaned Data'!H256</f>
        <v>177</v>
      </c>
      <c r="I256" s="24" t="n">
        <f aca="false">'Cleaned Data'!I256</f>
        <v>0</v>
      </c>
      <c r="J256" s="1" t="str">
        <f aca="false">'Cleaned Data'!J256</f>
        <v>None</v>
      </c>
      <c r="K256" s="1" t="str">
        <f aca="false">'Cleaned Data'!K256</f>
        <v>Completed</v>
      </c>
      <c r="L256" s="1" t="str">
        <f aca="false">'Cleaned Data'!L256</f>
        <v>Free</v>
      </c>
      <c r="M256" s="1" t="n">
        <f aca="false">'Cleaned Data'!M256</f>
        <v>25</v>
      </c>
      <c r="N256" s="1" t="str">
        <f aca="false">'Cleaned Data'!N256</f>
        <v>Yes</v>
      </c>
      <c r="O256" s="1" t="str">
        <f aca="false">TEXT(G256,"yyyy-mm")</f>
        <v>2024-12</v>
      </c>
      <c r="P256" s="1" t="str">
        <f aca="false">IF(H256&lt;20,"Low",IF(H256&lt;=60,"Medium","High"))</f>
        <v>High</v>
      </c>
      <c r="Q256" s="1" t="str">
        <f aca="false">IF(I256&gt;0,"Yes","No")</f>
        <v>No</v>
      </c>
      <c r="R256" s="1" t="n">
        <f aca="false">IF(N256="Yes",1,0)</f>
        <v>1</v>
      </c>
    </row>
    <row r="257" customFormat="false" ht="15" hidden="false" customHeight="true" outlineLevel="0" collapsed="false">
      <c r="A257" s="1" t="str">
        <f aca="false">'Cleaned Data'!A257</f>
        <v>S00253</v>
      </c>
      <c r="B257" s="1" t="str">
        <f aca="false">'Cleaned Data'!B257</f>
        <v>P6499</v>
      </c>
      <c r="C257" s="1" t="str">
        <f aca="false">'Cleaned Data'!C257</f>
        <v>juanjones</v>
      </c>
      <c r="D257" s="1" t="str">
        <f aca="false">'Cleaned Data'!D257</f>
        <v>Empire Wars</v>
      </c>
      <c r="E257" s="1" t="str">
        <f aca="false">'Cleaned Data'!E257</f>
        <v>Mobile</v>
      </c>
      <c r="F257" s="1" t="str">
        <f aca="false">'Cleaned Data'!F257</f>
        <v>West</v>
      </c>
      <c r="G257" s="23" t="n">
        <f aca="false">'Cleaned Data'!G257</f>
        <v>45639</v>
      </c>
      <c r="H257" s="1" t="n">
        <f aca="false">'Cleaned Data'!H257</f>
        <v>133</v>
      </c>
      <c r="I257" s="24" t="n">
        <f aca="false">'Cleaned Data'!I257</f>
        <v>8.05</v>
      </c>
      <c r="J257" s="1" t="str">
        <f aca="false">'Cleaned Data'!J257</f>
        <v>Skins</v>
      </c>
      <c r="K257" s="1" t="str">
        <f aca="false">'Cleaned Data'!K257</f>
        <v>Completed</v>
      </c>
      <c r="L257" s="1" t="str">
        <f aca="false">'Cleaned Data'!L257</f>
        <v>Paid</v>
      </c>
      <c r="M257" s="1" t="n">
        <f aca="false">'Cleaned Data'!M257</f>
        <v>35</v>
      </c>
      <c r="N257" s="1" t="str">
        <f aca="false">'Cleaned Data'!N257</f>
        <v>No</v>
      </c>
      <c r="O257" s="1" t="str">
        <f aca="false">TEXT(G257,"yyyy-mm")</f>
        <v>2024-12</v>
      </c>
      <c r="P257" s="1" t="str">
        <f aca="false">IF(H257&lt;20,"Low",IF(H257&lt;=60,"Medium","High"))</f>
        <v>High</v>
      </c>
      <c r="Q257" s="1" t="str">
        <f aca="false">IF(I257&gt;0,"Yes","No")</f>
        <v>Yes</v>
      </c>
      <c r="R257" s="1" t="n">
        <f aca="false">IF(N257="Yes",1,0)</f>
        <v>0</v>
      </c>
    </row>
    <row r="258" customFormat="false" ht="15" hidden="false" customHeight="true" outlineLevel="0" collapsed="false">
      <c r="A258" s="1" t="str">
        <f aca="false">'Cleaned Data'!A258</f>
        <v>S00254</v>
      </c>
      <c r="B258" s="1" t="str">
        <f aca="false">'Cleaned Data'!B258</f>
        <v>P5142</v>
      </c>
      <c r="C258" s="1" t="str">
        <f aca="false">'Cleaned Data'!C258</f>
        <v>georgewarren</v>
      </c>
      <c r="D258" s="1" t="str">
        <f aca="false">'Cleaned Data'!D258</f>
        <v>Clash of Realms</v>
      </c>
      <c r="E258" s="1" t="str">
        <f aca="false">'Cleaned Data'!E258</f>
        <v>PC</v>
      </c>
      <c r="F258" s="1" t="str">
        <f aca="false">'Cleaned Data'!F258</f>
        <v>South</v>
      </c>
      <c r="G258" s="23" t="n">
        <f aca="false">'Cleaned Data'!G258</f>
        <v>45764</v>
      </c>
      <c r="H258" s="1" t="n">
        <f aca="false">'Cleaned Data'!H258</f>
        <v>116</v>
      </c>
      <c r="I258" s="24" t="n">
        <f aca="false">'Cleaned Data'!I258</f>
        <v>0</v>
      </c>
      <c r="J258" s="1" t="str">
        <f aca="false">'Cleaned Data'!J258</f>
        <v>None</v>
      </c>
      <c r="K258" s="1" t="str">
        <f aca="false">'Cleaned Data'!K258</f>
        <v>Completed</v>
      </c>
      <c r="L258" s="1" t="str">
        <f aca="false">'Cleaned Data'!L258</f>
        <v>Free</v>
      </c>
      <c r="M258" s="1" t="n">
        <f aca="false">'Cleaned Data'!M258</f>
        <v>40</v>
      </c>
      <c r="N258" s="1" t="str">
        <f aca="false">'Cleaned Data'!N258</f>
        <v>No</v>
      </c>
      <c r="O258" s="1" t="str">
        <f aca="false">TEXT(G258,"yyyy-mm")</f>
        <v>2025-04</v>
      </c>
      <c r="P258" s="1" t="str">
        <f aca="false">IF(H258&lt;20,"Low",IF(H258&lt;=60,"Medium","High"))</f>
        <v>High</v>
      </c>
      <c r="Q258" s="1" t="str">
        <f aca="false">IF(I258&gt;0,"Yes","No")</f>
        <v>No</v>
      </c>
      <c r="R258" s="1" t="n">
        <f aca="false">IF(N258="Yes",1,0)</f>
        <v>0</v>
      </c>
    </row>
    <row r="259" customFormat="false" ht="15" hidden="false" customHeight="true" outlineLevel="0" collapsed="false">
      <c r="A259" s="1" t="str">
        <f aca="false">'Cleaned Data'!A259</f>
        <v>S00255</v>
      </c>
      <c r="B259" s="1" t="str">
        <f aca="false">'Cleaned Data'!B259</f>
        <v>P4616</v>
      </c>
      <c r="C259" s="1" t="str">
        <f aca="false">'Cleaned Data'!C259</f>
        <v>danieldonaldson</v>
      </c>
      <c r="D259" s="1" t="str">
        <f aca="false">'Cleaned Data'!D259</f>
        <v>Empire Wars</v>
      </c>
      <c r="E259" s="1" t="str">
        <f aca="false">'Cleaned Data'!E259</f>
        <v>PC</v>
      </c>
      <c r="F259" s="1" t="str">
        <f aca="false">'Cleaned Data'!F259</f>
        <v>West</v>
      </c>
      <c r="G259" s="23" t="n">
        <f aca="false">'Cleaned Data'!G259</f>
        <v>45646</v>
      </c>
      <c r="H259" s="1" t="n">
        <f aca="false">'Cleaned Data'!H259</f>
        <v>72</v>
      </c>
      <c r="I259" s="24" t="n">
        <f aca="false">'Cleaned Data'!I259</f>
        <v>0</v>
      </c>
      <c r="J259" s="1" t="str">
        <f aca="false">'Cleaned Data'!J259</f>
        <v>None</v>
      </c>
      <c r="K259" s="1" t="str">
        <f aca="false">'Cleaned Data'!K259</f>
        <v>Completed</v>
      </c>
      <c r="L259" s="1" t="str">
        <f aca="false">'Cleaned Data'!L259</f>
        <v>Free</v>
      </c>
      <c r="M259" s="1" t="n">
        <f aca="false">'Cleaned Data'!M259</f>
        <v>34</v>
      </c>
      <c r="N259" s="1" t="str">
        <f aca="false">'Cleaned Data'!N259</f>
        <v>No</v>
      </c>
      <c r="O259" s="1" t="str">
        <f aca="false">TEXT(G259,"yyyy-mm")</f>
        <v>2024-12</v>
      </c>
      <c r="P259" s="1" t="str">
        <f aca="false">IF(H259&lt;20,"Low",IF(H259&lt;=60,"Medium","High"))</f>
        <v>High</v>
      </c>
      <c r="Q259" s="1" t="str">
        <f aca="false">IF(I259&gt;0,"Yes","No")</f>
        <v>No</v>
      </c>
      <c r="R259" s="1" t="n">
        <f aca="false">IF(N259="Yes",1,0)</f>
        <v>0</v>
      </c>
    </row>
    <row r="260" customFormat="false" ht="15" hidden="false" customHeight="true" outlineLevel="0" collapsed="false">
      <c r="A260" s="1" t="str">
        <f aca="false">'Cleaned Data'!A260</f>
        <v>S00256</v>
      </c>
      <c r="B260" s="1" t="str">
        <f aca="false">'Cleaned Data'!B260</f>
        <v>P7433</v>
      </c>
      <c r="C260" s="1" t="str">
        <f aca="false">'Cleaned Data'!C260</f>
        <v>wsanders</v>
      </c>
      <c r="D260" s="1" t="str">
        <f aca="false">'Cleaned Data'!D260</f>
        <v>Empire Wars</v>
      </c>
      <c r="E260" s="1" t="str">
        <f aca="false">'Cleaned Data'!E260</f>
        <v>Console</v>
      </c>
      <c r="F260" s="1" t="str">
        <f aca="false">'Cleaned Data'!F260</f>
        <v>West</v>
      </c>
      <c r="G260" s="23" t="n">
        <f aca="false">'Cleaned Data'!G260</f>
        <v>45758</v>
      </c>
      <c r="H260" s="1" t="n">
        <f aca="false">'Cleaned Data'!H260</f>
        <v>51</v>
      </c>
      <c r="I260" s="24" t="n">
        <f aca="false">'Cleaned Data'!I260</f>
        <v>0</v>
      </c>
      <c r="J260" s="1" t="str">
        <f aca="false">'Cleaned Data'!J260</f>
        <v>None</v>
      </c>
      <c r="K260" s="1" t="str">
        <f aca="false">'Cleaned Data'!K260</f>
        <v>Completed</v>
      </c>
      <c r="L260" s="1" t="str">
        <f aca="false">'Cleaned Data'!L260</f>
        <v>Free</v>
      </c>
      <c r="M260" s="1" t="n">
        <f aca="false">'Cleaned Data'!M260</f>
        <v>30</v>
      </c>
      <c r="N260" s="1" t="str">
        <f aca="false">'Cleaned Data'!N260</f>
        <v>No</v>
      </c>
      <c r="O260" s="1" t="str">
        <f aca="false">TEXT(G260,"yyyy-mm")</f>
        <v>2025-04</v>
      </c>
      <c r="P260" s="1" t="str">
        <f aca="false">IF(H260&lt;20,"Low",IF(H260&lt;=60,"Medium","High"))</f>
        <v>Medium</v>
      </c>
      <c r="Q260" s="1" t="str">
        <f aca="false">IF(I260&gt;0,"Yes","No")</f>
        <v>No</v>
      </c>
      <c r="R260" s="1" t="n">
        <f aca="false">IF(N260="Yes",1,0)</f>
        <v>0</v>
      </c>
    </row>
    <row r="261" customFormat="false" ht="15" hidden="false" customHeight="true" outlineLevel="0" collapsed="false">
      <c r="A261" s="1" t="str">
        <f aca="false">'Cleaned Data'!A261</f>
        <v>S00257</v>
      </c>
      <c r="B261" s="1" t="str">
        <f aca="false">'Cleaned Data'!B261</f>
        <v>P8958</v>
      </c>
      <c r="C261" s="1" t="str">
        <f aca="false">'Cleaned Data'!C261</f>
        <v>dunnmelissa</v>
      </c>
      <c r="D261" s="1" t="str">
        <f aca="false">'Cleaned Data'!D261</f>
        <v>Clash of Realms</v>
      </c>
      <c r="E261" s="1" t="str">
        <f aca="false">'Cleaned Data'!E261</f>
        <v>Mobile</v>
      </c>
      <c r="F261" s="1" t="str">
        <f aca="false">'Cleaned Data'!F261</f>
        <v>North</v>
      </c>
      <c r="G261" s="23" t="n">
        <f aca="false">'Cleaned Data'!G261</f>
        <v>45681</v>
      </c>
      <c r="H261" s="1" t="n">
        <f aca="false">'Cleaned Data'!H261</f>
        <v>19</v>
      </c>
      <c r="I261" s="24" t="n">
        <f aca="false">'Cleaned Data'!I261</f>
        <v>0</v>
      </c>
      <c r="J261" s="1" t="str">
        <f aca="false">'Cleaned Data'!J261</f>
        <v>None</v>
      </c>
      <c r="K261" s="1" t="str">
        <f aca="false">'Cleaned Data'!K261</f>
        <v>Completed</v>
      </c>
      <c r="L261" s="1" t="str">
        <f aca="false">'Cleaned Data'!L261</f>
        <v>Free</v>
      </c>
      <c r="M261" s="1" t="n">
        <f aca="false">'Cleaned Data'!M261</f>
        <v>6</v>
      </c>
      <c r="N261" s="1" t="str">
        <f aca="false">'Cleaned Data'!N261</f>
        <v>No</v>
      </c>
      <c r="O261" s="1" t="str">
        <f aca="false">TEXT(G261,"yyyy-mm")</f>
        <v>2025-01</v>
      </c>
      <c r="P261" s="1" t="str">
        <f aca="false">IF(H261&lt;20,"Low",IF(H261&lt;=60,"Medium","High"))</f>
        <v>Low</v>
      </c>
      <c r="Q261" s="1" t="str">
        <f aca="false">IF(I261&gt;0,"Yes","No")</f>
        <v>No</v>
      </c>
      <c r="R261" s="1" t="n">
        <f aca="false">IF(N261="Yes",1,0)</f>
        <v>0</v>
      </c>
    </row>
    <row r="262" customFormat="false" ht="15" hidden="false" customHeight="true" outlineLevel="0" collapsed="false">
      <c r="A262" s="1" t="str">
        <f aca="false">'Cleaned Data'!A262</f>
        <v>S00258</v>
      </c>
      <c r="B262" s="1" t="str">
        <f aca="false">'Cleaned Data'!B262</f>
        <v>P1212</v>
      </c>
      <c r="C262" s="1" t="str">
        <f aca="false">'Cleaned Data'!C262</f>
        <v>hporter</v>
      </c>
      <c r="D262" s="1" t="str">
        <f aca="false">'Cleaned Data'!D262</f>
        <v>Zombie Rush</v>
      </c>
      <c r="E262" s="1" t="str">
        <f aca="false">'Cleaned Data'!E262</f>
        <v>Mobile</v>
      </c>
      <c r="F262" s="1" t="str">
        <f aca="false">'Cleaned Data'!F262</f>
        <v>South</v>
      </c>
      <c r="G262" s="23" t="n">
        <f aca="false">'Cleaned Data'!G262</f>
        <v>45684</v>
      </c>
      <c r="H262" s="1" t="n">
        <f aca="false">'Cleaned Data'!H262</f>
        <v>142</v>
      </c>
      <c r="I262" s="24" t="n">
        <f aca="false">'Cleaned Data'!I262</f>
        <v>8.64</v>
      </c>
      <c r="J262" s="1" t="str">
        <f aca="false">'Cleaned Data'!J262</f>
        <v>Boosters</v>
      </c>
      <c r="K262" s="1" t="str">
        <f aca="false">'Cleaned Data'!K262</f>
        <v>Crashed</v>
      </c>
      <c r="L262" s="1" t="str">
        <f aca="false">'Cleaned Data'!L262</f>
        <v>Paid</v>
      </c>
      <c r="M262" s="1" t="n">
        <f aca="false">'Cleaned Data'!M262</f>
        <v>25</v>
      </c>
      <c r="N262" s="1" t="str">
        <f aca="false">'Cleaned Data'!N262</f>
        <v>No</v>
      </c>
      <c r="O262" s="1" t="str">
        <f aca="false">TEXT(G262,"yyyy-mm")</f>
        <v>2025-01</v>
      </c>
      <c r="P262" s="1" t="str">
        <f aca="false">IF(H262&lt;20,"Low",IF(H262&lt;=60,"Medium","High"))</f>
        <v>High</v>
      </c>
      <c r="Q262" s="1" t="str">
        <f aca="false">IF(I262&gt;0,"Yes","No")</f>
        <v>Yes</v>
      </c>
      <c r="R262" s="1" t="n">
        <f aca="false">IF(N262="Yes",1,0)</f>
        <v>0</v>
      </c>
    </row>
    <row r="263" customFormat="false" ht="15" hidden="false" customHeight="true" outlineLevel="0" collapsed="false">
      <c r="A263" s="1" t="str">
        <f aca="false">'Cleaned Data'!A263</f>
        <v>S00259</v>
      </c>
      <c r="B263" s="1" t="str">
        <f aca="false">'Cleaned Data'!B263</f>
        <v>P8750</v>
      </c>
      <c r="C263" s="1" t="str">
        <f aca="false">'Cleaned Data'!C263</f>
        <v>garciaisabel</v>
      </c>
      <c r="D263" s="1" t="str">
        <f aca="false">'Cleaned Data'!D263</f>
        <v>Empire Wars</v>
      </c>
      <c r="E263" s="1" t="str">
        <f aca="false">'Cleaned Data'!E263</f>
        <v>PC</v>
      </c>
      <c r="F263" s="1" t="str">
        <f aca="false">'Cleaned Data'!F263</f>
        <v>North</v>
      </c>
      <c r="G263" s="23" t="n">
        <f aca="false">'Cleaned Data'!G263</f>
        <v>45753</v>
      </c>
      <c r="H263" s="1" t="n">
        <f aca="false">'Cleaned Data'!H263</f>
        <v>31</v>
      </c>
      <c r="I263" s="24" t="n">
        <f aca="false">'Cleaned Data'!I263</f>
        <v>0</v>
      </c>
      <c r="J263" s="1" t="str">
        <f aca="false">'Cleaned Data'!J263</f>
        <v>None</v>
      </c>
      <c r="K263" s="1" t="str">
        <f aca="false">'Cleaned Data'!K263</f>
        <v>Completed</v>
      </c>
      <c r="L263" s="1" t="str">
        <f aca="false">'Cleaned Data'!L263</f>
        <v>Free</v>
      </c>
      <c r="M263" s="1" t="n">
        <f aca="false">'Cleaned Data'!M263</f>
        <v>49</v>
      </c>
      <c r="N263" s="1" t="str">
        <f aca="false">'Cleaned Data'!N263</f>
        <v>No</v>
      </c>
      <c r="O263" s="1" t="str">
        <f aca="false">TEXT(G263,"yyyy-mm")</f>
        <v>2025-04</v>
      </c>
      <c r="P263" s="1" t="str">
        <f aca="false">IF(H263&lt;20,"Low",IF(H263&lt;=60,"Medium","High"))</f>
        <v>Medium</v>
      </c>
      <c r="Q263" s="1" t="str">
        <f aca="false">IF(I263&gt;0,"Yes","No")</f>
        <v>No</v>
      </c>
      <c r="R263" s="1" t="n">
        <f aca="false">IF(N263="Yes",1,0)</f>
        <v>0</v>
      </c>
    </row>
    <row r="264" customFormat="false" ht="15" hidden="false" customHeight="true" outlineLevel="0" collapsed="false">
      <c r="A264" s="1" t="str">
        <f aca="false">'Cleaned Data'!A264</f>
        <v>S00260</v>
      </c>
      <c r="B264" s="1" t="str">
        <f aca="false">'Cleaned Data'!B264</f>
        <v>P2956</v>
      </c>
      <c r="C264" s="1" t="str">
        <f aca="false">'Cleaned Data'!C264</f>
        <v>rsuarez</v>
      </c>
      <c r="D264" s="1" t="str">
        <f aca="false">'Cleaned Data'!D264</f>
        <v>Zombie Rush</v>
      </c>
      <c r="E264" s="1" t="str">
        <f aca="false">'Cleaned Data'!E264</f>
        <v>Console</v>
      </c>
      <c r="F264" s="1" t="str">
        <f aca="false">'Cleaned Data'!F264</f>
        <v>Central</v>
      </c>
      <c r="G264" s="23" t="n">
        <f aca="false">'Cleaned Data'!G264</f>
        <v>45721</v>
      </c>
      <c r="H264" s="1" t="n">
        <f aca="false">'Cleaned Data'!H264</f>
        <v>26</v>
      </c>
      <c r="I264" s="24" t="n">
        <f aca="false">'Cleaned Data'!I264</f>
        <v>0</v>
      </c>
      <c r="J264" s="1" t="str">
        <f aca="false">'Cleaned Data'!J264</f>
        <v>None</v>
      </c>
      <c r="K264" s="1" t="str">
        <f aca="false">'Cleaned Data'!K264</f>
        <v>Completed</v>
      </c>
      <c r="L264" s="1" t="str">
        <f aca="false">'Cleaned Data'!L264</f>
        <v>Paid</v>
      </c>
      <c r="M264" s="1" t="n">
        <f aca="false">'Cleaned Data'!M264</f>
        <v>5</v>
      </c>
      <c r="N264" s="1" t="str">
        <f aca="false">'Cleaned Data'!N264</f>
        <v>No</v>
      </c>
      <c r="O264" s="1" t="str">
        <f aca="false">TEXT(G264,"yyyy-mm")</f>
        <v>2025-03</v>
      </c>
      <c r="P264" s="1" t="str">
        <f aca="false">IF(H264&lt;20,"Low",IF(H264&lt;=60,"Medium","High"))</f>
        <v>Medium</v>
      </c>
      <c r="Q264" s="1" t="str">
        <f aca="false">IF(I264&gt;0,"Yes","No")</f>
        <v>No</v>
      </c>
      <c r="R264" s="1" t="n">
        <f aca="false">IF(N264="Yes",1,0)</f>
        <v>0</v>
      </c>
    </row>
    <row r="265" customFormat="false" ht="15" hidden="false" customHeight="true" outlineLevel="0" collapsed="false">
      <c r="A265" s="1" t="str">
        <f aca="false">'Cleaned Data'!A265</f>
        <v>S00261</v>
      </c>
      <c r="B265" s="1" t="str">
        <f aca="false">'Cleaned Data'!B265</f>
        <v>P7483</v>
      </c>
      <c r="C265" s="1" t="str">
        <f aca="false">'Cleaned Data'!C265</f>
        <v>murrayaaron</v>
      </c>
      <c r="D265" s="1" t="str">
        <f aca="false">'Cleaned Data'!D265</f>
        <v>Zombie Rush</v>
      </c>
      <c r="E265" s="1" t="str">
        <f aca="false">'Cleaned Data'!E265</f>
        <v>Console</v>
      </c>
      <c r="F265" s="1" t="str">
        <f aca="false">'Cleaned Data'!F265</f>
        <v>East</v>
      </c>
      <c r="G265" s="23" t="n">
        <f aca="false">'Cleaned Data'!G265</f>
        <v>45815</v>
      </c>
      <c r="H265" s="1" t="n">
        <f aca="false">'Cleaned Data'!H265</f>
        <v>144</v>
      </c>
      <c r="I265" s="24" t="n">
        <f aca="false">'Cleaned Data'!I265</f>
        <v>40.29</v>
      </c>
      <c r="J265" s="1" t="str">
        <f aca="false">'Cleaned Data'!J265</f>
        <v>Subscriptions</v>
      </c>
      <c r="K265" s="1" t="str">
        <f aca="false">'Cleaned Data'!K265</f>
        <v>Exited Early</v>
      </c>
      <c r="L265" s="1" t="str">
        <f aca="false">'Cleaned Data'!L265</f>
        <v>Paid</v>
      </c>
      <c r="M265" s="1" t="n">
        <f aca="false">'Cleaned Data'!M265</f>
        <v>1</v>
      </c>
      <c r="N265" s="1" t="str">
        <f aca="false">'Cleaned Data'!N265</f>
        <v>Yes</v>
      </c>
      <c r="O265" s="1" t="str">
        <f aca="false">TEXT(G265,"yyyy-mm")</f>
        <v>2025-06</v>
      </c>
      <c r="P265" s="1" t="str">
        <f aca="false">IF(H265&lt;20,"Low",IF(H265&lt;=60,"Medium","High"))</f>
        <v>High</v>
      </c>
      <c r="Q265" s="1" t="str">
        <f aca="false">IF(I265&gt;0,"Yes","No")</f>
        <v>Yes</v>
      </c>
      <c r="R265" s="1" t="n">
        <f aca="false">IF(N265="Yes",1,0)</f>
        <v>1</v>
      </c>
    </row>
    <row r="266" customFormat="false" ht="15" hidden="false" customHeight="true" outlineLevel="0" collapsed="false">
      <c r="A266" s="1" t="str">
        <f aca="false">'Cleaned Data'!A266</f>
        <v>S00262</v>
      </c>
      <c r="B266" s="1" t="str">
        <f aca="false">'Cleaned Data'!B266</f>
        <v>P3905</v>
      </c>
      <c r="C266" s="1" t="str">
        <f aca="false">'Cleaned Data'!C266</f>
        <v>stephen73</v>
      </c>
      <c r="D266" s="1" t="str">
        <f aca="false">'Cleaned Data'!D266</f>
        <v>Empire Wars</v>
      </c>
      <c r="E266" s="1" t="str">
        <f aca="false">'Cleaned Data'!E266</f>
        <v>PC</v>
      </c>
      <c r="F266" s="1" t="str">
        <f aca="false">'Cleaned Data'!F266</f>
        <v>North</v>
      </c>
      <c r="G266" s="23" t="n">
        <f aca="false">'Cleaned Data'!G266</f>
        <v>45758</v>
      </c>
      <c r="H266" s="1" t="n">
        <f aca="false">'Cleaned Data'!H266</f>
        <v>6</v>
      </c>
      <c r="I266" s="24" t="n">
        <f aca="false">'Cleaned Data'!I266</f>
        <v>0</v>
      </c>
      <c r="J266" s="1" t="str">
        <f aca="false">'Cleaned Data'!J266</f>
        <v>None</v>
      </c>
      <c r="K266" s="1" t="str">
        <f aca="false">'Cleaned Data'!K266</f>
        <v>Completed</v>
      </c>
      <c r="L266" s="1" t="str">
        <f aca="false">'Cleaned Data'!L266</f>
        <v>Free</v>
      </c>
      <c r="M266" s="1" t="n">
        <f aca="false">'Cleaned Data'!M266</f>
        <v>7</v>
      </c>
      <c r="N266" s="1" t="str">
        <f aca="false">'Cleaned Data'!N266</f>
        <v>No</v>
      </c>
      <c r="O266" s="1" t="str">
        <f aca="false">TEXT(G266,"yyyy-mm")</f>
        <v>2025-04</v>
      </c>
      <c r="P266" s="1" t="str">
        <f aca="false">IF(H266&lt;20,"Low",IF(H266&lt;=60,"Medium","High"))</f>
        <v>Low</v>
      </c>
      <c r="Q266" s="1" t="str">
        <f aca="false">IF(I266&gt;0,"Yes","No")</f>
        <v>No</v>
      </c>
      <c r="R266" s="1" t="n">
        <f aca="false">IF(N266="Yes",1,0)</f>
        <v>0</v>
      </c>
    </row>
    <row r="267" customFormat="false" ht="15" hidden="false" customHeight="true" outlineLevel="0" collapsed="false">
      <c r="A267" s="1" t="str">
        <f aca="false">'Cleaned Data'!A267</f>
        <v>S00263</v>
      </c>
      <c r="B267" s="1" t="str">
        <f aca="false">'Cleaned Data'!B267</f>
        <v>P2082</v>
      </c>
      <c r="C267" s="1" t="str">
        <f aca="false">'Cleaned Data'!C267</f>
        <v>iadkins</v>
      </c>
      <c r="D267" s="1" t="str">
        <f aca="false">'Cleaned Data'!D267</f>
        <v>Zombie Rush</v>
      </c>
      <c r="E267" s="1" t="str">
        <f aca="false">'Cleaned Data'!E267</f>
        <v>Console</v>
      </c>
      <c r="F267" s="1" t="str">
        <f aca="false">'Cleaned Data'!F267</f>
        <v>North</v>
      </c>
      <c r="G267" s="23" t="n">
        <f aca="false">'Cleaned Data'!G267</f>
        <v>45804</v>
      </c>
      <c r="H267" s="1" t="n">
        <f aca="false">'Cleaned Data'!H267</f>
        <v>176</v>
      </c>
      <c r="I267" s="24" t="n">
        <f aca="false">'Cleaned Data'!I267</f>
        <v>44.39</v>
      </c>
      <c r="J267" s="1" t="str">
        <f aca="false">'Cleaned Data'!J267</f>
        <v>Battle Pass</v>
      </c>
      <c r="K267" s="1" t="str">
        <f aca="false">'Cleaned Data'!K267</f>
        <v>Completed</v>
      </c>
      <c r="L267" s="1" t="str">
        <f aca="false">'Cleaned Data'!L267</f>
        <v>Paid</v>
      </c>
      <c r="M267" s="1" t="n">
        <f aca="false">'Cleaned Data'!M267</f>
        <v>18</v>
      </c>
      <c r="N267" s="1" t="str">
        <f aca="false">'Cleaned Data'!N267</f>
        <v>Yes</v>
      </c>
      <c r="O267" s="1" t="str">
        <f aca="false">TEXT(G267,"yyyy-mm")</f>
        <v>2025-05</v>
      </c>
      <c r="P267" s="1" t="str">
        <f aca="false">IF(H267&lt;20,"Low",IF(H267&lt;=60,"Medium","High"))</f>
        <v>High</v>
      </c>
      <c r="Q267" s="1" t="str">
        <f aca="false">IF(I267&gt;0,"Yes","No")</f>
        <v>Yes</v>
      </c>
      <c r="R267" s="1" t="n">
        <f aca="false">IF(N267="Yes",1,0)</f>
        <v>1</v>
      </c>
    </row>
    <row r="268" customFormat="false" ht="15" hidden="false" customHeight="true" outlineLevel="0" collapsed="false">
      <c r="A268" s="1" t="str">
        <f aca="false">'Cleaned Data'!A268</f>
        <v>S00264</v>
      </c>
      <c r="B268" s="1" t="str">
        <f aca="false">'Cleaned Data'!B268</f>
        <v>P6567</v>
      </c>
      <c r="C268" s="1" t="str">
        <f aca="false">'Cleaned Data'!C268</f>
        <v>smithshawn</v>
      </c>
      <c r="D268" s="1" t="str">
        <f aca="false">'Cleaned Data'!D268</f>
        <v>BattleZone</v>
      </c>
      <c r="E268" s="1" t="str">
        <f aca="false">'Cleaned Data'!E268</f>
        <v>PC</v>
      </c>
      <c r="F268" s="1" t="str">
        <f aca="false">'Cleaned Data'!F268</f>
        <v>East</v>
      </c>
      <c r="G268" s="23" t="n">
        <f aca="false">'Cleaned Data'!G268</f>
        <v>45650</v>
      </c>
      <c r="H268" s="1" t="n">
        <f aca="false">'Cleaned Data'!H268</f>
        <v>175</v>
      </c>
      <c r="I268" s="24" t="n">
        <f aca="false">'Cleaned Data'!I268</f>
        <v>0</v>
      </c>
      <c r="J268" s="1" t="str">
        <f aca="false">'Cleaned Data'!J268</f>
        <v>None</v>
      </c>
      <c r="K268" s="1" t="str">
        <f aca="false">'Cleaned Data'!K268</f>
        <v>Incomplete</v>
      </c>
      <c r="L268" s="1" t="str">
        <f aca="false">'Cleaned Data'!L268</f>
        <v>Free</v>
      </c>
      <c r="M268" s="1" t="n">
        <f aca="false">'Cleaned Data'!M268</f>
        <v>22</v>
      </c>
      <c r="N268" s="1" t="str">
        <f aca="false">'Cleaned Data'!N268</f>
        <v>Yes</v>
      </c>
      <c r="O268" s="1" t="str">
        <f aca="false">TEXT(G268,"yyyy-mm")</f>
        <v>2024-12</v>
      </c>
      <c r="P268" s="1" t="str">
        <f aca="false">IF(H268&lt;20,"Low",IF(H268&lt;=60,"Medium","High"))</f>
        <v>High</v>
      </c>
      <c r="Q268" s="1" t="str">
        <f aca="false">IF(I268&gt;0,"Yes","No")</f>
        <v>No</v>
      </c>
      <c r="R268" s="1" t="n">
        <f aca="false">IF(N268="Yes",1,0)</f>
        <v>1</v>
      </c>
    </row>
    <row r="269" customFormat="false" ht="15" hidden="false" customHeight="true" outlineLevel="0" collapsed="false">
      <c r="A269" s="1" t="str">
        <f aca="false">'Cleaned Data'!A269</f>
        <v>S00265</v>
      </c>
      <c r="B269" s="1" t="str">
        <f aca="false">'Cleaned Data'!B269</f>
        <v>P2068</v>
      </c>
      <c r="C269" s="1" t="str">
        <f aca="false">'Cleaned Data'!C269</f>
        <v>vanessasmith</v>
      </c>
      <c r="D269" s="1" t="str">
        <f aca="false">'Cleaned Data'!D269</f>
        <v>SpeedX</v>
      </c>
      <c r="E269" s="1" t="str">
        <f aca="false">'Cleaned Data'!E269</f>
        <v>Mobile</v>
      </c>
      <c r="F269" s="1" t="str">
        <f aca="false">'Cleaned Data'!F269</f>
        <v>South</v>
      </c>
      <c r="G269" s="23" t="n">
        <f aca="false">'Cleaned Data'!G269</f>
        <v>45680</v>
      </c>
      <c r="H269" s="1" t="n">
        <f aca="false">'Cleaned Data'!H269</f>
        <v>131</v>
      </c>
      <c r="I269" s="24" t="n">
        <f aca="false">'Cleaned Data'!I269</f>
        <v>0</v>
      </c>
      <c r="J269" s="1" t="str">
        <f aca="false">'Cleaned Data'!J269</f>
        <v>None</v>
      </c>
      <c r="K269" s="1" t="str">
        <f aca="false">'Cleaned Data'!K269</f>
        <v>Crashed</v>
      </c>
      <c r="L269" s="1" t="str">
        <f aca="false">'Cleaned Data'!L269</f>
        <v>Free</v>
      </c>
      <c r="M269" s="1" t="n">
        <f aca="false">'Cleaned Data'!M269</f>
        <v>3</v>
      </c>
      <c r="N269" s="1" t="str">
        <f aca="false">'Cleaned Data'!N269</f>
        <v>No</v>
      </c>
      <c r="O269" s="1" t="str">
        <f aca="false">TEXT(G269,"yyyy-mm")</f>
        <v>2025-01</v>
      </c>
      <c r="P269" s="1" t="str">
        <f aca="false">IF(H269&lt;20,"Low",IF(H269&lt;=60,"Medium","High"))</f>
        <v>High</v>
      </c>
      <c r="Q269" s="1" t="str">
        <f aca="false">IF(I269&gt;0,"Yes","No")</f>
        <v>No</v>
      </c>
      <c r="R269" s="1" t="n">
        <f aca="false">IF(N269="Yes",1,0)</f>
        <v>0</v>
      </c>
    </row>
    <row r="270" customFormat="false" ht="15" hidden="false" customHeight="true" outlineLevel="0" collapsed="false">
      <c r="A270" s="1" t="str">
        <f aca="false">'Cleaned Data'!A270</f>
        <v>S00266</v>
      </c>
      <c r="B270" s="1" t="str">
        <f aca="false">'Cleaned Data'!B270</f>
        <v>P4801</v>
      </c>
      <c r="C270" s="1" t="str">
        <f aca="false">'Cleaned Data'!C270</f>
        <v>annaroy</v>
      </c>
      <c r="D270" s="1" t="str">
        <f aca="false">'Cleaned Data'!D270</f>
        <v>Clash of Realms</v>
      </c>
      <c r="E270" s="1" t="str">
        <f aca="false">'Cleaned Data'!E270</f>
        <v>Mobile</v>
      </c>
      <c r="F270" s="1" t="str">
        <f aca="false">'Cleaned Data'!F270</f>
        <v>West</v>
      </c>
      <c r="G270" s="23" t="n">
        <f aca="false">'Cleaned Data'!G270</f>
        <v>45768</v>
      </c>
      <c r="H270" s="1" t="n">
        <f aca="false">'Cleaned Data'!H270</f>
        <v>17</v>
      </c>
      <c r="I270" s="24" t="n">
        <f aca="false">'Cleaned Data'!I270</f>
        <v>0</v>
      </c>
      <c r="J270" s="1" t="str">
        <f aca="false">'Cleaned Data'!J270</f>
        <v>None</v>
      </c>
      <c r="K270" s="1" t="str">
        <f aca="false">'Cleaned Data'!K270</f>
        <v>Completed</v>
      </c>
      <c r="L270" s="1" t="str">
        <f aca="false">'Cleaned Data'!L270</f>
        <v>Paid</v>
      </c>
      <c r="M270" s="1" t="n">
        <f aca="false">'Cleaned Data'!M270</f>
        <v>37</v>
      </c>
      <c r="N270" s="1" t="str">
        <f aca="false">'Cleaned Data'!N270</f>
        <v>No</v>
      </c>
      <c r="O270" s="1" t="str">
        <f aca="false">TEXT(G270,"yyyy-mm")</f>
        <v>2025-04</v>
      </c>
      <c r="P270" s="1" t="str">
        <f aca="false">IF(H270&lt;20,"Low",IF(H270&lt;=60,"Medium","High"))</f>
        <v>Low</v>
      </c>
      <c r="Q270" s="1" t="str">
        <f aca="false">IF(I270&gt;0,"Yes","No")</f>
        <v>No</v>
      </c>
      <c r="R270" s="1" t="n">
        <f aca="false">IF(N270="Yes",1,0)</f>
        <v>0</v>
      </c>
    </row>
    <row r="271" customFormat="false" ht="15" hidden="false" customHeight="true" outlineLevel="0" collapsed="false">
      <c r="A271" s="1" t="str">
        <f aca="false">'Cleaned Data'!A271</f>
        <v>S00267</v>
      </c>
      <c r="B271" s="1" t="str">
        <f aca="false">'Cleaned Data'!B271</f>
        <v>P9642</v>
      </c>
      <c r="C271" s="1" t="str">
        <f aca="false">'Cleaned Data'!C271</f>
        <v>dfloyd</v>
      </c>
      <c r="D271" s="1" t="str">
        <f aca="false">'Cleaned Data'!D271</f>
        <v>Empire Wars</v>
      </c>
      <c r="E271" s="1" t="str">
        <f aca="false">'Cleaned Data'!E271</f>
        <v>Mobile</v>
      </c>
      <c r="F271" s="1" t="str">
        <f aca="false">'Cleaned Data'!F271</f>
        <v>East</v>
      </c>
      <c r="G271" s="23" t="n">
        <f aca="false">'Cleaned Data'!G271</f>
        <v>45810</v>
      </c>
      <c r="H271" s="1" t="n">
        <f aca="false">'Cleaned Data'!H271</f>
        <v>128</v>
      </c>
      <c r="I271" s="24" t="n">
        <f aca="false">'Cleaned Data'!I271</f>
        <v>0</v>
      </c>
      <c r="J271" s="1" t="str">
        <f aca="false">'Cleaned Data'!J271</f>
        <v>None</v>
      </c>
      <c r="K271" s="1" t="str">
        <f aca="false">'Cleaned Data'!K271</f>
        <v>Completed</v>
      </c>
      <c r="L271" s="1" t="str">
        <f aca="false">'Cleaned Data'!L271</f>
        <v>Free</v>
      </c>
      <c r="M271" s="1" t="n">
        <f aca="false">'Cleaned Data'!M271</f>
        <v>15</v>
      </c>
      <c r="N271" s="1" t="str">
        <f aca="false">'Cleaned Data'!N271</f>
        <v>No</v>
      </c>
      <c r="O271" s="1" t="str">
        <f aca="false">TEXT(G271,"yyyy-mm")</f>
        <v>2025-06</v>
      </c>
      <c r="P271" s="1" t="str">
        <f aca="false">IF(H271&lt;20,"Low",IF(H271&lt;=60,"Medium","High"))</f>
        <v>High</v>
      </c>
      <c r="Q271" s="1" t="str">
        <f aca="false">IF(I271&gt;0,"Yes","No")</f>
        <v>No</v>
      </c>
      <c r="R271" s="1" t="n">
        <f aca="false">IF(N271="Yes",1,0)</f>
        <v>0</v>
      </c>
    </row>
    <row r="272" customFormat="false" ht="15" hidden="false" customHeight="true" outlineLevel="0" collapsed="false">
      <c r="A272" s="1" t="str">
        <f aca="false">'Cleaned Data'!A272</f>
        <v>S00268</v>
      </c>
      <c r="B272" s="1" t="str">
        <f aca="false">'Cleaned Data'!B272</f>
        <v>P4625</v>
      </c>
      <c r="C272" s="1" t="str">
        <f aca="false">'Cleaned Data'!C272</f>
        <v>maryrodriguez</v>
      </c>
      <c r="D272" s="1" t="str">
        <f aca="false">'Cleaned Data'!D272</f>
        <v>Empire Wars</v>
      </c>
      <c r="E272" s="1" t="str">
        <f aca="false">'Cleaned Data'!E272</f>
        <v>PC</v>
      </c>
      <c r="F272" s="1" t="str">
        <f aca="false">'Cleaned Data'!F272</f>
        <v>North</v>
      </c>
      <c r="G272" s="23" t="n">
        <f aca="false">'Cleaned Data'!G272</f>
        <v>45780</v>
      </c>
      <c r="H272" s="1" t="n">
        <f aca="false">'Cleaned Data'!H272</f>
        <v>39</v>
      </c>
      <c r="I272" s="24" t="n">
        <f aca="false">'Cleaned Data'!I272</f>
        <v>0</v>
      </c>
      <c r="J272" s="1" t="str">
        <f aca="false">'Cleaned Data'!J272</f>
        <v>None</v>
      </c>
      <c r="K272" s="1" t="str">
        <f aca="false">'Cleaned Data'!K272</f>
        <v>Completed</v>
      </c>
      <c r="L272" s="1" t="str">
        <f aca="false">'Cleaned Data'!L272</f>
        <v>Free</v>
      </c>
      <c r="M272" s="1" t="n">
        <f aca="false">'Cleaned Data'!M272</f>
        <v>18</v>
      </c>
      <c r="N272" s="1" t="str">
        <f aca="false">'Cleaned Data'!N272</f>
        <v>No</v>
      </c>
      <c r="O272" s="1" t="str">
        <f aca="false">TEXT(G272,"yyyy-mm")</f>
        <v>2025-05</v>
      </c>
      <c r="P272" s="1" t="str">
        <f aca="false">IF(H272&lt;20,"Low",IF(H272&lt;=60,"Medium","High"))</f>
        <v>Medium</v>
      </c>
      <c r="Q272" s="1" t="str">
        <f aca="false">IF(I272&gt;0,"Yes","No")</f>
        <v>No</v>
      </c>
      <c r="R272" s="1" t="n">
        <f aca="false">IF(N272="Yes",1,0)</f>
        <v>0</v>
      </c>
    </row>
    <row r="273" customFormat="false" ht="15" hidden="false" customHeight="true" outlineLevel="0" collapsed="false">
      <c r="A273" s="1" t="str">
        <f aca="false">'Cleaned Data'!A273</f>
        <v>S00269</v>
      </c>
      <c r="B273" s="1" t="str">
        <f aca="false">'Cleaned Data'!B273</f>
        <v>P3615</v>
      </c>
      <c r="C273" s="1" t="str">
        <f aca="false">'Cleaned Data'!C273</f>
        <v>tamarafowler</v>
      </c>
      <c r="D273" s="1" t="str">
        <f aca="false">'Cleaned Data'!D273</f>
        <v>Zombie Rush</v>
      </c>
      <c r="E273" s="1" t="str">
        <f aca="false">'Cleaned Data'!E273</f>
        <v>Mobile</v>
      </c>
      <c r="F273" s="1" t="str">
        <f aca="false">'Cleaned Data'!F273</f>
        <v>East</v>
      </c>
      <c r="G273" s="23" t="n">
        <f aca="false">'Cleaned Data'!G273</f>
        <v>45794</v>
      </c>
      <c r="H273" s="1" t="n">
        <f aca="false">'Cleaned Data'!H273</f>
        <v>122</v>
      </c>
      <c r="I273" s="24" t="n">
        <f aca="false">'Cleaned Data'!I273</f>
        <v>0</v>
      </c>
      <c r="J273" s="1" t="str">
        <f aca="false">'Cleaned Data'!J273</f>
        <v>None</v>
      </c>
      <c r="K273" s="1" t="str">
        <f aca="false">'Cleaned Data'!K273</f>
        <v>Completed</v>
      </c>
      <c r="L273" s="1" t="str">
        <f aca="false">'Cleaned Data'!L273</f>
        <v>Free</v>
      </c>
      <c r="M273" s="1" t="n">
        <f aca="false">'Cleaned Data'!M273</f>
        <v>28</v>
      </c>
      <c r="N273" s="1" t="str">
        <f aca="false">'Cleaned Data'!N273</f>
        <v>No</v>
      </c>
      <c r="O273" s="1" t="str">
        <f aca="false">TEXT(G273,"yyyy-mm")</f>
        <v>2025-05</v>
      </c>
      <c r="P273" s="1" t="str">
        <f aca="false">IF(H273&lt;20,"Low",IF(H273&lt;=60,"Medium","High"))</f>
        <v>High</v>
      </c>
      <c r="Q273" s="1" t="str">
        <f aca="false">IF(I273&gt;0,"Yes","No")</f>
        <v>No</v>
      </c>
      <c r="R273" s="1" t="n">
        <f aca="false">IF(N273="Yes",1,0)</f>
        <v>0</v>
      </c>
    </row>
    <row r="274" customFormat="false" ht="15" hidden="false" customHeight="true" outlineLevel="0" collapsed="false">
      <c r="A274" s="1" t="str">
        <f aca="false">'Cleaned Data'!A274</f>
        <v>S00270</v>
      </c>
      <c r="B274" s="1" t="str">
        <f aca="false">'Cleaned Data'!B274</f>
        <v>P9094</v>
      </c>
      <c r="C274" s="1" t="str">
        <f aca="false">'Cleaned Data'!C274</f>
        <v>nsmith</v>
      </c>
      <c r="D274" s="1" t="str">
        <f aca="false">'Cleaned Data'!D274</f>
        <v>Clash of Realms</v>
      </c>
      <c r="E274" s="1" t="str">
        <f aca="false">'Cleaned Data'!E274</f>
        <v>PC</v>
      </c>
      <c r="F274" s="1" t="str">
        <f aca="false">'Cleaned Data'!F274</f>
        <v>West</v>
      </c>
      <c r="G274" s="23" t="n">
        <f aca="false">'Cleaned Data'!G274</f>
        <v>45673</v>
      </c>
      <c r="H274" s="1" t="n">
        <f aca="false">'Cleaned Data'!H274</f>
        <v>15</v>
      </c>
      <c r="I274" s="24" t="n">
        <f aca="false">'Cleaned Data'!I274</f>
        <v>0</v>
      </c>
      <c r="J274" s="1" t="str">
        <f aca="false">'Cleaned Data'!J274</f>
        <v>None</v>
      </c>
      <c r="K274" s="1" t="str">
        <f aca="false">'Cleaned Data'!K274</f>
        <v>Completed</v>
      </c>
      <c r="L274" s="1" t="str">
        <f aca="false">'Cleaned Data'!L274</f>
        <v>Paid</v>
      </c>
      <c r="M274" s="1" t="n">
        <f aca="false">'Cleaned Data'!M274</f>
        <v>47</v>
      </c>
      <c r="N274" s="1" t="str">
        <f aca="false">'Cleaned Data'!N274</f>
        <v>No</v>
      </c>
      <c r="O274" s="1" t="str">
        <f aca="false">TEXT(G274,"yyyy-mm")</f>
        <v>2025-01</v>
      </c>
      <c r="P274" s="1" t="str">
        <f aca="false">IF(H274&lt;20,"Low",IF(H274&lt;=60,"Medium","High"))</f>
        <v>Low</v>
      </c>
      <c r="Q274" s="1" t="str">
        <f aca="false">IF(I274&gt;0,"Yes","No")</f>
        <v>No</v>
      </c>
      <c r="R274" s="1" t="n">
        <f aca="false">IF(N274="Yes",1,0)</f>
        <v>0</v>
      </c>
    </row>
    <row r="275" customFormat="false" ht="15" hidden="false" customHeight="true" outlineLevel="0" collapsed="false">
      <c r="A275" s="1" t="str">
        <f aca="false">'Cleaned Data'!A275</f>
        <v>S00271</v>
      </c>
      <c r="B275" s="1" t="str">
        <f aca="false">'Cleaned Data'!B275</f>
        <v>P7072</v>
      </c>
      <c r="C275" s="1" t="str">
        <f aca="false">'Cleaned Data'!C275</f>
        <v>matthew23</v>
      </c>
      <c r="D275" s="1" t="str">
        <f aca="false">'Cleaned Data'!D275</f>
        <v>Zombie Rush</v>
      </c>
      <c r="E275" s="1" t="str">
        <f aca="false">'Cleaned Data'!E275</f>
        <v>Console</v>
      </c>
      <c r="F275" s="1" t="str">
        <f aca="false">'Cleaned Data'!F275</f>
        <v>North</v>
      </c>
      <c r="G275" s="23" t="n">
        <f aca="false">'Cleaned Data'!G275</f>
        <v>45758</v>
      </c>
      <c r="H275" s="1" t="n">
        <f aca="false">'Cleaned Data'!H275</f>
        <v>166</v>
      </c>
      <c r="I275" s="24" t="n">
        <f aca="false">'Cleaned Data'!I275</f>
        <v>47.72</v>
      </c>
      <c r="J275" s="1" t="str">
        <f aca="false">'Cleaned Data'!J275</f>
        <v>Skins</v>
      </c>
      <c r="K275" s="1" t="str">
        <f aca="false">'Cleaned Data'!K275</f>
        <v>Completed</v>
      </c>
      <c r="L275" s="1" t="str">
        <f aca="false">'Cleaned Data'!L275</f>
        <v>Paid</v>
      </c>
      <c r="M275" s="1" t="n">
        <f aca="false">'Cleaned Data'!M275</f>
        <v>40</v>
      </c>
      <c r="N275" s="1" t="str">
        <f aca="false">'Cleaned Data'!N275</f>
        <v>Yes</v>
      </c>
      <c r="O275" s="1" t="str">
        <f aca="false">TEXT(G275,"yyyy-mm")</f>
        <v>2025-04</v>
      </c>
      <c r="P275" s="1" t="str">
        <f aca="false">IF(H275&lt;20,"Low",IF(H275&lt;=60,"Medium","High"))</f>
        <v>High</v>
      </c>
      <c r="Q275" s="1" t="str">
        <f aca="false">IF(I275&gt;0,"Yes","No")</f>
        <v>Yes</v>
      </c>
      <c r="R275" s="1" t="n">
        <f aca="false">IF(N275="Yes",1,0)</f>
        <v>1</v>
      </c>
    </row>
    <row r="276" customFormat="false" ht="15" hidden="false" customHeight="true" outlineLevel="0" collapsed="false">
      <c r="A276" s="1" t="str">
        <f aca="false">'Cleaned Data'!A276</f>
        <v>S00272</v>
      </c>
      <c r="B276" s="1" t="str">
        <f aca="false">'Cleaned Data'!B276</f>
        <v>P4911</v>
      </c>
      <c r="C276" s="1" t="str">
        <f aca="false">'Cleaned Data'!C276</f>
        <v>mmorgan</v>
      </c>
      <c r="D276" s="1" t="str">
        <f aca="false">'Cleaned Data'!D276</f>
        <v>SpeedX</v>
      </c>
      <c r="E276" s="1" t="str">
        <f aca="false">'Cleaned Data'!E276</f>
        <v>PC</v>
      </c>
      <c r="F276" s="1" t="str">
        <f aca="false">'Cleaned Data'!F276</f>
        <v>North</v>
      </c>
      <c r="G276" s="23" t="n">
        <f aca="false">'Cleaned Data'!G276</f>
        <v>45721</v>
      </c>
      <c r="H276" s="1" t="n">
        <f aca="false">'Cleaned Data'!H276</f>
        <v>91</v>
      </c>
      <c r="I276" s="24" t="n">
        <f aca="false">'Cleaned Data'!I276</f>
        <v>45.51</v>
      </c>
      <c r="J276" s="1" t="str">
        <f aca="false">'Cleaned Data'!J276</f>
        <v>Skins</v>
      </c>
      <c r="K276" s="1" t="str">
        <f aca="false">'Cleaned Data'!K276</f>
        <v>Completed</v>
      </c>
      <c r="L276" s="1" t="str">
        <f aca="false">'Cleaned Data'!L276</f>
        <v>Paid</v>
      </c>
      <c r="M276" s="1" t="n">
        <f aca="false">'Cleaned Data'!M276</f>
        <v>8</v>
      </c>
      <c r="N276" s="1" t="str">
        <f aca="false">'Cleaned Data'!N276</f>
        <v>Yes</v>
      </c>
      <c r="O276" s="1" t="str">
        <f aca="false">TEXT(G276,"yyyy-mm")</f>
        <v>2025-03</v>
      </c>
      <c r="P276" s="1" t="str">
        <f aca="false">IF(H276&lt;20,"Low",IF(H276&lt;=60,"Medium","High"))</f>
        <v>High</v>
      </c>
      <c r="Q276" s="1" t="str">
        <f aca="false">IF(I276&gt;0,"Yes","No")</f>
        <v>Yes</v>
      </c>
      <c r="R276" s="1" t="n">
        <f aca="false">IF(N276="Yes",1,0)</f>
        <v>1</v>
      </c>
    </row>
    <row r="277" customFormat="false" ht="15" hidden="false" customHeight="true" outlineLevel="0" collapsed="false">
      <c r="A277" s="1" t="str">
        <f aca="false">'Cleaned Data'!A277</f>
        <v>S00273</v>
      </c>
      <c r="B277" s="1" t="str">
        <f aca="false">'Cleaned Data'!B277</f>
        <v>P5122</v>
      </c>
      <c r="C277" s="1" t="str">
        <f aca="false">'Cleaned Data'!C277</f>
        <v>ronaldkennedy</v>
      </c>
      <c r="D277" s="1" t="str">
        <f aca="false">'Cleaned Data'!D277</f>
        <v>BattleZone</v>
      </c>
      <c r="E277" s="1" t="str">
        <f aca="false">'Cleaned Data'!E277</f>
        <v>PC</v>
      </c>
      <c r="F277" s="1" t="str">
        <f aca="false">'Cleaned Data'!F277</f>
        <v>North</v>
      </c>
      <c r="G277" s="23" t="n">
        <f aca="false">'Cleaned Data'!G277</f>
        <v>45770</v>
      </c>
      <c r="H277" s="1" t="n">
        <f aca="false">'Cleaned Data'!H277</f>
        <v>52</v>
      </c>
      <c r="I277" s="24" t="n">
        <f aca="false">'Cleaned Data'!I277</f>
        <v>0</v>
      </c>
      <c r="J277" s="1" t="str">
        <f aca="false">'Cleaned Data'!J277</f>
        <v>None</v>
      </c>
      <c r="K277" s="1" t="str">
        <f aca="false">'Cleaned Data'!K277</f>
        <v>Completed</v>
      </c>
      <c r="L277" s="1" t="str">
        <f aca="false">'Cleaned Data'!L277</f>
        <v>Free</v>
      </c>
      <c r="M277" s="1" t="n">
        <f aca="false">'Cleaned Data'!M277</f>
        <v>3</v>
      </c>
      <c r="N277" s="1" t="str">
        <f aca="false">'Cleaned Data'!N277</f>
        <v>No</v>
      </c>
      <c r="O277" s="1" t="str">
        <f aca="false">TEXT(G277,"yyyy-mm")</f>
        <v>2025-04</v>
      </c>
      <c r="P277" s="1" t="str">
        <f aca="false">IF(H277&lt;20,"Low",IF(H277&lt;=60,"Medium","High"))</f>
        <v>Medium</v>
      </c>
      <c r="Q277" s="1" t="str">
        <f aca="false">IF(I277&gt;0,"Yes","No")</f>
        <v>No</v>
      </c>
      <c r="R277" s="1" t="n">
        <f aca="false">IF(N277="Yes",1,0)</f>
        <v>0</v>
      </c>
    </row>
    <row r="278" customFormat="false" ht="15" hidden="false" customHeight="true" outlineLevel="0" collapsed="false">
      <c r="A278" s="1" t="str">
        <f aca="false">'Cleaned Data'!A278</f>
        <v>S00274</v>
      </c>
      <c r="B278" s="1" t="str">
        <f aca="false">'Cleaned Data'!B278</f>
        <v>P4950</v>
      </c>
      <c r="C278" s="1" t="str">
        <f aca="false">'Cleaned Data'!C278</f>
        <v>megan08</v>
      </c>
      <c r="D278" s="1" t="str">
        <f aca="false">'Cleaned Data'!D278</f>
        <v>Empire Wars</v>
      </c>
      <c r="E278" s="1" t="str">
        <f aca="false">'Cleaned Data'!E278</f>
        <v>PC</v>
      </c>
      <c r="F278" s="1" t="str">
        <f aca="false">'Cleaned Data'!F278</f>
        <v>North</v>
      </c>
      <c r="G278" s="23" t="n">
        <f aca="false">'Cleaned Data'!G278</f>
        <v>45670</v>
      </c>
      <c r="H278" s="1" t="n">
        <f aca="false">'Cleaned Data'!H278</f>
        <v>130</v>
      </c>
      <c r="I278" s="24" t="n">
        <f aca="false">'Cleaned Data'!I278</f>
        <v>0</v>
      </c>
      <c r="J278" s="1" t="str">
        <f aca="false">'Cleaned Data'!J278</f>
        <v>None</v>
      </c>
      <c r="K278" s="1" t="str">
        <f aca="false">'Cleaned Data'!K278</f>
        <v>Completed</v>
      </c>
      <c r="L278" s="1" t="str">
        <f aca="false">'Cleaned Data'!L278</f>
        <v>Free</v>
      </c>
      <c r="M278" s="1" t="n">
        <f aca="false">'Cleaned Data'!M278</f>
        <v>49</v>
      </c>
      <c r="N278" s="1" t="str">
        <f aca="false">'Cleaned Data'!N278</f>
        <v>No</v>
      </c>
      <c r="O278" s="1" t="str">
        <f aca="false">TEXT(G278,"yyyy-mm")</f>
        <v>2025-01</v>
      </c>
      <c r="P278" s="1" t="str">
        <f aca="false">IF(H278&lt;20,"Low",IF(H278&lt;=60,"Medium","High"))</f>
        <v>High</v>
      </c>
      <c r="Q278" s="1" t="str">
        <f aca="false">IF(I278&gt;0,"Yes","No")</f>
        <v>No</v>
      </c>
      <c r="R278" s="1" t="n">
        <f aca="false">IF(N278="Yes",1,0)</f>
        <v>0</v>
      </c>
    </row>
    <row r="279" customFormat="false" ht="15" hidden="false" customHeight="true" outlineLevel="0" collapsed="false">
      <c r="A279" s="1" t="str">
        <f aca="false">'Cleaned Data'!A279</f>
        <v>S00275</v>
      </c>
      <c r="B279" s="1" t="str">
        <f aca="false">'Cleaned Data'!B279</f>
        <v>P7472</v>
      </c>
      <c r="C279" s="1" t="str">
        <f aca="false">'Cleaned Data'!C279</f>
        <v>kcook</v>
      </c>
      <c r="D279" s="1" t="str">
        <f aca="false">'Cleaned Data'!D279</f>
        <v>Empire Wars</v>
      </c>
      <c r="E279" s="1" t="str">
        <f aca="false">'Cleaned Data'!E279</f>
        <v>Mobile</v>
      </c>
      <c r="F279" s="1" t="str">
        <f aca="false">'Cleaned Data'!F279</f>
        <v>Central</v>
      </c>
      <c r="G279" s="23" t="n">
        <f aca="false">'Cleaned Data'!G279</f>
        <v>45750</v>
      </c>
      <c r="H279" s="1" t="n">
        <f aca="false">'Cleaned Data'!H279</f>
        <v>87</v>
      </c>
      <c r="I279" s="24" t="n">
        <f aca="false">'Cleaned Data'!I279</f>
        <v>0</v>
      </c>
      <c r="J279" s="1" t="str">
        <f aca="false">'Cleaned Data'!J279</f>
        <v>None</v>
      </c>
      <c r="K279" s="1" t="str">
        <f aca="false">'Cleaned Data'!K279</f>
        <v>Completed</v>
      </c>
      <c r="L279" s="1" t="str">
        <f aca="false">'Cleaned Data'!L279</f>
        <v>Free</v>
      </c>
      <c r="M279" s="1" t="n">
        <f aca="false">'Cleaned Data'!M279</f>
        <v>33</v>
      </c>
      <c r="N279" s="1" t="str">
        <f aca="false">'Cleaned Data'!N279</f>
        <v>No</v>
      </c>
      <c r="O279" s="1" t="str">
        <f aca="false">TEXT(G279,"yyyy-mm")</f>
        <v>2025-04</v>
      </c>
      <c r="P279" s="1" t="str">
        <f aca="false">IF(H279&lt;20,"Low",IF(H279&lt;=60,"Medium","High"))</f>
        <v>High</v>
      </c>
      <c r="Q279" s="1" t="str">
        <f aca="false">IF(I279&gt;0,"Yes","No")</f>
        <v>No</v>
      </c>
      <c r="R279" s="1" t="n">
        <f aca="false">IF(N279="Yes",1,0)</f>
        <v>0</v>
      </c>
    </row>
    <row r="280" customFormat="false" ht="15" hidden="false" customHeight="true" outlineLevel="0" collapsed="false">
      <c r="A280" s="1" t="str">
        <f aca="false">'Cleaned Data'!A280</f>
        <v>S00276</v>
      </c>
      <c r="B280" s="1" t="str">
        <f aca="false">'Cleaned Data'!B280</f>
        <v>P2232</v>
      </c>
      <c r="C280" s="1" t="str">
        <f aca="false">'Cleaned Data'!C280</f>
        <v>donovantrevor</v>
      </c>
      <c r="D280" s="1" t="str">
        <f aca="false">'Cleaned Data'!D280</f>
        <v>Zombie Rush</v>
      </c>
      <c r="E280" s="1" t="str">
        <f aca="false">'Cleaned Data'!E280</f>
        <v>PC</v>
      </c>
      <c r="F280" s="1" t="str">
        <f aca="false">'Cleaned Data'!F280</f>
        <v>North</v>
      </c>
      <c r="G280" s="23" t="n">
        <f aca="false">'Cleaned Data'!G280</f>
        <v>45738</v>
      </c>
      <c r="H280" s="1" t="n">
        <f aca="false">'Cleaned Data'!H280</f>
        <v>71</v>
      </c>
      <c r="I280" s="24" t="n">
        <f aca="false">'Cleaned Data'!I280</f>
        <v>0</v>
      </c>
      <c r="J280" s="1" t="str">
        <f aca="false">'Cleaned Data'!J280</f>
        <v>None</v>
      </c>
      <c r="K280" s="1" t="str">
        <f aca="false">'Cleaned Data'!K280</f>
        <v>Completed</v>
      </c>
      <c r="L280" s="1" t="str">
        <f aca="false">'Cleaned Data'!L280</f>
        <v>Free</v>
      </c>
      <c r="M280" s="1" t="n">
        <f aca="false">'Cleaned Data'!M280</f>
        <v>38</v>
      </c>
      <c r="N280" s="1" t="str">
        <f aca="false">'Cleaned Data'!N280</f>
        <v>No</v>
      </c>
      <c r="O280" s="1" t="str">
        <f aca="false">TEXT(G280,"yyyy-mm")</f>
        <v>2025-03</v>
      </c>
      <c r="P280" s="1" t="str">
        <f aca="false">IF(H280&lt;20,"Low",IF(H280&lt;=60,"Medium","High"))</f>
        <v>High</v>
      </c>
      <c r="Q280" s="1" t="str">
        <f aca="false">IF(I280&gt;0,"Yes","No")</f>
        <v>No</v>
      </c>
      <c r="R280" s="1" t="n">
        <f aca="false">IF(N280="Yes",1,0)</f>
        <v>0</v>
      </c>
    </row>
    <row r="281" customFormat="false" ht="15" hidden="false" customHeight="true" outlineLevel="0" collapsed="false">
      <c r="A281" s="1" t="str">
        <f aca="false">'Cleaned Data'!A281</f>
        <v>S00277</v>
      </c>
      <c r="B281" s="1" t="str">
        <f aca="false">'Cleaned Data'!B281</f>
        <v>P8649</v>
      </c>
      <c r="C281" s="1" t="str">
        <f aca="false">'Cleaned Data'!C281</f>
        <v>melanie33</v>
      </c>
      <c r="D281" s="1" t="str">
        <f aca="false">'Cleaned Data'!D281</f>
        <v>Zombie Rush</v>
      </c>
      <c r="E281" s="1" t="str">
        <f aca="false">'Cleaned Data'!E281</f>
        <v>Mobile</v>
      </c>
      <c r="F281" s="1" t="str">
        <f aca="false">'Cleaned Data'!F281</f>
        <v>North</v>
      </c>
      <c r="G281" s="23" t="n">
        <f aca="false">'Cleaned Data'!G281</f>
        <v>45735</v>
      </c>
      <c r="H281" s="1" t="n">
        <f aca="false">'Cleaned Data'!H281</f>
        <v>63</v>
      </c>
      <c r="I281" s="24" t="n">
        <f aca="false">'Cleaned Data'!I281</f>
        <v>0</v>
      </c>
      <c r="J281" s="1" t="str">
        <f aca="false">'Cleaned Data'!J281</f>
        <v>None</v>
      </c>
      <c r="K281" s="1" t="str">
        <f aca="false">'Cleaned Data'!K281</f>
        <v>Completed</v>
      </c>
      <c r="L281" s="1" t="str">
        <f aca="false">'Cleaned Data'!L281</f>
        <v>Free</v>
      </c>
      <c r="M281" s="1" t="n">
        <f aca="false">'Cleaned Data'!M281</f>
        <v>49</v>
      </c>
      <c r="N281" s="1" t="str">
        <f aca="false">'Cleaned Data'!N281</f>
        <v>No</v>
      </c>
      <c r="O281" s="1" t="str">
        <f aca="false">TEXT(G281,"yyyy-mm")</f>
        <v>2025-03</v>
      </c>
      <c r="P281" s="1" t="str">
        <f aca="false">IF(H281&lt;20,"Low",IF(H281&lt;=60,"Medium","High"))</f>
        <v>High</v>
      </c>
      <c r="Q281" s="1" t="str">
        <f aca="false">IF(I281&gt;0,"Yes","No")</f>
        <v>No</v>
      </c>
      <c r="R281" s="1" t="n">
        <f aca="false">IF(N281="Yes",1,0)</f>
        <v>0</v>
      </c>
    </row>
    <row r="282" customFormat="false" ht="15" hidden="false" customHeight="true" outlineLevel="0" collapsed="false">
      <c r="A282" s="1" t="str">
        <f aca="false">'Cleaned Data'!A282</f>
        <v>S00278</v>
      </c>
      <c r="B282" s="1" t="str">
        <f aca="false">'Cleaned Data'!B282</f>
        <v>P7465</v>
      </c>
      <c r="C282" s="1" t="str">
        <f aca="false">'Cleaned Data'!C282</f>
        <v>foxdawn</v>
      </c>
      <c r="D282" s="1" t="str">
        <f aca="false">'Cleaned Data'!D282</f>
        <v>Zombie Rush</v>
      </c>
      <c r="E282" s="1" t="str">
        <f aca="false">'Cleaned Data'!E282</f>
        <v>Console</v>
      </c>
      <c r="F282" s="1" t="str">
        <f aca="false">'Cleaned Data'!F282</f>
        <v>North</v>
      </c>
      <c r="G282" s="23" t="n">
        <f aca="false">'Cleaned Data'!G282</f>
        <v>45744</v>
      </c>
      <c r="H282" s="1" t="n">
        <f aca="false">'Cleaned Data'!H282</f>
        <v>175</v>
      </c>
      <c r="I282" s="24" t="n">
        <f aca="false">'Cleaned Data'!I282</f>
        <v>0</v>
      </c>
      <c r="J282" s="1" t="str">
        <f aca="false">'Cleaned Data'!J282</f>
        <v>None</v>
      </c>
      <c r="K282" s="1" t="str">
        <f aca="false">'Cleaned Data'!K282</f>
        <v>Crashed</v>
      </c>
      <c r="L282" s="1" t="str">
        <f aca="false">'Cleaned Data'!L282</f>
        <v>Free</v>
      </c>
      <c r="M282" s="1" t="n">
        <f aca="false">'Cleaned Data'!M282</f>
        <v>33</v>
      </c>
      <c r="N282" s="1" t="str">
        <f aca="false">'Cleaned Data'!N282</f>
        <v>Yes</v>
      </c>
      <c r="O282" s="1" t="str">
        <f aca="false">TEXT(G282,"yyyy-mm")</f>
        <v>2025-03</v>
      </c>
      <c r="P282" s="1" t="str">
        <f aca="false">IF(H282&lt;20,"Low",IF(H282&lt;=60,"Medium","High"))</f>
        <v>High</v>
      </c>
      <c r="Q282" s="1" t="str">
        <f aca="false">IF(I282&gt;0,"Yes","No")</f>
        <v>No</v>
      </c>
      <c r="R282" s="1" t="n">
        <f aca="false">IF(N282="Yes",1,0)</f>
        <v>1</v>
      </c>
    </row>
    <row r="283" customFormat="false" ht="15" hidden="false" customHeight="true" outlineLevel="0" collapsed="false">
      <c r="A283" s="1" t="str">
        <f aca="false">'Cleaned Data'!A283</f>
        <v>S00279</v>
      </c>
      <c r="B283" s="1" t="str">
        <f aca="false">'Cleaned Data'!B283</f>
        <v>P8384</v>
      </c>
      <c r="C283" s="1" t="str">
        <f aca="false">'Cleaned Data'!C283</f>
        <v>walkernathan</v>
      </c>
      <c r="D283" s="1" t="str">
        <f aca="false">'Cleaned Data'!D283</f>
        <v>Empire Wars</v>
      </c>
      <c r="E283" s="1" t="str">
        <f aca="false">'Cleaned Data'!E283</f>
        <v>PC</v>
      </c>
      <c r="F283" s="1" t="str">
        <f aca="false">'Cleaned Data'!F283</f>
        <v>South</v>
      </c>
      <c r="G283" s="23" t="n">
        <f aca="false">'Cleaned Data'!G283</f>
        <v>45690</v>
      </c>
      <c r="H283" s="1" t="n">
        <f aca="false">'Cleaned Data'!H283</f>
        <v>91</v>
      </c>
      <c r="I283" s="24" t="n">
        <f aca="false">'Cleaned Data'!I283</f>
        <v>0</v>
      </c>
      <c r="J283" s="1" t="str">
        <f aca="false">'Cleaned Data'!J283</f>
        <v>None</v>
      </c>
      <c r="K283" s="1" t="str">
        <f aca="false">'Cleaned Data'!K283</f>
        <v>Completed</v>
      </c>
      <c r="L283" s="1" t="str">
        <f aca="false">'Cleaned Data'!L283</f>
        <v>Free</v>
      </c>
      <c r="M283" s="1" t="n">
        <f aca="false">'Cleaned Data'!M283</f>
        <v>22</v>
      </c>
      <c r="N283" s="1" t="str">
        <f aca="false">'Cleaned Data'!N283</f>
        <v>No</v>
      </c>
      <c r="O283" s="1" t="str">
        <f aca="false">TEXT(G283,"yyyy-mm")</f>
        <v>2025-02</v>
      </c>
      <c r="P283" s="1" t="str">
        <f aca="false">IF(H283&lt;20,"Low",IF(H283&lt;=60,"Medium","High"))</f>
        <v>High</v>
      </c>
      <c r="Q283" s="1" t="str">
        <f aca="false">IF(I283&gt;0,"Yes","No")</f>
        <v>No</v>
      </c>
      <c r="R283" s="1" t="n">
        <f aca="false">IF(N283="Yes",1,0)</f>
        <v>0</v>
      </c>
    </row>
    <row r="284" customFormat="false" ht="15" hidden="false" customHeight="true" outlineLevel="0" collapsed="false">
      <c r="A284" s="1" t="str">
        <f aca="false">'Cleaned Data'!A284</f>
        <v>S00280</v>
      </c>
      <c r="B284" s="1" t="str">
        <f aca="false">'Cleaned Data'!B284</f>
        <v>P9835</v>
      </c>
      <c r="C284" s="1" t="str">
        <f aca="false">'Cleaned Data'!C284</f>
        <v>leslie88</v>
      </c>
      <c r="D284" s="1" t="str">
        <f aca="false">'Cleaned Data'!D284</f>
        <v>BattleZone</v>
      </c>
      <c r="E284" s="1" t="str">
        <f aca="false">'Cleaned Data'!E284</f>
        <v>Console</v>
      </c>
      <c r="F284" s="1" t="str">
        <f aca="false">'Cleaned Data'!F284</f>
        <v>North</v>
      </c>
      <c r="G284" s="23" t="n">
        <f aca="false">'Cleaned Data'!G284</f>
        <v>45708</v>
      </c>
      <c r="H284" s="1" t="n">
        <f aca="false">'Cleaned Data'!H284</f>
        <v>127</v>
      </c>
      <c r="I284" s="24" t="n">
        <f aca="false">'Cleaned Data'!I284</f>
        <v>40.21</v>
      </c>
      <c r="J284" s="1" t="str">
        <f aca="false">'Cleaned Data'!J284</f>
        <v>Battle Pass</v>
      </c>
      <c r="K284" s="1" t="str">
        <f aca="false">'Cleaned Data'!K284</f>
        <v>Completed</v>
      </c>
      <c r="L284" s="1" t="str">
        <f aca="false">'Cleaned Data'!L284</f>
        <v>Paid</v>
      </c>
      <c r="M284" s="1" t="n">
        <f aca="false">'Cleaned Data'!M284</f>
        <v>38</v>
      </c>
      <c r="N284" s="1" t="str">
        <f aca="false">'Cleaned Data'!N284</f>
        <v>Yes</v>
      </c>
      <c r="O284" s="1" t="str">
        <f aca="false">TEXT(G284,"yyyy-mm")</f>
        <v>2025-02</v>
      </c>
      <c r="P284" s="1" t="str">
        <f aca="false">IF(H284&lt;20,"Low",IF(H284&lt;=60,"Medium","High"))</f>
        <v>High</v>
      </c>
      <c r="Q284" s="1" t="str">
        <f aca="false">IF(I284&gt;0,"Yes","No")</f>
        <v>Yes</v>
      </c>
      <c r="R284" s="1" t="n">
        <f aca="false">IF(N284="Yes",1,0)</f>
        <v>1</v>
      </c>
    </row>
    <row r="285" customFormat="false" ht="15" hidden="false" customHeight="true" outlineLevel="0" collapsed="false">
      <c r="A285" s="1" t="str">
        <f aca="false">'Cleaned Data'!A285</f>
        <v>S00281</v>
      </c>
      <c r="B285" s="1" t="str">
        <f aca="false">'Cleaned Data'!B285</f>
        <v>P5712</v>
      </c>
      <c r="C285" s="1" t="str">
        <f aca="false">'Cleaned Data'!C285</f>
        <v>brandon14</v>
      </c>
      <c r="D285" s="1" t="str">
        <f aca="false">'Cleaned Data'!D285</f>
        <v>Zombie Rush</v>
      </c>
      <c r="E285" s="1" t="str">
        <f aca="false">'Cleaned Data'!E285</f>
        <v>Console</v>
      </c>
      <c r="F285" s="1" t="str">
        <f aca="false">'Cleaned Data'!F285</f>
        <v>North-East</v>
      </c>
      <c r="G285" s="23" t="n">
        <f aca="false">'Cleaned Data'!G285</f>
        <v>45671</v>
      </c>
      <c r="H285" s="1" t="n">
        <f aca="false">'Cleaned Data'!H285</f>
        <v>179</v>
      </c>
      <c r="I285" s="24" t="n">
        <f aca="false">'Cleaned Data'!I285</f>
        <v>0</v>
      </c>
      <c r="J285" s="1" t="str">
        <f aca="false">'Cleaned Data'!J285</f>
        <v>None</v>
      </c>
      <c r="K285" s="1" t="str">
        <f aca="false">'Cleaned Data'!K285</f>
        <v>Completed</v>
      </c>
      <c r="L285" s="1" t="str">
        <f aca="false">'Cleaned Data'!L285</f>
        <v>Paid</v>
      </c>
      <c r="M285" s="1" t="n">
        <f aca="false">'Cleaned Data'!M285</f>
        <v>34</v>
      </c>
      <c r="N285" s="1" t="str">
        <f aca="false">'Cleaned Data'!N285</f>
        <v>Yes</v>
      </c>
      <c r="O285" s="1" t="str">
        <f aca="false">TEXT(G285,"yyyy-mm")</f>
        <v>2025-01</v>
      </c>
      <c r="P285" s="1" t="str">
        <f aca="false">IF(H285&lt;20,"Low",IF(H285&lt;=60,"Medium","High"))</f>
        <v>High</v>
      </c>
      <c r="Q285" s="1" t="str">
        <f aca="false">IF(I285&gt;0,"Yes","No")</f>
        <v>No</v>
      </c>
      <c r="R285" s="1" t="n">
        <f aca="false">IF(N285="Yes",1,0)</f>
        <v>1</v>
      </c>
    </row>
    <row r="286" customFormat="false" ht="15" hidden="false" customHeight="true" outlineLevel="0" collapsed="false">
      <c r="A286" s="1" t="str">
        <f aca="false">'Cleaned Data'!A286</f>
        <v>S00282</v>
      </c>
      <c r="B286" s="1" t="str">
        <f aca="false">'Cleaned Data'!B286</f>
        <v>P7701</v>
      </c>
      <c r="C286" s="1" t="str">
        <f aca="false">'Cleaned Data'!C286</f>
        <v>carmenbutler</v>
      </c>
      <c r="D286" s="1" t="str">
        <f aca="false">'Cleaned Data'!D286</f>
        <v>SpeedX</v>
      </c>
      <c r="E286" s="1" t="str">
        <f aca="false">'Cleaned Data'!E286</f>
        <v>Mobile</v>
      </c>
      <c r="F286" s="1" t="str">
        <f aca="false">'Cleaned Data'!F286</f>
        <v>Central</v>
      </c>
      <c r="G286" s="23" t="n">
        <f aca="false">'Cleaned Data'!G286</f>
        <v>45727</v>
      </c>
      <c r="H286" s="1" t="n">
        <f aca="false">'Cleaned Data'!H286</f>
        <v>160</v>
      </c>
      <c r="I286" s="24" t="n">
        <f aca="false">'Cleaned Data'!I286</f>
        <v>0</v>
      </c>
      <c r="J286" s="1" t="str">
        <f aca="false">'Cleaned Data'!J286</f>
        <v>None</v>
      </c>
      <c r="K286" s="1" t="str">
        <f aca="false">'Cleaned Data'!K286</f>
        <v>Completed</v>
      </c>
      <c r="L286" s="1" t="str">
        <f aca="false">'Cleaned Data'!L286</f>
        <v>Free</v>
      </c>
      <c r="M286" s="1" t="n">
        <f aca="false">'Cleaned Data'!M286</f>
        <v>1</v>
      </c>
      <c r="N286" s="1" t="str">
        <f aca="false">'Cleaned Data'!N286</f>
        <v>Yes</v>
      </c>
      <c r="O286" s="1" t="str">
        <f aca="false">TEXT(G286,"yyyy-mm")</f>
        <v>2025-03</v>
      </c>
      <c r="P286" s="1" t="str">
        <f aca="false">IF(H286&lt;20,"Low",IF(H286&lt;=60,"Medium","High"))</f>
        <v>High</v>
      </c>
      <c r="Q286" s="1" t="str">
        <f aca="false">IF(I286&gt;0,"Yes","No")</f>
        <v>No</v>
      </c>
      <c r="R286" s="1" t="n">
        <f aca="false">IF(N286="Yes",1,0)</f>
        <v>1</v>
      </c>
    </row>
    <row r="287" customFormat="false" ht="15" hidden="false" customHeight="true" outlineLevel="0" collapsed="false">
      <c r="A287" s="1" t="str">
        <f aca="false">'Cleaned Data'!A287</f>
        <v>S00283</v>
      </c>
      <c r="B287" s="1" t="str">
        <f aca="false">'Cleaned Data'!B287</f>
        <v>P7004</v>
      </c>
      <c r="C287" s="1" t="str">
        <f aca="false">'Cleaned Data'!C287</f>
        <v>monicaharris</v>
      </c>
      <c r="D287" s="1" t="str">
        <f aca="false">'Cleaned Data'!D287</f>
        <v>BattleZone</v>
      </c>
      <c r="E287" s="1" t="str">
        <f aca="false">'Cleaned Data'!E287</f>
        <v>PC</v>
      </c>
      <c r="F287" s="1" t="str">
        <f aca="false">'Cleaned Data'!F287</f>
        <v>West</v>
      </c>
      <c r="G287" s="23" t="n">
        <f aca="false">'Cleaned Data'!G287</f>
        <v>45762</v>
      </c>
      <c r="H287" s="1" t="n">
        <f aca="false">'Cleaned Data'!H287</f>
        <v>175</v>
      </c>
      <c r="I287" s="24" t="n">
        <f aca="false">'Cleaned Data'!I287</f>
        <v>0</v>
      </c>
      <c r="J287" s="1" t="str">
        <f aca="false">'Cleaned Data'!J287</f>
        <v>None</v>
      </c>
      <c r="K287" s="1" t="str">
        <f aca="false">'Cleaned Data'!K287</f>
        <v>Completed</v>
      </c>
      <c r="L287" s="1" t="str">
        <f aca="false">'Cleaned Data'!L287</f>
        <v>Free</v>
      </c>
      <c r="M287" s="1" t="n">
        <f aca="false">'Cleaned Data'!M287</f>
        <v>1</v>
      </c>
      <c r="N287" s="1" t="str">
        <f aca="false">'Cleaned Data'!N287</f>
        <v>Yes</v>
      </c>
      <c r="O287" s="1" t="str">
        <f aca="false">TEXT(G287,"yyyy-mm")</f>
        <v>2025-04</v>
      </c>
      <c r="P287" s="1" t="str">
        <f aca="false">IF(H287&lt;20,"Low",IF(H287&lt;=60,"Medium","High"))</f>
        <v>High</v>
      </c>
      <c r="Q287" s="1" t="str">
        <f aca="false">IF(I287&gt;0,"Yes","No")</f>
        <v>No</v>
      </c>
      <c r="R287" s="1" t="n">
        <f aca="false">IF(N287="Yes",1,0)</f>
        <v>1</v>
      </c>
    </row>
    <row r="288" customFormat="false" ht="15" hidden="false" customHeight="true" outlineLevel="0" collapsed="false">
      <c r="A288" s="1" t="str">
        <f aca="false">'Cleaned Data'!A288</f>
        <v>S00284</v>
      </c>
      <c r="B288" s="1" t="str">
        <f aca="false">'Cleaned Data'!B288</f>
        <v>P4597</v>
      </c>
      <c r="C288" s="1" t="str">
        <f aca="false">'Cleaned Data'!C288</f>
        <v>john69</v>
      </c>
      <c r="D288" s="1" t="str">
        <f aca="false">'Cleaned Data'!D288</f>
        <v>SpeedX</v>
      </c>
      <c r="E288" s="1" t="str">
        <f aca="false">'Cleaned Data'!E288</f>
        <v>PC</v>
      </c>
      <c r="F288" s="1" t="str">
        <f aca="false">'Cleaned Data'!F288</f>
        <v>North</v>
      </c>
      <c r="G288" s="23" t="n">
        <f aca="false">'Cleaned Data'!G288</f>
        <v>45708</v>
      </c>
      <c r="H288" s="1" t="n">
        <f aca="false">'Cleaned Data'!H288</f>
        <v>112</v>
      </c>
      <c r="I288" s="24" t="n">
        <f aca="false">'Cleaned Data'!I288</f>
        <v>13.89</v>
      </c>
      <c r="J288" s="1" t="str">
        <f aca="false">'Cleaned Data'!J288</f>
        <v>Battle Pass</v>
      </c>
      <c r="K288" s="1" t="str">
        <f aca="false">'Cleaned Data'!K288</f>
        <v>Crashed</v>
      </c>
      <c r="L288" s="1" t="str">
        <f aca="false">'Cleaned Data'!L288</f>
        <v>Paid</v>
      </c>
      <c r="M288" s="1" t="n">
        <f aca="false">'Cleaned Data'!M288</f>
        <v>25</v>
      </c>
      <c r="N288" s="1" t="str">
        <f aca="false">'Cleaned Data'!N288</f>
        <v>No</v>
      </c>
      <c r="O288" s="1" t="str">
        <f aca="false">TEXT(G288,"yyyy-mm")</f>
        <v>2025-02</v>
      </c>
      <c r="P288" s="1" t="str">
        <f aca="false">IF(H288&lt;20,"Low",IF(H288&lt;=60,"Medium","High"))</f>
        <v>High</v>
      </c>
      <c r="Q288" s="1" t="str">
        <f aca="false">IF(I288&gt;0,"Yes","No")</f>
        <v>Yes</v>
      </c>
      <c r="R288" s="1" t="n">
        <f aca="false">IF(N288="Yes",1,0)</f>
        <v>0</v>
      </c>
    </row>
    <row r="289" customFormat="false" ht="15" hidden="false" customHeight="true" outlineLevel="0" collapsed="false">
      <c r="A289" s="1" t="str">
        <f aca="false">'Cleaned Data'!A289</f>
        <v>S00285</v>
      </c>
      <c r="B289" s="1" t="str">
        <f aca="false">'Cleaned Data'!B289</f>
        <v>P3464</v>
      </c>
      <c r="C289" s="1" t="str">
        <f aca="false">'Cleaned Data'!C289</f>
        <v>ryan43</v>
      </c>
      <c r="D289" s="1" t="str">
        <f aca="false">'Cleaned Data'!D289</f>
        <v>BattleZone</v>
      </c>
      <c r="E289" s="1" t="str">
        <f aca="false">'Cleaned Data'!E289</f>
        <v>Console</v>
      </c>
      <c r="F289" s="1" t="str">
        <f aca="false">'Cleaned Data'!F289</f>
        <v>North-East</v>
      </c>
      <c r="G289" s="23" t="n">
        <f aca="false">'Cleaned Data'!G289</f>
        <v>45811</v>
      </c>
      <c r="H289" s="1" t="n">
        <f aca="false">'Cleaned Data'!H289</f>
        <v>85</v>
      </c>
      <c r="I289" s="24" t="n">
        <f aca="false">'Cleaned Data'!I289</f>
        <v>0</v>
      </c>
      <c r="J289" s="1" t="str">
        <f aca="false">'Cleaned Data'!J289</f>
        <v>None</v>
      </c>
      <c r="K289" s="1" t="str">
        <f aca="false">'Cleaned Data'!K289</f>
        <v>Exited Early</v>
      </c>
      <c r="L289" s="1" t="str">
        <f aca="false">'Cleaned Data'!L289</f>
        <v>Free</v>
      </c>
      <c r="M289" s="1" t="n">
        <f aca="false">'Cleaned Data'!M289</f>
        <v>24</v>
      </c>
      <c r="N289" s="1" t="str">
        <f aca="false">'Cleaned Data'!N289</f>
        <v>No</v>
      </c>
      <c r="O289" s="1" t="str">
        <f aca="false">TEXT(G289,"yyyy-mm")</f>
        <v>2025-06</v>
      </c>
      <c r="P289" s="1" t="str">
        <f aca="false">IF(H289&lt;20,"Low",IF(H289&lt;=60,"Medium","High"))</f>
        <v>High</v>
      </c>
      <c r="Q289" s="1" t="str">
        <f aca="false">IF(I289&gt;0,"Yes","No")</f>
        <v>No</v>
      </c>
      <c r="R289" s="1" t="n">
        <f aca="false">IF(N289="Yes",1,0)</f>
        <v>0</v>
      </c>
    </row>
    <row r="290" customFormat="false" ht="15" hidden="false" customHeight="true" outlineLevel="0" collapsed="false">
      <c r="A290" s="1" t="str">
        <f aca="false">'Cleaned Data'!A290</f>
        <v>S00286</v>
      </c>
      <c r="B290" s="1" t="str">
        <f aca="false">'Cleaned Data'!B290</f>
        <v>P1653</v>
      </c>
      <c r="C290" s="1" t="str">
        <f aca="false">'Cleaned Data'!C290</f>
        <v>jeffreybaker</v>
      </c>
      <c r="D290" s="1" t="str">
        <f aca="false">'Cleaned Data'!D290</f>
        <v>Clash of Realms</v>
      </c>
      <c r="E290" s="1" t="str">
        <f aca="false">'Cleaned Data'!E290</f>
        <v>PC</v>
      </c>
      <c r="F290" s="1" t="str">
        <f aca="false">'Cleaned Data'!F290</f>
        <v>North-East</v>
      </c>
      <c r="G290" s="23" t="n">
        <f aca="false">'Cleaned Data'!G290</f>
        <v>45664</v>
      </c>
      <c r="H290" s="1" t="n">
        <f aca="false">'Cleaned Data'!H290</f>
        <v>16</v>
      </c>
      <c r="I290" s="24" t="n">
        <f aca="false">'Cleaned Data'!I290</f>
        <v>0</v>
      </c>
      <c r="J290" s="1" t="str">
        <f aca="false">'Cleaned Data'!J290</f>
        <v>None</v>
      </c>
      <c r="K290" s="1" t="str">
        <f aca="false">'Cleaned Data'!K290</f>
        <v>Crashed</v>
      </c>
      <c r="L290" s="1" t="str">
        <f aca="false">'Cleaned Data'!L290</f>
        <v>Free</v>
      </c>
      <c r="M290" s="1" t="n">
        <f aca="false">'Cleaned Data'!M290</f>
        <v>6</v>
      </c>
      <c r="N290" s="1" t="str">
        <f aca="false">'Cleaned Data'!N290</f>
        <v>No</v>
      </c>
      <c r="O290" s="1" t="str">
        <f aca="false">TEXT(G290,"yyyy-mm")</f>
        <v>2025-01</v>
      </c>
      <c r="P290" s="1" t="str">
        <f aca="false">IF(H290&lt;20,"Low",IF(H290&lt;=60,"Medium","High"))</f>
        <v>Low</v>
      </c>
      <c r="Q290" s="1" t="str">
        <f aca="false">IF(I290&gt;0,"Yes","No")</f>
        <v>No</v>
      </c>
      <c r="R290" s="1" t="n">
        <f aca="false">IF(N290="Yes",1,0)</f>
        <v>0</v>
      </c>
    </row>
    <row r="291" customFormat="false" ht="15" hidden="false" customHeight="true" outlineLevel="0" collapsed="false">
      <c r="A291" s="1" t="str">
        <f aca="false">'Cleaned Data'!A291</f>
        <v>S00287</v>
      </c>
      <c r="B291" s="1" t="str">
        <f aca="false">'Cleaned Data'!B291</f>
        <v>P8328</v>
      </c>
      <c r="C291" s="1" t="str">
        <f aca="false">'Cleaned Data'!C291</f>
        <v>floresnatalie</v>
      </c>
      <c r="D291" s="1" t="str">
        <f aca="false">'Cleaned Data'!D291</f>
        <v>Clash of Realms</v>
      </c>
      <c r="E291" s="1" t="str">
        <f aca="false">'Cleaned Data'!E291</f>
        <v>PC</v>
      </c>
      <c r="F291" s="1" t="str">
        <f aca="false">'Cleaned Data'!F291</f>
        <v>North</v>
      </c>
      <c r="G291" s="23" t="n">
        <f aca="false">'Cleaned Data'!G291</f>
        <v>45704</v>
      </c>
      <c r="H291" s="1" t="n">
        <f aca="false">'Cleaned Data'!H291</f>
        <v>80</v>
      </c>
      <c r="I291" s="24" t="n">
        <f aca="false">'Cleaned Data'!I291</f>
        <v>0</v>
      </c>
      <c r="J291" s="1" t="str">
        <f aca="false">'Cleaned Data'!J291</f>
        <v>None</v>
      </c>
      <c r="K291" s="1" t="str">
        <f aca="false">'Cleaned Data'!K291</f>
        <v>Completed</v>
      </c>
      <c r="L291" s="1" t="str">
        <f aca="false">'Cleaned Data'!L291</f>
        <v>Free</v>
      </c>
      <c r="M291" s="1" t="n">
        <f aca="false">'Cleaned Data'!M291</f>
        <v>16</v>
      </c>
      <c r="N291" s="1" t="str">
        <f aca="false">'Cleaned Data'!N291</f>
        <v>No</v>
      </c>
      <c r="O291" s="1" t="str">
        <f aca="false">TEXT(G291,"yyyy-mm")</f>
        <v>2025-02</v>
      </c>
      <c r="P291" s="1" t="str">
        <f aca="false">IF(H291&lt;20,"Low",IF(H291&lt;=60,"Medium","High"))</f>
        <v>High</v>
      </c>
      <c r="Q291" s="1" t="str">
        <f aca="false">IF(I291&gt;0,"Yes","No")</f>
        <v>No</v>
      </c>
      <c r="R291" s="1" t="n">
        <f aca="false">IF(N291="Yes",1,0)</f>
        <v>0</v>
      </c>
    </row>
    <row r="292" customFormat="false" ht="15" hidden="false" customHeight="true" outlineLevel="0" collapsed="false">
      <c r="A292" s="1" t="str">
        <f aca="false">'Cleaned Data'!A292</f>
        <v>S00288</v>
      </c>
      <c r="B292" s="1" t="str">
        <f aca="false">'Cleaned Data'!B292</f>
        <v>P8167</v>
      </c>
      <c r="C292" s="1" t="str">
        <f aca="false">'Cleaned Data'!C292</f>
        <v>tyler13</v>
      </c>
      <c r="D292" s="1" t="str">
        <f aca="false">'Cleaned Data'!D292</f>
        <v>BattleZone</v>
      </c>
      <c r="E292" s="1" t="str">
        <f aca="false">'Cleaned Data'!E292</f>
        <v>Mobile</v>
      </c>
      <c r="F292" s="1" t="str">
        <f aca="false">'Cleaned Data'!F292</f>
        <v>Central</v>
      </c>
      <c r="G292" s="23" t="n">
        <f aca="false">'Cleaned Data'!G292</f>
        <v>45746</v>
      </c>
      <c r="H292" s="1" t="n">
        <f aca="false">'Cleaned Data'!H292</f>
        <v>69</v>
      </c>
      <c r="I292" s="24" t="n">
        <f aca="false">'Cleaned Data'!I292</f>
        <v>0</v>
      </c>
      <c r="J292" s="1" t="str">
        <f aca="false">'Cleaned Data'!J292</f>
        <v>None</v>
      </c>
      <c r="K292" s="1" t="str">
        <f aca="false">'Cleaned Data'!K292</f>
        <v>Incomplete</v>
      </c>
      <c r="L292" s="1" t="str">
        <f aca="false">'Cleaned Data'!L292</f>
        <v>Paid</v>
      </c>
      <c r="M292" s="1" t="n">
        <f aca="false">'Cleaned Data'!M292</f>
        <v>17</v>
      </c>
      <c r="N292" s="1" t="str">
        <f aca="false">'Cleaned Data'!N292</f>
        <v>No</v>
      </c>
      <c r="O292" s="1" t="str">
        <f aca="false">TEXT(G292,"yyyy-mm")</f>
        <v>2025-03</v>
      </c>
      <c r="P292" s="1" t="str">
        <f aca="false">IF(H292&lt;20,"Low",IF(H292&lt;=60,"Medium","High"))</f>
        <v>High</v>
      </c>
      <c r="Q292" s="1" t="str">
        <f aca="false">IF(I292&gt;0,"Yes","No")</f>
        <v>No</v>
      </c>
      <c r="R292" s="1" t="n">
        <f aca="false">IF(N292="Yes",1,0)</f>
        <v>0</v>
      </c>
    </row>
    <row r="293" customFormat="false" ht="15" hidden="false" customHeight="true" outlineLevel="0" collapsed="false">
      <c r="A293" s="1" t="str">
        <f aca="false">'Cleaned Data'!A293</f>
        <v>S00289</v>
      </c>
      <c r="B293" s="1" t="str">
        <f aca="false">'Cleaned Data'!B293</f>
        <v>P6334</v>
      </c>
      <c r="C293" s="1" t="str">
        <f aca="false">'Cleaned Data'!C293</f>
        <v>erictrujillo</v>
      </c>
      <c r="D293" s="1" t="str">
        <f aca="false">'Cleaned Data'!D293</f>
        <v>SpeedX</v>
      </c>
      <c r="E293" s="1" t="str">
        <f aca="false">'Cleaned Data'!E293</f>
        <v>Console</v>
      </c>
      <c r="F293" s="1" t="str">
        <f aca="false">'Cleaned Data'!F293</f>
        <v>Central</v>
      </c>
      <c r="G293" s="23" t="n">
        <f aca="false">'Cleaned Data'!G293</f>
        <v>45719</v>
      </c>
      <c r="H293" s="1" t="n">
        <f aca="false">'Cleaned Data'!H293</f>
        <v>25</v>
      </c>
      <c r="I293" s="24" t="n">
        <f aca="false">'Cleaned Data'!I293</f>
        <v>0</v>
      </c>
      <c r="J293" s="1" t="str">
        <f aca="false">'Cleaned Data'!J293</f>
        <v>None</v>
      </c>
      <c r="K293" s="1" t="str">
        <f aca="false">'Cleaned Data'!K293</f>
        <v>Completed</v>
      </c>
      <c r="L293" s="1" t="str">
        <f aca="false">'Cleaned Data'!L293</f>
        <v>Free</v>
      </c>
      <c r="M293" s="1" t="n">
        <f aca="false">'Cleaned Data'!M293</f>
        <v>34</v>
      </c>
      <c r="N293" s="1" t="str">
        <f aca="false">'Cleaned Data'!N293</f>
        <v>No</v>
      </c>
      <c r="O293" s="1" t="str">
        <f aca="false">TEXT(G293,"yyyy-mm")</f>
        <v>2025-03</v>
      </c>
      <c r="P293" s="1" t="str">
        <f aca="false">IF(H293&lt;20,"Low",IF(H293&lt;=60,"Medium","High"))</f>
        <v>Medium</v>
      </c>
      <c r="Q293" s="1" t="str">
        <f aca="false">IF(I293&gt;0,"Yes","No")</f>
        <v>No</v>
      </c>
      <c r="R293" s="1" t="n">
        <f aca="false">IF(N293="Yes",1,0)</f>
        <v>0</v>
      </c>
    </row>
    <row r="294" customFormat="false" ht="15" hidden="false" customHeight="true" outlineLevel="0" collapsed="false">
      <c r="A294" s="1" t="str">
        <f aca="false">'Cleaned Data'!A294</f>
        <v>S00290</v>
      </c>
      <c r="B294" s="1" t="str">
        <f aca="false">'Cleaned Data'!B294</f>
        <v>P4420</v>
      </c>
      <c r="C294" s="1" t="str">
        <f aca="false">'Cleaned Data'!C294</f>
        <v>wanda82</v>
      </c>
      <c r="D294" s="1" t="str">
        <f aca="false">'Cleaned Data'!D294</f>
        <v>Clash of Realms</v>
      </c>
      <c r="E294" s="1" t="str">
        <f aca="false">'Cleaned Data'!E294</f>
        <v>PC</v>
      </c>
      <c r="F294" s="1" t="str">
        <f aca="false">'Cleaned Data'!F294</f>
        <v>West</v>
      </c>
      <c r="G294" s="23" t="n">
        <f aca="false">'Cleaned Data'!G294</f>
        <v>45652</v>
      </c>
      <c r="H294" s="1" t="n">
        <f aca="false">'Cleaned Data'!H294</f>
        <v>154</v>
      </c>
      <c r="I294" s="24" t="n">
        <f aca="false">'Cleaned Data'!I294</f>
        <v>0</v>
      </c>
      <c r="J294" s="1" t="str">
        <f aca="false">'Cleaned Data'!J294</f>
        <v>None</v>
      </c>
      <c r="K294" s="1" t="str">
        <f aca="false">'Cleaned Data'!K294</f>
        <v>Completed</v>
      </c>
      <c r="L294" s="1" t="str">
        <f aca="false">'Cleaned Data'!L294</f>
        <v>Paid</v>
      </c>
      <c r="M294" s="1" t="n">
        <f aca="false">'Cleaned Data'!M294</f>
        <v>14</v>
      </c>
      <c r="N294" s="1" t="str">
        <f aca="false">'Cleaned Data'!N294</f>
        <v>Yes</v>
      </c>
      <c r="O294" s="1" t="str">
        <f aca="false">TEXT(G294,"yyyy-mm")</f>
        <v>2024-12</v>
      </c>
      <c r="P294" s="1" t="str">
        <f aca="false">IF(H294&lt;20,"Low",IF(H294&lt;=60,"Medium","High"))</f>
        <v>High</v>
      </c>
      <c r="Q294" s="1" t="str">
        <f aca="false">IF(I294&gt;0,"Yes","No")</f>
        <v>No</v>
      </c>
      <c r="R294" s="1" t="n">
        <f aca="false">IF(N294="Yes",1,0)</f>
        <v>1</v>
      </c>
    </row>
    <row r="295" customFormat="false" ht="15" hidden="false" customHeight="true" outlineLevel="0" collapsed="false">
      <c r="A295" s="1" t="str">
        <f aca="false">'Cleaned Data'!A295</f>
        <v>S00291</v>
      </c>
      <c r="B295" s="1" t="str">
        <f aca="false">'Cleaned Data'!B295</f>
        <v>P6223</v>
      </c>
      <c r="C295" s="1" t="str">
        <f aca="false">'Cleaned Data'!C295</f>
        <v>raymondjenna</v>
      </c>
      <c r="D295" s="1" t="str">
        <f aca="false">'Cleaned Data'!D295</f>
        <v>SpeedX</v>
      </c>
      <c r="E295" s="1" t="str">
        <f aca="false">'Cleaned Data'!E295</f>
        <v>PC</v>
      </c>
      <c r="F295" s="1" t="str">
        <f aca="false">'Cleaned Data'!F295</f>
        <v>North-East</v>
      </c>
      <c r="G295" s="23" t="n">
        <f aca="false">'Cleaned Data'!G295</f>
        <v>45771</v>
      </c>
      <c r="H295" s="1" t="n">
        <f aca="false">'Cleaned Data'!H295</f>
        <v>66</v>
      </c>
      <c r="I295" s="24" t="n">
        <f aca="false">'Cleaned Data'!I295</f>
        <v>0</v>
      </c>
      <c r="J295" s="1" t="str">
        <f aca="false">'Cleaned Data'!J295</f>
        <v>None</v>
      </c>
      <c r="K295" s="1" t="str">
        <f aca="false">'Cleaned Data'!K295</f>
        <v>Exited Early</v>
      </c>
      <c r="L295" s="1" t="str">
        <f aca="false">'Cleaned Data'!L295</f>
        <v>Free</v>
      </c>
      <c r="M295" s="1" t="n">
        <f aca="false">'Cleaned Data'!M295</f>
        <v>4</v>
      </c>
      <c r="N295" s="1" t="str">
        <f aca="false">'Cleaned Data'!N295</f>
        <v>No</v>
      </c>
      <c r="O295" s="1" t="str">
        <f aca="false">TEXT(G295,"yyyy-mm")</f>
        <v>2025-04</v>
      </c>
      <c r="P295" s="1" t="str">
        <f aca="false">IF(H295&lt;20,"Low",IF(H295&lt;=60,"Medium","High"))</f>
        <v>High</v>
      </c>
      <c r="Q295" s="1" t="str">
        <f aca="false">IF(I295&gt;0,"Yes","No")</f>
        <v>No</v>
      </c>
      <c r="R295" s="1" t="n">
        <f aca="false">IF(N295="Yes",1,0)</f>
        <v>0</v>
      </c>
    </row>
    <row r="296" customFormat="false" ht="15" hidden="false" customHeight="true" outlineLevel="0" collapsed="false">
      <c r="A296" s="1" t="str">
        <f aca="false">'Cleaned Data'!A296</f>
        <v>S00292</v>
      </c>
      <c r="B296" s="1" t="str">
        <f aca="false">'Cleaned Data'!B296</f>
        <v>P2113</v>
      </c>
      <c r="C296" s="1" t="str">
        <f aca="false">'Cleaned Data'!C296</f>
        <v>cassandrarice</v>
      </c>
      <c r="D296" s="1" t="str">
        <f aca="false">'Cleaned Data'!D296</f>
        <v>Zombie Rush</v>
      </c>
      <c r="E296" s="1" t="str">
        <f aca="false">'Cleaned Data'!E296</f>
        <v>Console</v>
      </c>
      <c r="F296" s="1" t="str">
        <f aca="false">'Cleaned Data'!F296</f>
        <v>North</v>
      </c>
      <c r="G296" s="23" t="n">
        <f aca="false">'Cleaned Data'!G296</f>
        <v>45797</v>
      </c>
      <c r="H296" s="1" t="n">
        <f aca="false">'Cleaned Data'!H296</f>
        <v>164</v>
      </c>
      <c r="I296" s="24" t="n">
        <f aca="false">'Cleaned Data'!I296</f>
        <v>14.33</v>
      </c>
      <c r="J296" s="1" t="str">
        <f aca="false">'Cleaned Data'!J296</f>
        <v>Skins</v>
      </c>
      <c r="K296" s="1" t="str">
        <f aca="false">'Cleaned Data'!K296</f>
        <v>Completed</v>
      </c>
      <c r="L296" s="1" t="str">
        <f aca="false">'Cleaned Data'!L296</f>
        <v>Paid</v>
      </c>
      <c r="M296" s="1" t="n">
        <f aca="false">'Cleaned Data'!M296</f>
        <v>4</v>
      </c>
      <c r="N296" s="1" t="str">
        <f aca="false">'Cleaned Data'!N296</f>
        <v>Yes</v>
      </c>
      <c r="O296" s="1" t="str">
        <f aca="false">TEXT(G296,"yyyy-mm")</f>
        <v>2025-05</v>
      </c>
      <c r="P296" s="1" t="str">
        <f aca="false">IF(H296&lt;20,"Low",IF(H296&lt;=60,"Medium","High"))</f>
        <v>High</v>
      </c>
      <c r="Q296" s="1" t="str">
        <f aca="false">IF(I296&gt;0,"Yes","No")</f>
        <v>Yes</v>
      </c>
      <c r="R296" s="1" t="n">
        <f aca="false">IF(N296="Yes",1,0)</f>
        <v>1</v>
      </c>
    </row>
    <row r="297" customFormat="false" ht="15" hidden="false" customHeight="true" outlineLevel="0" collapsed="false">
      <c r="A297" s="1" t="str">
        <f aca="false">'Cleaned Data'!A297</f>
        <v>S00293</v>
      </c>
      <c r="B297" s="1" t="str">
        <f aca="false">'Cleaned Data'!B297</f>
        <v>P6122</v>
      </c>
      <c r="C297" s="1" t="str">
        <f aca="false">'Cleaned Data'!C297</f>
        <v>browndenise</v>
      </c>
      <c r="D297" s="1" t="str">
        <f aca="false">'Cleaned Data'!D297</f>
        <v>Empire Wars</v>
      </c>
      <c r="E297" s="1" t="str">
        <f aca="false">'Cleaned Data'!E297</f>
        <v>Console</v>
      </c>
      <c r="F297" s="1" t="str">
        <f aca="false">'Cleaned Data'!F297</f>
        <v>East</v>
      </c>
      <c r="G297" s="23" t="n">
        <f aca="false">'Cleaned Data'!G297</f>
        <v>45811</v>
      </c>
      <c r="H297" s="1" t="n">
        <f aca="false">'Cleaned Data'!H297</f>
        <v>9</v>
      </c>
      <c r="I297" s="24" t="n">
        <f aca="false">'Cleaned Data'!I297</f>
        <v>0</v>
      </c>
      <c r="J297" s="1" t="str">
        <f aca="false">'Cleaned Data'!J297</f>
        <v>None</v>
      </c>
      <c r="K297" s="1" t="str">
        <f aca="false">'Cleaned Data'!K297</f>
        <v>Completed</v>
      </c>
      <c r="L297" s="1" t="str">
        <f aca="false">'Cleaned Data'!L297</f>
        <v>Free</v>
      </c>
      <c r="M297" s="1" t="n">
        <f aca="false">'Cleaned Data'!M297</f>
        <v>10</v>
      </c>
      <c r="N297" s="1" t="str">
        <f aca="false">'Cleaned Data'!N297</f>
        <v>No</v>
      </c>
      <c r="O297" s="1" t="str">
        <f aca="false">TEXT(G297,"yyyy-mm")</f>
        <v>2025-06</v>
      </c>
      <c r="P297" s="1" t="str">
        <f aca="false">IF(H297&lt;20,"Low",IF(H297&lt;=60,"Medium","High"))</f>
        <v>Low</v>
      </c>
      <c r="Q297" s="1" t="str">
        <f aca="false">IF(I297&gt;0,"Yes","No")</f>
        <v>No</v>
      </c>
      <c r="R297" s="1" t="n">
        <f aca="false">IF(N297="Yes",1,0)</f>
        <v>0</v>
      </c>
    </row>
    <row r="298" customFormat="false" ht="15" hidden="false" customHeight="true" outlineLevel="0" collapsed="false">
      <c r="A298" s="1" t="str">
        <f aca="false">'Cleaned Data'!A298</f>
        <v>S00294</v>
      </c>
      <c r="B298" s="1" t="str">
        <f aca="false">'Cleaned Data'!B298</f>
        <v>P2984</v>
      </c>
      <c r="C298" s="1" t="str">
        <f aca="false">'Cleaned Data'!C298</f>
        <v>jenniferrollins</v>
      </c>
      <c r="D298" s="1" t="str">
        <f aca="false">'Cleaned Data'!D298</f>
        <v>BattleZone</v>
      </c>
      <c r="E298" s="1" t="str">
        <f aca="false">'Cleaned Data'!E298</f>
        <v>Mobile</v>
      </c>
      <c r="F298" s="1" t="str">
        <f aca="false">'Cleaned Data'!F298</f>
        <v>East</v>
      </c>
      <c r="G298" s="23" t="n">
        <f aca="false">'Cleaned Data'!G298</f>
        <v>45788</v>
      </c>
      <c r="H298" s="1" t="n">
        <f aca="false">'Cleaned Data'!H298</f>
        <v>31</v>
      </c>
      <c r="I298" s="24" t="n">
        <f aca="false">'Cleaned Data'!I298</f>
        <v>0</v>
      </c>
      <c r="J298" s="1" t="str">
        <f aca="false">'Cleaned Data'!J298</f>
        <v>None</v>
      </c>
      <c r="K298" s="1" t="str">
        <f aca="false">'Cleaned Data'!K298</f>
        <v>Crashed</v>
      </c>
      <c r="L298" s="1" t="str">
        <f aca="false">'Cleaned Data'!L298</f>
        <v>Free</v>
      </c>
      <c r="M298" s="1" t="n">
        <f aca="false">'Cleaned Data'!M298</f>
        <v>23</v>
      </c>
      <c r="N298" s="1" t="str">
        <f aca="false">'Cleaned Data'!N298</f>
        <v>No</v>
      </c>
      <c r="O298" s="1" t="str">
        <f aca="false">TEXT(G298,"yyyy-mm")</f>
        <v>2025-05</v>
      </c>
      <c r="P298" s="1" t="str">
        <f aca="false">IF(H298&lt;20,"Low",IF(H298&lt;=60,"Medium","High"))</f>
        <v>Medium</v>
      </c>
      <c r="Q298" s="1" t="str">
        <f aca="false">IF(I298&gt;0,"Yes","No")</f>
        <v>No</v>
      </c>
      <c r="R298" s="1" t="n">
        <f aca="false">IF(N298="Yes",1,0)</f>
        <v>0</v>
      </c>
    </row>
    <row r="299" customFormat="false" ht="15" hidden="false" customHeight="true" outlineLevel="0" collapsed="false">
      <c r="A299" s="1" t="str">
        <f aca="false">'Cleaned Data'!A299</f>
        <v>S00295</v>
      </c>
      <c r="B299" s="1" t="str">
        <f aca="false">'Cleaned Data'!B299</f>
        <v>P8996</v>
      </c>
      <c r="C299" s="1" t="str">
        <f aca="false">'Cleaned Data'!C299</f>
        <v>sbrown</v>
      </c>
      <c r="D299" s="1" t="str">
        <f aca="false">'Cleaned Data'!D299</f>
        <v>Empire Wars</v>
      </c>
      <c r="E299" s="1" t="str">
        <f aca="false">'Cleaned Data'!E299</f>
        <v>Mobile</v>
      </c>
      <c r="F299" s="1" t="str">
        <f aca="false">'Cleaned Data'!F299</f>
        <v>Central</v>
      </c>
      <c r="G299" s="23" t="n">
        <f aca="false">'Cleaned Data'!G299</f>
        <v>45669</v>
      </c>
      <c r="H299" s="1" t="n">
        <f aca="false">'Cleaned Data'!H299</f>
        <v>61</v>
      </c>
      <c r="I299" s="24" t="n">
        <f aca="false">'Cleaned Data'!I299</f>
        <v>0</v>
      </c>
      <c r="J299" s="1" t="str">
        <f aca="false">'Cleaned Data'!J299</f>
        <v>None</v>
      </c>
      <c r="K299" s="1" t="str">
        <f aca="false">'Cleaned Data'!K299</f>
        <v>Completed</v>
      </c>
      <c r="L299" s="1" t="str">
        <f aca="false">'Cleaned Data'!L299</f>
        <v>Free</v>
      </c>
      <c r="M299" s="1" t="n">
        <f aca="false">'Cleaned Data'!M299</f>
        <v>30</v>
      </c>
      <c r="N299" s="1" t="str">
        <f aca="false">'Cleaned Data'!N299</f>
        <v>No</v>
      </c>
      <c r="O299" s="1" t="str">
        <f aca="false">TEXT(G299,"yyyy-mm")</f>
        <v>2025-01</v>
      </c>
      <c r="P299" s="1" t="str">
        <f aca="false">IF(H299&lt;20,"Low",IF(H299&lt;=60,"Medium","High"))</f>
        <v>High</v>
      </c>
      <c r="Q299" s="1" t="str">
        <f aca="false">IF(I299&gt;0,"Yes","No")</f>
        <v>No</v>
      </c>
      <c r="R299" s="1" t="n">
        <f aca="false">IF(N299="Yes",1,0)</f>
        <v>0</v>
      </c>
    </row>
    <row r="300" customFormat="false" ht="15" hidden="false" customHeight="true" outlineLevel="0" collapsed="false">
      <c r="A300" s="1" t="str">
        <f aca="false">'Cleaned Data'!A300</f>
        <v>S00296</v>
      </c>
      <c r="B300" s="1" t="str">
        <f aca="false">'Cleaned Data'!B300</f>
        <v>P1051</v>
      </c>
      <c r="C300" s="1" t="str">
        <f aca="false">'Cleaned Data'!C300</f>
        <v>kevin42</v>
      </c>
      <c r="D300" s="1" t="str">
        <f aca="false">'Cleaned Data'!D300</f>
        <v>Empire Wars</v>
      </c>
      <c r="E300" s="1" t="str">
        <f aca="false">'Cleaned Data'!E300</f>
        <v>PC</v>
      </c>
      <c r="F300" s="1" t="str">
        <f aca="false">'Cleaned Data'!F300</f>
        <v>South</v>
      </c>
      <c r="G300" s="23" t="n">
        <f aca="false">'Cleaned Data'!G300</f>
        <v>45719</v>
      </c>
      <c r="H300" s="1" t="n">
        <f aca="false">'Cleaned Data'!H300</f>
        <v>178</v>
      </c>
      <c r="I300" s="24" t="n">
        <f aca="false">'Cleaned Data'!I300</f>
        <v>0</v>
      </c>
      <c r="J300" s="1" t="str">
        <f aca="false">'Cleaned Data'!J300</f>
        <v>None</v>
      </c>
      <c r="K300" s="1" t="str">
        <f aca="false">'Cleaned Data'!K300</f>
        <v>Completed</v>
      </c>
      <c r="L300" s="1" t="str">
        <f aca="false">'Cleaned Data'!L300</f>
        <v>Free</v>
      </c>
      <c r="M300" s="1" t="n">
        <f aca="false">'Cleaned Data'!M300</f>
        <v>30</v>
      </c>
      <c r="N300" s="1" t="str">
        <f aca="false">'Cleaned Data'!N300</f>
        <v>Yes</v>
      </c>
      <c r="O300" s="1" t="str">
        <f aca="false">TEXT(G300,"yyyy-mm")</f>
        <v>2025-03</v>
      </c>
      <c r="P300" s="1" t="str">
        <f aca="false">IF(H300&lt;20,"Low",IF(H300&lt;=60,"Medium","High"))</f>
        <v>High</v>
      </c>
      <c r="Q300" s="1" t="str">
        <f aca="false">IF(I300&gt;0,"Yes","No")</f>
        <v>No</v>
      </c>
      <c r="R300" s="1" t="n">
        <f aca="false">IF(N300="Yes",1,0)</f>
        <v>1</v>
      </c>
    </row>
    <row r="301" customFormat="false" ht="15" hidden="false" customHeight="true" outlineLevel="0" collapsed="false">
      <c r="A301" s="1" t="str">
        <f aca="false">'Cleaned Data'!A301</f>
        <v>S00297</v>
      </c>
      <c r="B301" s="1" t="str">
        <f aca="false">'Cleaned Data'!B301</f>
        <v>P2001</v>
      </c>
      <c r="C301" s="1" t="str">
        <f aca="false">'Cleaned Data'!C301</f>
        <v>yrichardson</v>
      </c>
      <c r="D301" s="1" t="str">
        <f aca="false">'Cleaned Data'!D301</f>
        <v>BattleZone</v>
      </c>
      <c r="E301" s="1" t="str">
        <f aca="false">'Cleaned Data'!E301</f>
        <v>PC</v>
      </c>
      <c r="F301" s="1" t="str">
        <f aca="false">'Cleaned Data'!F301</f>
        <v>East</v>
      </c>
      <c r="G301" s="23" t="n">
        <f aca="false">'Cleaned Data'!G301</f>
        <v>45782</v>
      </c>
      <c r="H301" s="1" t="n">
        <f aca="false">'Cleaned Data'!H301</f>
        <v>68</v>
      </c>
      <c r="I301" s="24" t="n">
        <f aca="false">'Cleaned Data'!I301</f>
        <v>0</v>
      </c>
      <c r="J301" s="1" t="str">
        <f aca="false">'Cleaned Data'!J301</f>
        <v>None</v>
      </c>
      <c r="K301" s="1" t="str">
        <f aca="false">'Cleaned Data'!K301</f>
        <v>Completed</v>
      </c>
      <c r="L301" s="1" t="str">
        <f aca="false">'Cleaned Data'!L301</f>
        <v>Free</v>
      </c>
      <c r="M301" s="1" t="n">
        <f aca="false">'Cleaned Data'!M301</f>
        <v>21</v>
      </c>
      <c r="N301" s="1" t="str">
        <f aca="false">'Cleaned Data'!N301</f>
        <v>No</v>
      </c>
      <c r="O301" s="1" t="str">
        <f aca="false">TEXT(G301,"yyyy-mm")</f>
        <v>2025-05</v>
      </c>
      <c r="P301" s="1" t="str">
        <f aca="false">IF(H301&lt;20,"Low",IF(H301&lt;=60,"Medium","High"))</f>
        <v>High</v>
      </c>
      <c r="Q301" s="1" t="str">
        <f aca="false">IF(I301&gt;0,"Yes","No")</f>
        <v>No</v>
      </c>
      <c r="R301" s="1" t="n">
        <f aca="false">IF(N301="Yes",1,0)</f>
        <v>0</v>
      </c>
    </row>
    <row r="302" customFormat="false" ht="15" hidden="false" customHeight="true" outlineLevel="0" collapsed="false">
      <c r="A302" s="1" t="str">
        <f aca="false">'Cleaned Data'!A302</f>
        <v>S00298</v>
      </c>
      <c r="B302" s="1" t="str">
        <f aca="false">'Cleaned Data'!B302</f>
        <v>P1898</v>
      </c>
      <c r="C302" s="1" t="str">
        <f aca="false">'Cleaned Data'!C302</f>
        <v>yperez</v>
      </c>
      <c r="D302" s="1" t="str">
        <f aca="false">'Cleaned Data'!D302</f>
        <v>SpeedX</v>
      </c>
      <c r="E302" s="1" t="str">
        <f aca="false">'Cleaned Data'!E302</f>
        <v>PC</v>
      </c>
      <c r="F302" s="1" t="str">
        <f aca="false">'Cleaned Data'!F302</f>
        <v>East</v>
      </c>
      <c r="G302" s="23" t="n">
        <f aca="false">'Cleaned Data'!G302</f>
        <v>45644</v>
      </c>
      <c r="H302" s="1" t="n">
        <f aca="false">'Cleaned Data'!H302</f>
        <v>174</v>
      </c>
      <c r="I302" s="24" t="n">
        <f aca="false">'Cleaned Data'!I302</f>
        <v>0</v>
      </c>
      <c r="J302" s="1" t="str">
        <f aca="false">'Cleaned Data'!J302</f>
        <v>None</v>
      </c>
      <c r="K302" s="1" t="str">
        <f aca="false">'Cleaned Data'!K302</f>
        <v>Exited Early</v>
      </c>
      <c r="L302" s="1" t="str">
        <f aca="false">'Cleaned Data'!L302</f>
        <v>Free</v>
      </c>
      <c r="M302" s="1" t="n">
        <f aca="false">'Cleaned Data'!M302</f>
        <v>50</v>
      </c>
      <c r="N302" s="1" t="str">
        <f aca="false">'Cleaned Data'!N302</f>
        <v>Yes</v>
      </c>
      <c r="O302" s="1" t="str">
        <f aca="false">TEXT(G302,"yyyy-mm")</f>
        <v>2024-12</v>
      </c>
      <c r="P302" s="1" t="str">
        <f aca="false">IF(H302&lt;20,"Low",IF(H302&lt;=60,"Medium","High"))</f>
        <v>High</v>
      </c>
      <c r="Q302" s="1" t="str">
        <f aca="false">IF(I302&gt;0,"Yes","No")</f>
        <v>No</v>
      </c>
      <c r="R302" s="1" t="n">
        <f aca="false">IF(N302="Yes",1,0)</f>
        <v>1</v>
      </c>
    </row>
    <row r="303" customFormat="false" ht="15" hidden="false" customHeight="true" outlineLevel="0" collapsed="false">
      <c r="A303" s="1" t="str">
        <f aca="false">'Cleaned Data'!A303</f>
        <v>S00299</v>
      </c>
      <c r="B303" s="1" t="str">
        <f aca="false">'Cleaned Data'!B303</f>
        <v>P2792</v>
      </c>
      <c r="C303" s="1" t="str">
        <f aca="false">'Cleaned Data'!C303</f>
        <v>rileyjohn</v>
      </c>
      <c r="D303" s="1" t="str">
        <f aca="false">'Cleaned Data'!D303</f>
        <v>SpeedX</v>
      </c>
      <c r="E303" s="1" t="str">
        <f aca="false">'Cleaned Data'!E303</f>
        <v>Mobile</v>
      </c>
      <c r="F303" s="1" t="str">
        <f aca="false">'Cleaned Data'!F303</f>
        <v>South</v>
      </c>
      <c r="G303" s="23" t="n">
        <f aca="false">'Cleaned Data'!G303</f>
        <v>45705</v>
      </c>
      <c r="H303" s="1" t="n">
        <f aca="false">'Cleaned Data'!H303</f>
        <v>42</v>
      </c>
      <c r="I303" s="24" t="n">
        <f aca="false">'Cleaned Data'!I303</f>
        <v>0</v>
      </c>
      <c r="J303" s="1" t="str">
        <f aca="false">'Cleaned Data'!J303</f>
        <v>None</v>
      </c>
      <c r="K303" s="1" t="str">
        <f aca="false">'Cleaned Data'!K303</f>
        <v>Completed</v>
      </c>
      <c r="L303" s="1" t="str">
        <f aca="false">'Cleaned Data'!L303</f>
        <v>Free</v>
      </c>
      <c r="M303" s="1" t="n">
        <f aca="false">'Cleaned Data'!M303</f>
        <v>15</v>
      </c>
      <c r="N303" s="1" t="str">
        <f aca="false">'Cleaned Data'!N303</f>
        <v>No</v>
      </c>
      <c r="O303" s="1" t="str">
        <f aca="false">TEXT(G303,"yyyy-mm")</f>
        <v>2025-02</v>
      </c>
      <c r="P303" s="1" t="str">
        <f aca="false">IF(H303&lt;20,"Low",IF(H303&lt;=60,"Medium","High"))</f>
        <v>Medium</v>
      </c>
      <c r="Q303" s="1" t="str">
        <f aca="false">IF(I303&gt;0,"Yes","No")</f>
        <v>No</v>
      </c>
      <c r="R303" s="1" t="n">
        <f aca="false">IF(N303="Yes",1,0)</f>
        <v>0</v>
      </c>
    </row>
    <row r="304" customFormat="false" ht="15" hidden="false" customHeight="true" outlineLevel="0" collapsed="false">
      <c r="A304" s="1" t="str">
        <f aca="false">'Cleaned Data'!A304</f>
        <v>S00300</v>
      </c>
      <c r="B304" s="1" t="str">
        <f aca="false">'Cleaned Data'!B304</f>
        <v>P8477</v>
      </c>
      <c r="C304" s="1" t="str">
        <f aca="false">'Cleaned Data'!C304</f>
        <v>smallalice</v>
      </c>
      <c r="D304" s="1" t="str">
        <f aca="false">'Cleaned Data'!D304</f>
        <v>Zombie Rush</v>
      </c>
      <c r="E304" s="1" t="str">
        <f aca="false">'Cleaned Data'!E304</f>
        <v>Console</v>
      </c>
      <c r="F304" s="1" t="str">
        <f aca="false">'Cleaned Data'!F304</f>
        <v>East</v>
      </c>
      <c r="G304" s="23" t="n">
        <f aca="false">'Cleaned Data'!G304</f>
        <v>45664</v>
      </c>
      <c r="H304" s="1" t="n">
        <f aca="false">'Cleaned Data'!H304</f>
        <v>90</v>
      </c>
      <c r="I304" s="24" t="n">
        <f aca="false">'Cleaned Data'!I304</f>
        <v>0</v>
      </c>
      <c r="J304" s="1" t="str">
        <f aca="false">'Cleaned Data'!J304</f>
        <v>None</v>
      </c>
      <c r="K304" s="1" t="str">
        <f aca="false">'Cleaned Data'!K304</f>
        <v>Exited Early</v>
      </c>
      <c r="L304" s="1" t="str">
        <f aca="false">'Cleaned Data'!L304</f>
        <v>Free</v>
      </c>
      <c r="M304" s="1" t="n">
        <f aca="false">'Cleaned Data'!M304</f>
        <v>3</v>
      </c>
      <c r="N304" s="1" t="str">
        <f aca="false">'Cleaned Data'!N304</f>
        <v>No</v>
      </c>
      <c r="O304" s="1" t="str">
        <f aca="false">TEXT(G304,"yyyy-mm")</f>
        <v>2025-01</v>
      </c>
      <c r="P304" s="1" t="str">
        <f aca="false">IF(H304&lt;20,"Low",IF(H304&lt;=60,"Medium","High"))</f>
        <v>High</v>
      </c>
      <c r="Q304" s="1" t="str">
        <f aca="false">IF(I304&gt;0,"Yes","No")</f>
        <v>No</v>
      </c>
      <c r="R304" s="1" t="n">
        <f aca="false">IF(N304="Yes",1,0)</f>
        <v>0</v>
      </c>
    </row>
    <row r="305" customFormat="false" ht="15" hidden="false" customHeight="true" outlineLevel="0" collapsed="false">
      <c r="A305" s="1" t="str">
        <f aca="false">'Cleaned Data'!A305</f>
        <v>S00301</v>
      </c>
      <c r="B305" s="1" t="str">
        <f aca="false">'Cleaned Data'!B305</f>
        <v>P1529</v>
      </c>
      <c r="C305" s="1" t="str">
        <f aca="false">'Cleaned Data'!C305</f>
        <v>nicole11</v>
      </c>
      <c r="D305" s="1" t="str">
        <f aca="false">'Cleaned Data'!D305</f>
        <v>Empire Wars</v>
      </c>
      <c r="E305" s="1" t="str">
        <f aca="false">'Cleaned Data'!E305</f>
        <v>Mobile</v>
      </c>
      <c r="F305" s="1" t="str">
        <f aca="false">'Cleaned Data'!F305</f>
        <v>Central</v>
      </c>
      <c r="G305" s="23" t="n">
        <f aca="false">'Cleaned Data'!G305</f>
        <v>45708</v>
      </c>
      <c r="H305" s="1" t="n">
        <f aca="false">'Cleaned Data'!H305</f>
        <v>70</v>
      </c>
      <c r="I305" s="24" t="n">
        <f aca="false">'Cleaned Data'!I305</f>
        <v>19.62</v>
      </c>
      <c r="J305" s="1" t="str">
        <f aca="false">'Cleaned Data'!J305</f>
        <v>Skins</v>
      </c>
      <c r="K305" s="1" t="str">
        <f aca="false">'Cleaned Data'!K305</f>
        <v>Completed</v>
      </c>
      <c r="L305" s="1" t="str">
        <f aca="false">'Cleaned Data'!L305</f>
        <v>Paid</v>
      </c>
      <c r="M305" s="1" t="n">
        <f aca="false">'Cleaned Data'!M305</f>
        <v>47</v>
      </c>
      <c r="N305" s="1" t="str">
        <f aca="false">'Cleaned Data'!N305</f>
        <v>No</v>
      </c>
      <c r="O305" s="1" t="str">
        <f aca="false">TEXT(G305,"yyyy-mm")</f>
        <v>2025-02</v>
      </c>
      <c r="P305" s="1" t="str">
        <f aca="false">IF(H305&lt;20,"Low",IF(H305&lt;=60,"Medium","High"))</f>
        <v>High</v>
      </c>
      <c r="Q305" s="1" t="str">
        <f aca="false">IF(I305&gt;0,"Yes","No")</f>
        <v>Yes</v>
      </c>
      <c r="R305" s="1" t="n">
        <f aca="false">IF(N305="Yes",1,0)</f>
        <v>0</v>
      </c>
    </row>
    <row r="306" customFormat="false" ht="15" hidden="false" customHeight="true" outlineLevel="0" collapsed="false">
      <c r="A306" s="1" t="str">
        <f aca="false">'Cleaned Data'!A306</f>
        <v>S00302</v>
      </c>
      <c r="B306" s="1" t="str">
        <f aca="false">'Cleaned Data'!B306</f>
        <v>P5078</v>
      </c>
      <c r="C306" s="1" t="str">
        <f aca="false">'Cleaned Data'!C306</f>
        <v>elizabeth99</v>
      </c>
      <c r="D306" s="1" t="str">
        <f aca="false">'Cleaned Data'!D306</f>
        <v>Clash of Realms</v>
      </c>
      <c r="E306" s="1" t="str">
        <f aca="false">'Cleaned Data'!E306</f>
        <v>Mobile</v>
      </c>
      <c r="F306" s="1" t="str">
        <f aca="false">'Cleaned Data'!F306</f>
        <v>North</v>
      </c>
      <c r="G306" s="23" t="n">
        <f aca="false">'Cleaned Data'!G306</f>
        <v>45748</v>
      </c>
      <c r="H306" s="1" t="n">
        <f aca="false">'Cleaned Data'!H306</f>
        <v>93</v>
      </c>
      <c r="I306" s="24" t="n">
        <f aca="false">'Cleaned Data'!I306</f>
        <v>0</v>
      </c>
      <c r="J306" s="1" t="str">
        <f aca="false">'Cleaned Data'!J306</f>
        <v>None</v>
      </c>
      <c r="K306" s="1" t="str">
        <f aca="false">'Cleaned Data'!K306</f>
        <v>Completed</v>
      </c>
      <c r="L306" s="1" t="str">
        <f aca="false">'Cleaned Data'!L306</f>
        <v>Free</v>
      </c>
      <c r="M306" s="1" t="n">
        <f aca="false">'Cleaned Data'!M306</f>
        <v>47</v>
      </c>
      <c r="N306" s="1" t="str">
        <f aca="false">'Cleaned Data'!N306</f>
        <v>No</v>
      </c>
      <c r="O306" s="1" t="str">
        <f aca="false">TEXT(G306,"yyyy-mm")</f>
        <v>2025-04</v>
      </c>
      <c r="P306" s="1" t="str">
        <f aca="false">IF(H306&lt;20,"Low",IF(H306&lt;=60,"Medium","High"))</f>
        <v>High</v>
      </c>
      <c r="Q306" s="1" t="str">
        <f aca="false">IF(I306&gt;0,"Yes","No")</f>
        <v>No</v>
      </c>
      <c r="R306" s="1" t="n">
        <f aca="false">IF(N306="Yes",1,0)</f>
        <v>0</v>
      </c>
    </row>
    <row r="307" customFormat="false" ht="15" hidden="false" customHeight="true" outlineLevel="0" collapsed="false">
      <c r="A307" s="1" t="str">
        <f aca="false">'Cleaned Data'!A307</f>
        <v>S00303</v>
      </c>
      <c r="B307" s="1" t="str">
        <f aca="false">'Cleaned Data'!B307</f>
        <v>P8482</v>
      </c>
      <c r="C307" s="1" t="str">
        <f aca="false">'Cleaned Data'!C307</f>
        <v>hornjoshua</v>
      </c>
      <c r="D307" s="1" t="str">
        <f aca="false">'Cleaned Data'!D307</f>
        <v>BattleZone</v>
      </c>
      <c r="E307" s="1" t="str">
        <f aca="false">'Cleaned Data'!E307</f>
        <v>PC</v>
      </c>
      <c r="F307" s="1" t="str">
        <f aca="false">'Cleaned Data'!F307</f>
        <v>East</v>
      </c>
      <c r="G307" s="23" t="n">
        <f aca="false">'Cleaned Data'!G307</f>
        <v>45801</v>
      </c>
      <c r="H307" s="1" t="n">
        <f aca="false">'Cleaned Data'!H307</f>
        <v>155</v>
      </c>
      <c r="I307" s="24" t="n">
        <f aca="false">'Cleaned Data'!I307</f>
        <v>31.24</v>
      </c>
      <c r="J307" s="1" t="str">
        <f aca="false">'Cleaned Data'!J307</f>
        <v>Battle Pass</v>
      </c>
      <c r="K307" s="1" t="str">
        <f aca="false">'Cleaned Data'!K307</f>
        <v>Completed</v>
      </c>
      <c r="L307" s="1" t="str">
        <f aca="false">'Cleaned Data'!L307</f>
        <v>Paid</v>
      </c>
      <c r="M307" s="1" t="n">
        <f aca="false">'Cleaned Data'!M307</f>
        <v>33</v>
      </c>
      <c r="N307" s="1" t="str">
        <f aca="false">'Cleaned Data'!N307</f>
        <v>Yes</v>
      </c>
      <c r="O307" s="1" t="str">
        <f aca="false">TEXT(G307,"yyyy-mm")</f>
        <v>2025-05</v>
      </c>
      <c r="P307" s="1" t="str">
        <f aca="false">IF(H307&lt;20,"Low",IF(H307&lt;=60,"Medium","High"))</f>
        <v>High</v>
      </c>
      <c r="Q307" s="1" t="str">
        <f aca="false">IF(I307&gt;0,"Yes","No")</f>
        <v>Yes</v>
      </c>
      <c r="R307" s="1" t="n">
        <f aca="false">IF(N307="Yes",1,0)</f>
        <v>1</v>
      </c>
    </row>
    <row r="308" customFormat="false" ht="15" hidden="false" customHeight="true" outlineLevel="0" collapsed="false">
      <c r="A308" s="1" t="str">
        <f aca="false">'Cleaned Data'!A308</f>
        <v>S00304</v>
      </c>
      <c r="B308" s="1" t="str">
        <f aca="false">'Cleaned Data'!B308</f>
        <v>P1757</v>
      </c>
      <c r="C308" s="1" t="str">
        <f aca="false">'Cleaned Data'!C308</f>
        <v>thomas29</v>
      </c>
      <c r="D308" s="1" t="str">
        <f aca="false">'Cleaned Data'!D308</f>
        <v>Clash of Realms</v>
      </c>
      <c r="E308" s="1" t="str">
        <f aca="false">'Cleaned Data'!E308</f>
        <v>Mobile</v>
      </c>
      <c r="F308" s="1" t="str">
        <f aca="false">'Cleaned Data'!F308</f>
        <v>North</v>
      </c>
      <c r="G308" s="23" t="n">
        <f aca="false">'Cleaned Data'!G308</f>
        <v>45785</v>
      </c>
      <c r="H308" s="1" t="n">
        <f aca="false">'Cleaned Data'!H308</f>
        <v>122</v>
      </c>
      <c r="I308" s="24" t="n">
        <f aca="false">'Cleaned Data'!I308</f>
        <v>40.31</v>
      </c>
      <c r="J308" s="1" t="str">
        <f aca="false">'Cleaned Data'!J308</f>
        <v>Battle Pass</v>
      </c>
      <c r="K308" s="1" t="str">
        <f aca="false">'Cleaned Data'!K308</f>
        <v>Completed</v>
      </c>
      <c r="L308" s="1" t="str">
        <f aca="false">'Cleaned Data'!L308</f>
        <v>Paid</v>
      </c>
      <c r="M308" s="1" t="n">
        <f aca="false">'Cleaned Data'!M308</f>
        <v>33</v>
      </c>
      <c r="N308" s="1" t="str">
        <f aca="false">'Cleaned Data'!N308</f>
        <v>Yes</v>
      </c>
      <c r="O308" s="1" t="str">
        <f aca="false">TEXT(G308,"yyyy-mm")</f>
        <v>2025-05</v>
      </c>
      <c r="P308" s="1" t="str">
        <f aca="false">IF(H308&lt;20,"Low",IF(H308&lt;=60,"Medium","High"))</f>
        <v>High</v>
      </c>
      <c r="Q308" s="1" t="str">
        <f aca="false">IF(I308&gt;0,"Yes","No")</f>
        <v>Yes</v>
      </c>
      <c r="R308" s="1" t="n">
        <f aca="false">IF(N308="Yes",1,0)</f>
        <v>1</v>
      </c>
    </row>
    <row r="309" customFormat="false" ht="15" hidden="false" customHeight="true" outlineLevel="0" collapsed="false">
      <c r="A309" s="1" t="str">
        <f aca="false">'Cleaned Data'!A309</f>
        <v>S00305</v>
      </c>
      <c r="B309" s="1" t="str">
        <f aca="false">'Cleaned Data'!B309</f>
        <v>P2330</v>
      </c>
      <c r="C309" s="1" t="str">
        <f aca="false">'Cleaned Data'!C309</f>
        <v>davidmendoza</v>
      </c>
      <c r="D309" s="1" t="str">
        <f aca="false">'Cleaned Data'!D309</f>
        <v>Empire Wars</v>
      </c>
      <c r="E309" s="1" t="str">
        <f aca="false">'Cleaned Data'!E309</f>
        <v>Console</v>
      </c>
      <c r="F309" s="1" t="str">
        <f aca="false">'Cleaned Data'!F309</f>
        <v>North</v>
      </c>
      <c r="G309" s="23" t="n">
        <f aca="false">'Cleaned Data'!G309</f>
        <v>45719</v>
      </c>
      <c r="H309" s="1" t="n">
        <f aca="false">'Cleaned Data'!H309</f>
        <v>62</v>
      </c>
      <c r="I309" s="24" t="n">
        <f aca="false">'Cleaned Data'!I309</f>
        <v>0</v>
      </c>
      <c r="J309" s="1" t="str">
        <f aca="false">'Cleaned Data'!J309</f>
        <v>None</v>
      </c>
      <c r="K309" s="1" t="str">
        <f aca="false">'Cleaned Data'!K309</f>
        <v>Incomplete</v>
      </c>
      <c r="L309" s="1" t="str">
        <f aca="false">'Cleaned Data'!L309</f>
        <v>Free</v>
      </c>
      <c r="M309" s="1" t="n">
        <f aca="false">'Cleaned Data'!M309</f>
        <v>19</v>
      </c>
      <c r="N309" s="1" t="str">
        <f aca="false">'Cleaned Data'!N309</f>
        <v>No</v>
      </c>
      <c r="O309" s="1" t="str">
        <f aca="false">TEXT(G309,"yyyy-mm")</f>
        <v>2025-03</v>
      </c>
      <c r="P309" s="1" t="str">
        <f aca="false">IF(H309&lt;20,"Low",IF(H309&lt;=60,"Medium","High"))</f>
        <v>High</v>
      </c>
      <c r="Q309" s="1" t="str">
        <f aca="false">IF(I309&gt;0,"Yes","No")</f>
        <v>No</v>
      </c>
      <c r="R309" s="1" t="n">
        <f aca="false">IF(N309="Yes",1,0)</f>
        <v>0</v>
      </c>
    </row>
    <row r="310" customFormat="false" ht="15" hidden="false" customHeight="true" outlineLevel="0" collapsed="false">
      <c r="A310" s="1" t="str">
        <f aca="false">'Cleaned Data'!A310</f>
        <v>S00306</v>
      </c>
      <c r="B310" s="1" t="str">
        <f aca="false">'Cleaned Data'!B310</f>
        <v>P2906</v>
      </c>
      <c r="C310" s="1" t="str">
        <f aca="false">'Cleaned Data'!C310</f>
        <v>jacob24</v>
      </c>
      <c r="D310" s="1" t="str">
        <f aca="false">'Cleaned Data'!D310</f>
        <v>Empire Wars</v>
      </c>
      <c r="E310" s="1" t="str">
        <f aca="false">'Cleaned Data'!E310</f>
        <v>PC</v>
      </c>
      <c r="F310" s="1" t="str">
        <f aca="false">'Cleaned Data'!F310</f>
        <v>East</v>
      </c>
      <c r="G310" s="23" t="n">
        <f aca="false">'Cleaned Data'!G310</f>
        <v>45794</v>
      </c>
      <c r="H310" s="1" t="n">
        <f aca="false">'Cleaned Data'!H310</f>
        <v>31</v>
      </c>
      <c r="I310" s="24" t="n">
        <f aca="false">'Cleaned Data'!I310</f>
        <v>0</v>
      </c>
      <c r="J310" s="1" t="str">
        <f aca="false">'Cleaned Data'!J310</f>
        <v>None</v>
      </c>
      <c r="K310" s="1" t="str">
        <f aca="false">'Cleaned Data'!K310</f>
        <v>Completed</v>
      </c>
      <c r="L310" s="1" t="str">
        <f aca="false">'Cleaned Data'!L310</f>
        <v>Free</v>
      </c>
      <c r="M310" s="1" t="n">
        <f aca="false">'Cleaned Data'!M310</f>
        <v>18</v>
      </c>
      <c r="N310" s="1" t="str">
        <f aca="false">'Cleaned Data'!N310</f>
        <v>No</v>
      </c>
      <c r="O310" s="1" t="str">
        <f aca="false">TEXT(G310,"yyyy-mm")</f>
        <v>2025-05</v>
      </c>
      <c r="P310" s="1" t="str">
        <f aca="false">IF(H310&lt;20,"Low",IF(H310&lt;=60,"Medium","High"))</f>
        <v>Medium</v>
      </c>
      <c r="Q310" s="1" t="str">
        <f aca="false">IF(I310&gt;0,"Yes","No")</f>
        <v>No</v>
      </c>
      <c r="R310" s="1" t="n">
        <f aca="false">IF(N310="Yes",1,0)</f>
        <v>0</v>
      </c>
    </row>
    <row r="311" customFormat="false" ht="15" hidden="false" customHeight="true" outlineLevel="0" collapsed="false">
      <c r="A311" s="1" t="str">
        <f aca="false">'Cleaned Data'!A311</f>
        <v>S00307</v>
      </c>
      <c r="B311" s="1" t="str">
        <f aca="false">'Cleaned Data'!B311</f>
        <v>P9068</v>
      </c>
      <c r="C311" s="1" t="str">
        <f aca="false">'Cleaned Data'!C311</f>
        <v>nthompson</v>
      </c>
      <c r="D311" s="1" t="str">
        <f aca="false">'Cleaned Data'!D311</f>
        <v>BattleZone</v>
      </c>
      <c r="E311" s="1" t="str">
        <f aca="false">'Cleaned Data'!E311</f>
        <v>Mobile</v>
      </c>
      <c r="F311" s="1" t="str">
        <f aca="false">'Cleaned Data'!F311</f>
        <v>North-East</v>
      </c>
      <c r="G311" s="23" t="n">
        <f aca="false">'Cleaned Data'!G311</f>
        <v>45759</v>
      </c>
      <c r="H311" s="1" t="n">
        <f aca="false">'Cleaned Data'!H311</f>
        <v>109</v>
      </c>
      <c r="I311" s="24" t="n">
        <f aca="false">'Cleaned Data'!I311</f>
        <v>0</v>
      </c>
      <c r="J311" s="1" t="str">
        <f aca="false">'Cleaned Data'!J311</f>
        <v>None</v>
      </c>
      <c r="K311" s="1" t="str">
        <f aca="false">'Cleaned Data'!K311</f>
        <v>Completed</v>
      </c>
      <c r="L311" s="1" t="str">
        <f aca="false">'Cleaned Data'!L311</f>
        <v>Free</v>
      </c>
      <c r="M311" s="1" t="n">
        <f aca="false">'Cleaned Data'!M311</f>
        <v>40</v>
      </c>
      <c r="N311" s="1" t="str">
        <f aca="false">'Cleaned Data'!N311</f>
        <v>No</v>
      </c>
      <c r="O311" s="1" t="str">
        <f aca="false">TEXT(G311,"yyyy-mm")</f>
        <v>2025-04</v>
      </c>
      <c r="P311" s="1" t="str">
        <f aca="false">IF(H311&lt;20,"Low",IF(H311&lt;=60,"Medium","High"))</f>
        <v>High</v>
      </c>
      <c r="Q311" s="1" t="str">
        <f aca="false">IF(I311&gt;0,"Yes","No")</f>
        <v>No</v>
      </c>
      <c r="R311" s="1" t="n">
        <f aca="false">IF(N311="Yes",1,0)</f>
        <v>0</v>
      </c>
    </row>
    <row r="312" customFormat="false" ht="15" hidden="false" customHeight="true" outlineLevel="0" collapsed="false">
      <c r="A312" s="1" t="str">
        <f aca="false">'Cleaned Data'!A312</f>
        <v>S00308</v>
      </c>
      <c r="B312" s="1" t="str">
        <f aca="false">'Cleaned Data'!B312</f>
        <v>P6026</v>
      </c>
      <c r="C312" s="1" t="str">
        <f aca="false">'Cleaned Data'!C312</f>
        <v>ogarcia</v>
      </c>
      <c r="D312" s="1" t="str">
        <f aca="false">'Cleaned Data'!D312</f>
        <v>SpeedX</v>
      </c>
      <c r="E312" s="1" t="str">
        <f aca="false">'Cleaned Data'!E312</f>
        <v>Console</v>
      </c>
      <c r="F312" s="1" t="str">
        <f aca="false">'Cleaned Data'!F312</f>
        <v>East</v>
      </c>
      <c r="G312" s="23" t="n">
        <f aca="false">'Cleaned Data'!G312</f>
        <v>45708</v>
      </c>
      <c r="H312" s="1" t="n">
        <f aca="false">'Cleaned Data'!H312</f>
        <v>178</v>
      </c>
      <c r="I312" s="24" t="n">
        <f aca="false">'Cleaned Data'!I312</f>
        <v>38.37</v>
      </c>
      <c r="J312" s="1" t="str">
        <f aca="false">'Cleaned Data'!J312</f>
        <v>Battle Pass</v>
      </c>
      <c r="K312" s="1" t="str">
        <f aca="false">'Cleaned Data'!K312</f>
        <v>Completed</v>
      </c>
      <c r="L312" s="1" t="str">
        <f aca="false">'Cleaned Data'!L312</f>
        <v>Paid</v>
      </c>
      <c r="M312" s="1" t="n">
        <f aca="false">'Cleaned Data'!M312</f>
        <v>32</v>
      </c>
      <c r="N312" s="1" t="str">
        <f aca="false">'Cleaned Data'!N312</f>
        <v>Yes</v>
      </c>
      <c r="O312" s="1" t="str">
        <f aca="false">TEXT(G312,"yyyy-mm")</f>
        <v>2025-02</v>
      </c>
      <c r="P312" s="1" t="str">
        <f aca="false">IF(H312&lt;20,"Low",IF(H312&lt;=60,"Medium","High"))</f>
        <v>High</v>
      </c>
      <c r="Q312" s="1" t="str">
        <f aca="false">IF(I312&gt;0,"Yes","No")</f>
        <v>Yes</v>
      </c>
      <c r="R312" s="1" t="n">
        <f aca="false">IF(N312="Yes",1,0)</f>
        <v>1</v>
      </c>
    </row>
    <row r="313" customFormat="false" ht="15" hidden="false" customHeight="true" outlineLevel="0" collapsed="false">
      <c r="A313" s="1" t="str">
        <f aca="false">'Cleaned Data'!A313</f>
        <v>S00309</v>
      </c>
      <c r="B313" s="1" t="str">
        <f aca="false">'Cleaned Data'!B313</f>
        <v>P8611</v>
      </c>
      <c r="C313" s="1" t="str">
        <f aca="false">'Cleaned Data'!C313</f>
        <v>cheyennebenton</v>
      </c>
      <c r="D313" s="1" t="str">
        <f aca="false">'Cleaned Data'!D313</f>
        <v>BattleZone</v>
      </c>
      <c r="E313" s="1" t="str">
        <f aca="false">'Cleaned Data'!E313</f>
        <v>Mobile</v>
      </c>
      <c r="F313" s="1" t="str">
        <f aca="false">'Cleaned Data'!F313</f>
        <v>North-East</v>
      </c>
      <c r="G313" s="23" t="n">
        <f aca="false">'Cleaned Data'!G313</f>
        <v>45666</v>
      </c>
      <c r="H313" s="1" t="n">
        <f aca="false">'Cleaned Data'!H313</f>
        <v>34</v>
      </c>
      <c r="I313" s="24" t="n">
        <f aca="false">'Cleaned Data'!I313</f>
        <v>0</v>
      </c>
      <c r="J313" s="1" t="str">
        <f aca="false">'Cleaned Data'!J313</f>
        <v>None</v>
      </c>
      <c r="K313" s="1" t="str">
        <f aca="false">'Cleaned Data'!K313</f>
        <v>Completed</v>
      </c>
      <c r="L313" s="1" t="str">
        <f aca="false">'Cleaned Data'!L313</f>
        <v>Free</v>
      </c>
      <c r="M313" s="1" t="n">
        <f aca="false">'Cleaned Data'!M313</f>
        <v>12</v>
      </c>
      <c r="N313" s="1" t="str">
        <f aca="false">'Cleaned Data'!N313</f>
        <v>No</v>
      </c>
      <c r="O313" s="1" t="str">
        <f aca="false">TEXT(G313,"yyyy-mm")</f>
        <v>2025-01</v>
      </c>
      <c r="P313" s="1" t="str">
        <f aca="false">IF(H313&lt;20,"Low",IF(H313&lt;=60,"Medium","High"))</f>
        <v>Medium</v>
      </c>
      <c r="Q313" s="1" t="str">
        <f aca="false">IF(I313&gt;0,"Yes","No")</f>
        <v>No</v>
      </c>
      <c r="R313" s="1" t="n">
        <f aca="false">IF(N313="Yes",1,0)</f>
        <v>0</v>
      </c>
    </row>
    <row r="314" customFormat="false" ht="15" hidden="false" customHeight="true" outlineLevel="0" collapsed="false">
      <c r="A314" s="1" t="str">
        <f aca="false">'Cleaned Data'!A314</f>
        <v>S00310</v>
      </c>
      <c r="B314" s="1" t="str">
        <f aca="false">'Cleaned Data'!B314</f>
        <v>P5092</v>
      </c>
      <c r="C314" s="1" t="str">
        <f aca="false">'Cleaned Data'!C314</f>
        <v>owenssherry</v>
      </c>
      <c r="D314" s="1" t="str">
        <f aca="false">'Cleaned Data'!D314</f>
        <v>Clash of Realms</v>
      </c>
      <c r="E314" s="1" t="str">
        <f aca="false">'Cleaned Data'!E314</f>
        <v>Console</v>
      </c>
      <c r="F314" s="1" t="str">
        <f aca="false">'Cleaned Data'!F314</f>
        <v>East</v>
      </c>
      <c r="G314" s="23" t="n">
        <f aca="false">'Cleaned Data'!G314</f>
        <v>45812</v>
      </c>
      <c r="H314" s="1" t="n">
        <f aca="false">'Cleaned Data'!H314</f>
        <v>139</v>
      </c>
      <c r="I314" s="24" t="n">
        <f aca="false">'Cleaned Data'!I314</f>
        <v>0</v>
      </c>
      <c r="J314" s="1" t="str">
        <f aca="false">'Cleaned Data'!J314</f>
        <v>None</v>
      </c>
      <c r="K314" s="1" t="str">
        <f aca="false">'Cleaned Data'!K314</f>
        <v>Completed</v>
      </c>
      <c r="L314" s="1" t="str">
        <f aca="false">'Cleaned Data'!L314</f>
        <v>Free</v>
      </c>
      <c r="M314" s="1" t="n">
        <f aca="false">'Cleaned Data'!M314</f>
        <v>1</v>
      </c>
      <c r="N314" s="1" t="str">
        <f aca="false">'Cleaned Data'!N314</f>
        <v>No</v>
      </c>
      <c r="O314" s="1" t="str">
        <f aca="false">TEXT(G314,"yyyy-mm")</f>
        <v>2025-06</v>
      </c>
      <c r="P314" s="1" t="str">
        <f aca="false">IF(H314&lt;20,"Low",IF(H314&lt;=60,"Medium","High"))</f>
        <v>High</v>
      </c>
      <c r="Q314" s="1" t="str">
        <f aca="false">IF(I314&gt;0,"Yes","No")</f>
        <v>No</v>
      </c>
      <c r="R314" s="1" t="n">
        <f aca="false">IF(N314="Yes",1,0)</f>
        <v>0</v>
      </c>
    </row>
    <row r="315" customFormat="false" ht="15" hidden="false" customHeight="true" outlineLevel="0" collapsed="false">
      <c r="A315" s="1" t="str">
        <f aca="false">'Cleaned Data'!A315</f>
        <v>S00311</v>
      </c>
      <c r="B315" s="1" t="str">
        <f aca="false">'Cleaned Data'!B315</f>
        <v>P6038</v>
      </c>
      <c r="C315" s="1" t="str">
        <f aca="false">'Cleaned Data'!C315</f>
        <v>tbarker</v>
      </c>
      <c r="D315" s="1" t="str">
        <f aca="false">'Cleaned Data'!D315</f>
        <v>BattleZone</v>
      </c>
      <c r="E315" s="1" t="str">
        <f aca="false">'Cleaned Data'!E315</f>
        <v>Mobile</v>
      </c>
      <c r="F315" s="1" t="str">
        <f aca="false">'Cleaned Data'!F315</f>
        <v>North-East</v>
      </c>
      <c r="G315" s="23" t="n">
        <f aca="false">'Cleaned Data'!G315</f>
        <v>45682</v>
      </c>
      <c r="H315" s="1" t="n">
        <f aca="false">'Cleaned Data'!H315</f>
        <v>81</v>
      </c>
      <c r="I315" s="24" t="n">
        <f aca="false">'Cleaned Data'!I315</f>
        <v>0</v>
      </c>
      <c r="J315" s="1" t="str">
        <f aca="false">'Cleaned Data'!J315</f>
        <v>None</v>
      </c>
      <c r="K315" s="1" t="str">
        <f aca="false">'Cleaned Data'!K315</f>
        <v>Incomplete</v>
      </c>
      <c r="L315" s="1" t="str">
        <f aca="false">'Cleaned Data'!L315</f>
        <v>Free</v>
      </c>
      <c r="M315" s="1" t="n">
        <f aca="false">'Cleaned Data'!M315</f>
        <v>21</v>
      </c>
      <c r="N315" s="1" t="str">
        <f aca="false">'Cleaned Data'!N315</f>
        <v>No</v>
      </c>
      <c r="O315" s="1" t="str">
        <f aca="false">TEXT(G315,"yyyy-mm")</f>
        <v>2025-01</v>
      </c>
      <c r="P315" s="1" t="str">
        <f aca="false">IF(H315&lt;20,"Low",IF(H315&lt;=60,"Medium","High"))</f>
        <v>High</v>
      </c>
      <c r="Q315" s="1" t="str">
        <f aca="false">IF(I315&gt;0,"Yes","No")</f>
        <v>No</v>
      </c>
      <c r="R315" s="1" t="n">
        <f aca="false">IF(N315="Yes",1,0)</f>
        <v>0</v>
      </c>
    </row>
    <row r="316" customFormat="false" ht="15" hidden="false" customHeight="true" outlineLevel="0" collapsed="false">
      <c r="A316" s="1" t="str">
        <f aca="false">'Cleaned Data'!A316</f>
        <v>S00312</v>
      </c>
      <c r="B316" s="1" t="str">
        <f aca="false">'Cleaned Data'!B316</f>
        <v>P5060</v>
      </c>
      <c r="C316" s="1" t="str">
        <f aca="false">'Cleaned Data'!C316</f>
        <v>fmason</v>
      </c>
      <c r="D316" s="1" t="str">
        <f aca="false">'Cleaned Data'!D316</f>
        <v>BattleZone</v>
      </c>
      <c r="E316" s="1" t="str">
        <f aca="false">'Cleaned Data'!E316</f>
        <v>Mobile</v>
      </c>
      <c r="F316" s="1" t="str">
        <f aca="false">'Cleaned Data'!F316</f>
        <v>South</v>
      </c>
      <c r="G316" s="23" t="n">
        <f aca="false">'Cleaned Data'!G316</f>
        <v>45647</v>
      </c>
      <c r="H316" s="1" t="n">
        <f aca="false">'Cleaned Data'!H316</f>
        <v>13</v>
      </c>
      <c r="I316" s="24" t="n">
        <f aca="false">'Cleaned Data'!I316</f>
        <v>0</v>
      </c>
      <c r="J316" s="1" t="str">
        <f aca="false">'Cleaned Data'!J316</f>
        <v>None</v>
      </c>
      <c r="K316" s="1" t="str">
        <f aca="false">'Cleaned Data'!K316</f>
        <v>Completed</v>
      </c>
      <c r="L316" s="1" t="str">
        <f aca="false">'Cleaned Data'!L316</f>
        <v>Free</v>
      </c>
      <c r="M316" s="1" t="n">
        <f aca="false">'Cleaned Data'!M316</f>
        <v>12</v>
      </c>
      <c r="N316" s="1" t="str">
        <f aca="false">'Cleaned Data'!N316</f>
        <v>No</v>
      </c>
      <c r="O316" s="1" t="str">
        <f aca="false">TEXT(G316,"yyyy-mm")</f>
        <v>2024-12</v>
      </c>
      <c r="P316" s="1" t="str">
        <f aca="false">IF(H316&lt;20,"Low",IF(H316&lt;=60,"Medium","High"))</f>
        <v>Low</v>
      </c>
      <c r="Q316" s="1" t="str">
        <f aca="false">IF(I316&gt;0,"Yes","No")</f>
        <v>No</v>
      </c>
      <c r="R316" s="1" t="n">
        <f aca="false">IF(N316="Yes",1,0)</f>
        <v>0</v>
      </c>
    </row>
    <row r="317" customFormat="false" ht="15" hidden="false" customHeight="true" outlineLevel="0" collapsed="false">
      <c r="A317" s="1" t="str">
        <f aca="false">'Cleaned Data'!A317</f>
        <v>S00313</v>
      </c>
      <c r="B317" s="1" t="str">
        <f aca="false">'Cleaned Data'!B317</f>
        <v>P9354</v>
      </c>
      <c r="C317" s="1" t="str">
        <f aca="false">'Cleaned Data'!C317</f>
        <v>jameswanda</v>
      </c>
      <c r="D317" s="1" t="str">
        <f aca="false">'Cleaned Data'!D317</f>
        <v>BattleZone</v>
      </c>
      <c r="E317" s="1" t="str">
        <f aca="false">'Cleaned Data'!E317</f>
        <v>PC</v>
      </c>
      <c r="F317" s="1" t="str">
        <f aca="false">'Cleaned Data'!F317</f>
        <v>West</v>
      </c>
      <c r="G317" s="23" t="n">
        <f aca="false">'Cleaned Data'!G317</f>
        <v>45664</v>
      </c>
      <c r="H317" s="1" t="n">
        <f aca="false">'Cleaned Data'!H317</f>
        <v>85</v>
      </c>
      <c r="I317" s="24" t="n">
        <f aca="false">'Cleaned Data'!I317</f>
        <v>0</v>
      </c>
      <c r="J317" s="1" t="str">
        <f aca="false">'Cleaned Data'!J317</f>
        <v>None</v>
      </c>
      <c r="K317" s="1" t="str">
        <f aca="false">'Cleaned Data'!K317</f>
        <v>Completed</v>
      </c>
      <c r="L317" s="1" t="str">
        <f aca="false">'Cleaned Data'!L317</f>
        <v>Free</v>
      </c>
      <c r="M317" s="1" t="n">
        <f aca="false">'Cleaned Data'!M317</f>
        <v>28</v>
      </c>
      <c r="N317" s="1" t="str">
        <f aca="false">'Cleaned Data'!N317</f>
        <v>No</v>
      </c>
      <c r="O317" s="1" t="str">
        <f aca="false">TEXT(G317,"yyyy-mm")</f>
        <v>2025-01</v>
      </c>
      <c r="P317" s="1" t="str">
        <f aca="false">IF(H317&lt;20,"Low",IF(H317&lt;=60,"Medium","High"))</f>
        <v>High</v>
      </c>
      <c r="Q317" s="1" t="str">
        <f aca="false">IF(I317&gt;0,"Yes","No")</f>
        <v>No</v>
      </c>
      <c r="R317" s="1" t="n">
        <f aca="false">IF(N317="Yes",1,0)</f>
        <v>0</v>
      </c>
    </row>
    <row r="318" customFormat="false" ht="15" hidden="false" customHeight="true" outlineLevel="0" collapsed="false">
      <c r="A318" s="1" t="str">
        <f aca="false">'Cleaned Data'!A318</f>
        <v>S00314</v>
      </c>
      <c r="B318" s="1" t="str">
        <f aca="false">'Cleaned Data'!B318</f>
        <v>P6556</v>
      </c>
      <c r="C318" s="1" t="str">
        <f aca="false">'Cleaned Data'!C318</f>
        <v>dennis63</v>
      </c>
      <c r="D318" s="1" t="str">
        <f aca="false">'Cleaned Data'!D318</f>
        <v>SpeedX</v>
      </c>
      <c r="E318" s="1" t="str">
        <f aca="false">'Cleaned Data'!E318</f>
        <v>Console</v>
      </c>
      <c r="F318" s="1" t="str">
        <f aca="false">'Cleaned Data'!F318</f>
        <v>South</v>
      </c>
      <c r="G318" s="23" t="n">
        <f aca="false">'Cleaned Data'!G318</f>
        <v>45727</v>
      </c>
      <c r="H318" s="1" t="n">
        <f aca="false">'Cleaned Data'!H318</f>
        <v>158</v>
      </c>
      <c r="I318" s="24" t="n">
        <f aca="false">'Cleaned Data'!I318</f>
        <v>0</v>
      </c>
      <c r="J318" s="1" t="str">
        <f aca="false">'Cleaned Data'!J318</f>
        <v>None</v>
      </c>
      <c r="K318" s="1" t="str">
        <f aca="false">'Cleaned Data'!K318</f>
        <v>Crashed</v>
      </c>
      <c r="L318" s="1" t="str">
        <f aca="false">'Cleaned Data'!L318</f>
        <v>Free</v>
      </c>
      <c r="M318" s="1" t="n">
        <f aca="false">'Cleaned Data'!M318</f>
        <v>22</v>
      </c>
      <c r="N318" s="1" t="str">
        <f aca="false">'Cleaned Data'!N318</f>
        <v>Yes</v>
      </c>
      <c r="O318" s="1" t="str">
        <f aca="false">TEXT(G318,"yyyy-mm")</f>
        <v>2025-03</v>
      </c>
      <c r="P318" s="1" t="str">
        <f aca="false">IF(H318&lt;20,"Low",IF(H318&lt;=60,"Medium","High"))</f>
        <v>High</v>
      </c>
      <c r="Q318" s="1" t="str">
        <f aca="false">IF(I318&gt;0,"Yes","No")</f>
        <v>No</v>
      </c>
      <c r="R318" s="1" t="n">
        <f aca="false">IF(N318="Yes",1,0)</f>
        <v>1</v>
      </c>
    </row>
    <row r="319" customFormat="false" ht="15" hidden="false" customHeight="true" outlineLevel="0" collapsed="false">
      <c r="A319" s="1" t="str">
        <f aca="false">'Cleaned Data'!A319</f>
        <v>S00315</v>
      </c>
      <c r="B319" s="1" t="str">
        <f aca="false">'Cleaned Data'!B319</f>
        <v>P6685</v>
      </c>
      <c r="C319" s="1" t="str">
        <f aca="false">'Cleaned Data'!C319</f>
        <v>coreyperez</v>
      </c>
      <c r="D319" s="1" t="str">
        <f aca="false">'Cleaned Data'!D319</f>
        <v>BattleZone</v>
      </c>
      <c r="E319" s="1" t="str">
        <f aca="false">'Cleaned Data'!E319</f>
        <v>Console</v>
      </c>
      <c r="F319" s="1" t="str">
        <f aca="false">'Cleaned Data'!F319</f>
        <v>North</v>
      </c>
      <c r="G319" s="23" t="n">
        <f aca="false">'Cleaned Data'!G319</f>
        <v>45776</v>
      </c>
      <c r="H319" s="1" t="n">
        <f aca="false">'Cleaned Data'!H319</f>
        <v>140</v>
      </c>
      <c r="I319" s="24" t="n">
        <f aca="false">'Cleaned Data'!I319</f>
        <v>0</v>
      </c>
      <c r="J319" s="1" t="str">
        <f aca="false">'Cleaned Data'!J319</f>
        <v>None</v>
      </c>
      <c r="K319" s="1" t="str">
        <f aca="false">'Cleaned Data'!K319</f>
        <v>Completed</v>
      </c>
      <c r="L319" s="1" t="str">
        <f aca="false">'Cleaned Data'!L319</f>
        <v>Free</v>
      </c>
      <c r="M319" s="1" t="n">
        <f aca="false">'Cleaned Data'!M319</f>
        <v>1</v>
      </c>
      <c r="N319" s="1" t="str">
        <f aca="false">'Cleaned Data'!N319</f>
        <v>No</v>
      </c>
      <c r="O319" s="1" t="str">
        <f aca="false">TEXT(G319,"yyyy-mm")</f>
        <v>2025-04</v>
      </c>
      <c r="P319" s="1" t="str">
        <f aca="false">IF(H319&lt;20,"Low",IF(H319&lt;=60,"Medium","High"))</f>
        <v>High</v>
      </c>
      <c r="Q319" s="1" t="str">
        <f aca="false">IF(I319&gt;0,"Yes","No")</f>
        <v>No</v>
      </c>
      <c r="R319" s="1" t="n">
        <f aca="false">IF(N319="Yes",1,0)</f>
        <v>0</v>
      </c>
    </row>
    <row r="320" customFormat="false" ht="15" hidden="false" customHeight="true" outlineLevel="0" collapsed="false">
      <c r="A320" s="1" t="str">
        <f aca="false">'Cleaned Data'!A320</f>
        <v>S00316</v>
      </c>
      <c r="B320" s="1" t="str">
        <f aca="false">'Cleaned Data'!B320</f>
        <v>P3050</v>
      </c>
      <c r="C320" s="1" t="str">
        <f aca="false">'Cleaned Data'!C320</f>
        <v>gonzalezcindy</v>
      </c>
      <c r="D320" s="1" t="str">
        <f aca="false">'Cleaned Data'!D320</f>
        <v>Clash of Realms</v>
      </c>
      <c r="E320" s="1" t="str">
        <f aca="false">'Cleaned Data'!E320</f>
        <v>PC</v>
      </c>
      <c r="F320" s="1" t="str">
        <f aca="false">'Cleaned Data'!F320</f>
        <v>West</v>
      </c>
      <c r="G320" s="23" t="n">
        <f aca="false">'Cleaned Data'!G320</f>
        <v>45747</v>
      </c>
      <c r="H320" s="1" t="n">
        <f aca="false">'Cleaned Data'!H320</f>
        <v>179</v>
      </c>
      <c r="I320" s="24" t="n">
        <f aca="false">'Cleaned Data'!I320</f>
        <v>0</v>
      </c>
      <c r="J320" s="1" t="str">
        <f aca="false">'Cleaned Data'!J320</f>
        <v>None</v>
      </c>
      <c r="K320" s="1" t="str">
        <f aca="false">'Cleaned Data'!K320</f>
        <v>Completed</v>
      </c>
      <c r="L320" s="1" t="str">
        <f aca="false">'Cleaned Data'!L320</f>
        <v>Free</v>
      </c>
      <c r="M320" s="1" t="n">
        <f aca="false">'Cleaned Data'!M320</f>
        <v>5</v>
      </c>
      <c r="N320" s="1" t="str">
        <f aca="false">'Cleaned Data'!N320</f>
        <v>Yes</v>
      </c>
      <c r="O320" s="1" t="str">
        <f aca="false">TEXT(G320,"yyyy-mm")</f>
        <v>2025-03</v>
      </c>
      <c r="P320" s="1" t="str">
        <f aca="false">IF(H320&lt;20,"Low",IF(H320&lt;=60,"Medium","High"))</f>
        <v>High</v>
      </c>
      <c r="Q320" s="1" t="str">
        <f aca="false">IF(I320&gt;0,"Yes","No")</f>
        <v>No</v>
      </c>
      <c r="R320" s="1" t="n">
        <f aca="false">IF(N320="Yes",1,0)</f>
        <v>1</v>
      </c>
    </row>
    <row r="321" customFormat="false" ht="15" hidden="false" customHeight="true" outlineLevel="0" collapsed="false">
      <c r="A321" s="1" t="str">
        <f aca="false">'Cleaned Data'!A321</f>
        <v>S00317</v>
      </c>
      <c r="B321" s="1" t="str">
        <f aca="false">'Cleaned Data'!B321</f>
        <v>P2939</v>
      </c>
      <c r="C321" s="1" t="str">
        <f aca="false">'Cleaned Data'!C321</f>
        <v>millersarah</v>
      </c>
      <c r="D321" s="1" t="str">
        <f aca="false">'Cleaned Data'!D321</f>
        <v>SpeedX</v>
      </c>
      <c r="E321" s="1" t="str">
        <f aca="false">'Cleaned Data'!E321</f>
        <v>PC</v>
      </c>
      <c r="F321" s="1" t="str">
        <f aca="false">'Cleaned Data'!F321</f>
        <v>South</v>
      </c>
      <c r="G321" s="23" t="n">
        <f aca="false">'Cleaned Data'!G321</f>
        <v>45666</v>
      </c>
      <c r="H321" s="1" t="n">
        <f aca="false">'Cleaned Data'!H321</f>
        <v>73</v>
      </c>
      <c r="I321" s="24" t="n">
        <f aca="false">'Cleaned Data'!I321</f>
        <v>0</v>
      </c>
      <c r="J321" s="1" t="str">
        <f aca="false">'Cleaned Data'!J321</f>
        <v>None</v>
      </c>
      <c r="K321" s="1" t="str">
        <f aca="false">'Cleaned Data'!K321</f>
        <v>Incomplete</v>
      </c>
      <c r="L321" s="1" t="str">
        <f aca="false">'Cleaned Data'!L321</f>
        <v>Free</v>
      </c>
      <c r="M321" s="1" t="n">
        <f aca="false">'Cleaned Data'!M321</f>
        <v>15</v>
      </c>
      <c r="N321" s="1" t="str">
        <f aca="false">'Cleaned Data'!N321</f>
        <v>No</v>
      </c>
      <c r="O321" s="1" t="str">
        <f aca="false">TEXT(G321,"yyyy-mm")</f>
        <v>2025-01</v>
      </c>
      <c r="P321" s="1" t="str">
        <f aca="false">IF(H321&lt;20,"Low",IF(H321&lt;=60,"Medium","High"))</f>
        <v>High</v>
      </c>
      <c r="Q321" s="1" t="str">
        <f aca="false">IF(I321&gt;0,"Yes","No")</f>
        <v>No</v>
      </c>
      <c r="R321" s="1" t="n">
        <f aca="false">IF(N321="Yes",1,0)</f>
        <v>0</v>
      </c>
    </row>
    <row r="322" customFormat="false" ht="15" hidden="false" customHeight="true" outlineLevel="0" collapsed="false">
      <c r="A322" s="1" t="str">
        <f aca="false">'Cleaned Data'!A322</f>
        <v>S00318</v>
      </c>
      <c r="B322" s="1" t="str">
        <f aca="false">'Cleaned Data'!B322</f>
        <v>P4946</v>
      </c>
      <c r="C322" s="1" t="str">
        <f aca="false">'Cleaned Data'!C322</f>
        <v>thompsontodd</v>
      </c>
      <c r="D322" s="1" t="str">
        <f aca="false">'Cleaned Data'!D322</f>
        <v>Empire Wars</v>
      </c>
      <c r="E322" s="1" t="str">
        <f aca="false">'Cleaned Data'!E322</f>
        <v>PC</v>
      </c>
      <c r="F322" s="1" t="str">
        <f aca="false">'Cleaned Data'!F322</f>
        <v>East</v>
      </c>
      <c r="G322" s="23" t="n">
        <f aca="false">'Cleaned Data'!G322</f>
        <v>45747</v>
      </c>
      <c r="H322" s="1" t="n">
        <f aca="false">'Cleaned Data'!H322</f>
        <v>83</v>
      </c>
      <c r="I322" s="24" t="n">
        <f aca="false">'Cleaned Data'!I322</f>
        <v>0</v>
      </c>
      <c r="J322" s="1" t="str">
        <f aca="false">'Cleaned Data'!J322</f>
        <v>None</v>
      </c>
      <c r="K322" s="1" t="str">
        <f aca="false">'Cleaned Data'!K322</f>
        <v>Completed</v>
      </c>
      <c r="L322" s="1" t="str">
        <f aca="false">'Cleaned Data'!L322</f>
        <v>Free</v>
      </c>
      <c r="M322" s="1" t="n">
        <f aca="false">'Cleaned Data'!M322</f>
        <v>1</v>
      </c>
      <c r="N322" s="1" t="str">
        <f aca="false">'Cleaned Data'!N322</f>
        <v>No</v>
      </c>
      <c r="O322" s="1" t="str">
        <f aca="false">TEXT(G322,"yyyy-mm")</f>
        <v>2025-03</v>
      </c>
      <c r="P322" s="1" t="str">
        <f aca="false">IF(H322&lt;20,"Low",IF(H322&lt;=60,"Medium","High"))</f>
        <v>High</v>
      </c>
      <c r="Q322" s="1" t="str">
        <f aca="false">IF(I322&gt;0,"Yes","No")</f>
        <v>No</v>
      </c>
      <c r="R322" s="1" t="n">
        <f aca="false">IF(N322="Yes",1,0)</f>
        <v>0</v>
      </c>
    </row>
    <row r="323" customFormat="false" ht="15" hidden="false" customHeight="true" outlineLevel="0" collapsed="false">
      <c r="A323" s="1" t="str">
        <f aca="false">'Cleaned Data'!A323</f>
        <v>S00319</v>
      </c>
      <c r="B323" s="1" t="str">
        <f aca="false">'Cleaned Data'!B323</f>
        <v>P2067</v>
      </c>
      <c r="C323" s="1" t="str">
        <f aca="false">'Cleaned Data'!C323</f>
        <v>waltersnicholas</v>
      </c>
      <c r="D323" s="1" t="str">
        <f aca="false">'Cleaned Data'!D323</f>
        <v>Zombie Rush</v>
      </c>
      <c r="E323" s="1" t="str">
        <f aca="false">'Cleaned Data'!E323</f>
        <v>PC</v>
      </c>
      <c r="F323" s="1" t="str">
        <f aca="false">'Cleaned Data'!F323</f>
        <v>North</v>
      </c>
      <c r="G323" s="23" t="n">
        <f aca="false">'Cleaned Data'!G323</f>
        <v>45678</v>
      </c>
      <c r="H323" s="1" t="n">
        <f aca="false">'Cleaned Data'!H323</f>
        <v>152</v>
      </c>
      <c r="I323" s="24" t="n">
        <f aca="false">'Cleaned Data'!I323</f>
        <v>0</v>
      </c>
      <c r="J323" s="1" t="str">
        <f aca="false">'Cleaned Data'!J323</f>
        <v>None</v>
      </c>
      <c r="K323" s="1" t="str">
        <f aca="false">'Cleaned Data'!K323</f>
        <v>Completed</v>
      </c>
      <c r="L323" s="1" t="str">
        <f aca="false">'Cleaned Data'!L323</f>
        <v>Free</v>
      </c>
      <c r="M323" s="1" t="n">
        <f aca="false">'Cleaned Data'!M323</f>
        <v>31</v>
      </c>
      <c r="N323" s="1" t="str">
        <f aca="false">'Cleaned Data'!N323</f>
        <v>Yes</v>
      </c>
      <c r="O323" s="1" t="str">
        <f aca="false">TEXT(G323,"yyyy-mm")</f>
        <v>2025-01</v>
      </c>
      <c r="P323" s="1" t="str">
        <f aca="false">IF(H323&lt;20,"Low",IF(H323&lt;=60,"Medium","High"))</f>
        <v>High</v>
      </c>
      <c r="Q323" s="1" t="str">
        <f aca="false">IF(I323&gt;0,"Yes","No")</f>
        <v>No</v>
      </c>
      <c r="R323" s="1" t="n">
        <f aca="false">IF(N323="Yes",1,0)</f>
        <v>1</v>
      </c>
    </row>
    <row r="324" customFormat="false" ht="15" hidden="false" customHeight="true" outlineLevel="0" collapsed="false">
      <c r="A324" s="1" t="str">
        <f aca="false">'Cleaned Data'!A324</f>
        <v>S00320</v>
      </c>
      <c r="B324" s="1" t="str">
        <f aca="false">'Cleaned Data'!B324</f>
        <v>P1338</v>
      </c>
      <c r="C324" s="1" t="str">
        <f aca="false">'Cleaned Data'!C324</f>
        <v>hharris</v>
      </c>
      <c r="D324" s="1" t="str">
        <f aca="false">'Cleaned Data'!D324</f>
        <v>BattleZone</v>
      </c>
      <c r="E324" s="1" t="str">
        <f aca="false">'Cleaned Data'!E324</f>
        <v>PC</v>
      </c>
      <c r="F324" s="1" t="str">
        <f aca="false">'Cleaned Data'!F324</f>
        <v>Central</v>
      </c>
      <c r="G324" s="23" t="n">
        <f aca="false">'Cleaned Data'!G324</f>
        <v>45688</v>
      </c>
      <c r="H324" s="1" t="n">
        <f aca="false">'Cleaned Data'!H324</f>
        <v>156</v>
      </c>
      <c r="I324" s="24" t="n">
        <f aca="false">'Cleaned Data'!I324</f>
        <v>0</v>
      </c>
      <c r="J324" s="1" t="str">
        <f aca="false">'Cleaned Data'!J324</f>
        <v>None</v>
      </c>
      <c r="K324" s="1" t="str">
        <f aca="false">'Cleaned Data'!K324</f>
        <v>Crashed</v>
      </c>
      <c r="L324" s="1" t="str">
        <f aca="false">'Cleaned Data'!L324</f>
        <v>Free</v>
      </c>
      <c r="M324" s="1" t="n">
        <f aca="false">'Cleaned Data'!M324</f>
        <v>14</v>
      </c>
      <c r="N324" s="1" t="str">
        <f aca="false">'Cleaned Data'!N324</f>
        <v>Yes</v>
      </c>
      <c r="O324" s="1" t="str">
        <f aca="false">TEXT(G324,"yyyy-mm")</f>
        <v>2025-01</v>
      </c>
      <c r="P324" s="1" t="str">
        <f aca="false">IF(H324&lt;20,"Low",IF(H324&lt;=60,"Medium","High"))</f>
        <v>High</v>
      </c>
      <c r="Q324" s="1" t="str">
        <f aca="false">IF(I324&gt;0,"Yes","No")</f>
        <v>No</v>
      </c>
      <c r="R324" s="1" t="n">
        <f aca="false">IF(N324="Yes",1,0)</f>
        <v>1</v>
      </c>
    </row>
    <row r="325" customFormat="false" ht="15" hidden="false" customHeight="true" outlineLevel="0" collapsed="false">
      <c r="A325" s="1" t="str">
        <f aca="false">'Cleaned Data'!A325</f>
        <v>S00321</v>
      </c>
      <c r="B325" s="1" t="str">
        <f aca="false">'Cleaned Data'!B325</f>
        <v>P3964</v>
      </c>
      <c r="C325" s="1" t="str">
        <f aca="false">'Cleaned Data'!C325</f>
        <v>kristopheralvarez</v>
      </c>
      <c r="D325" s="1" t="str">
        <f aca="false">'Cleaned Data'!D325</f>
        <v>Zombie Rush</v>
      </c>
      <c r="E325" s="1" t="str">
        <f aca="false">'Cleaned Data'!E325</f>
        <v>Mobile</v>
      </c>
      <c r="F325" s="1" t="str">
        <f aca="false">'Cleaned Data'!F325</f>
        <v>West</v>
      </c>
      <c r="G325" s="23" t="n">
        <f aca="false">'Cleaned Data'!G325</f>
        <v>45788</v>
      </c>
      <c r="H325" s="1" t="n">
        <f aca="false">'Cleaned Data'!H325</f>
        <v>33</v>
      </c>
      <c r="I325" s="24" t="n">
        <f aca="false">'Cleaned Data'!I325</f>
        <v>0</v>
      </c>
      <c r="J325" s="1" t="str">
        <f aca="false">'Cleaned Data'!J325</f>
        <v>None</v>
      </c>
      <c r="K325" s="1" t="str">
        <f aca="false">'Cleaned Data'!K325</f>
        <v>Crashed</v>
      </c>
      <c r="L325" s="1" t="str">
        <f aca="false">'Cleaned Data'!L325</f>
        <v>Free</v>
      </c>
      <c r="M325" s="1" t="n">
        <f aca="false">'Cleaned Data'!M325</f>
        <v>7</v>
      </c>
      <c r="N325" s="1" t="str">
        <f aca="false">'Cleaned Data'!N325</f>
        <v>No</v>
      </c>
      <c r="O325" s="1" t="str">
        <f aca="false">TEXT(G325,"yyyy-mm")</f>
        <v>2025-05</v>
      </c>
      <c r="P325" s="1" t="str">
        <f aca="false">IF(H325&lt;20,"Low",IF(H325&lt;=60,"Medium","High"))</f>
        <v>Medium</v>
      </c>
      <c r="Q325" s="1" t="str">
        <f aca="false">IF(I325&gt;0,"Yes","No")</f>
        <v>No</v>
      </c>
      <c r="R325" s="1" t="n">
        <f aca="false">IF(N325="Yes",1,0)</f>
        <v>0</v>
      </c>
    </row>
    <row r="326" customFormat="false" ht="15" hidden="false" customHeight="true" outlineLevel="0" collapsed="false">
      <c r="A326" s="1" t="str">
        <f aca="false">'Cleaned Data'!A326</f>
        <v>S00322</v>
      </c>
      <c r="B326" s="1" t="str">
        <f aca="false">'Cleaned Data'!B326</f>
        <v>P6010</v>
      </c>
      <c r="C326" s="1" t="str">
        <f aca="false">'Cleaned Data'!C326</f>
        <v>emilyking</v>
      </c>
      <c r="D326" s="1" t="str">
        <f aca="false">'Cleaned Data'!D326</f>
        <v>BattleZone</v>
      </c>
      <c r="E326" s="1" t="str">
        <f aca="false">'Cleaned Data'!E326</f>
        <v>PC</v>
      </c>
      <c r="F326" s="1" t="str">
        <f aca="false">'Cleaned Data'!F326</f>
        <v>South</v>
      </c>
      <c r="G326" s="23" t="n">
        <f aca="false">'Cleaned Data'!G326</f>
        <v>45678</v>
      </c>
      <c r="H326" s="1" t="n">
        <f aca="false">'Cleaned Data'!H326</f>
        <v>128</v>
      </c>
      <c r="I326" s="24" t="n">
        <f aca="false">'Cleaned Data'!I326</f>
        <v>0</v>
      </c>
      <c r="J326" s="1" t="str">
        <f aca="false">'Cleaned Data'!J326</f>
        <v>None</v>
      </c>
      <c r="K326" s="1" t="str">
        <f aca="false">'Cleaned Data'!K326</f>
        <v>Completed</v>
      </c>
      <c r="L326" s="1" t="str">
        <f aca="false">'Cleaned Data'!L326</f>
        <v>Free</v>
      </c>
      <c r="M326" s="1" t="n">
        <f aca="false">'Cleaned Data'!M326</f>
        <v>35</v>
      </c>
      <c r="N326" s="1" t="str">
        <f aca="false">'Cleaned Data'!N326</f>
        <v>No</v>
      </c>
      <c r="O326" s="1" t="str">
        <f aca="false">TEXT(G326,"yyyy-mm")</f>
        <v>2025-01</v>
      </c>
      <c r="P326" s="1" t="str">
        <f aca="false">IF(H326&lt;20,"Low",IF(H326&lt;=60,"Medium","High"))</f>
        <v>High</v>
      </c>
      <c r="Q326" s="1" t="str">
        <f aca="false">IF(I326&gt;0,"Yes","No")</f>
        <v>No</v>
      </c>
      <c r="R326" s="1" t="n">
        <f aca="false">IF(N326="Yes",1,0)</f>
        <v>0</v>
      </c>
    </row>
    <row r="327" customFormat="false" ht="15" hidden="false" customHeight="true" outlineLevel="0" collapsed="false">
      <c r="A327" s="1" t="str">
        <f aca="false">'Cleaned Data'!A327</f>
        <v>S00323</v>
      </c>
      <c r="B327" s="1" t="str">
        <f aca="false">'Cleaned Data'!B327</f>
        <v>P7890</v>
      </c>
      <c r="C327" s="1" t="str">
        <f aca="false">'Cleaned Data'!C327</f>
        <v>bobbyanderson</v>
      </c>
      <c r="D327" s="1" t="str">
        <f aca="false">'Cleaned Data'!D327</f>
        <v>BattleZone</v>
      </c>
      <c r="E327" s="1" t="str">
        <f aca="false">'Cleaned Data'!E327</f>
        <v>Mobile</v>
      </c>
      <c r="F327" s="1" t="str">
        <f aca="false">'Cleaned Data'!F327</f>
        <v>South</v>
      </c>
      <c r="G327" s="23" t="n">
        <f aca="false">'Cleaned Data'!G327</f>
        <v>45694</v>
      </c>
      <c r="H327" s="1" t="n">
        <f aca="false">'Cleaned Data'!H327</f>
        <v>58</v>
      </c>
      <c r="I327" s="24" t="n">
        <f aca="false">'Cleaned Data'!I327</f>
        <v>0</v>
      </c>
      <c r="J327" s="1" t="str">
        <f aca="false">'Cleaned Data'!J327</f>
        <v>None</v>
      </c>
      <c r="K327" s="1" t="str">
        <f aca="false">'Cleaned Data'!K327</f>
        <v>Incomplete</v>
      </c>
      <c r="L327" s="1" t="str">
        <f aca="false">'Cleaned Data'!L327</f>
        <v>Free</v>
      </c>
      <c r="M327" s="1" t="n">
        <f aca="false">'Cleaned Data'!M327</f>
        <v>15</v>
      </c>
      <c r="N327" s="1" t="str">
        <f aca="false">'Cleaned Data'!N327</f>
        <v>No</v>
      </c>
      <c r="O327" s="1" t="str">
        <f aca="false">TEXT(G327,"yyyy-mm")</f>
        <v>2025-02</v>
      </c>
      <c r="P327" s="1" t="str">
        <f aca="false">IF(H327&lt;20,"Low",IF(H327&lt;=60,"Medium","High"))</f>
        <v>Medium</v>
      </c>
      <c r="Q327" s="1" t="str">
        <f aca="false">IF(I327&gt;0,"Yes","No")</f>
        <v>No</v>
      </c>
      <c r="R327" s="1" t="n">
        <f aca="false">IF(N327="Yes",1,0)</f>
        <v>0</v>
      </c>
    </row>
    <row r="328" customFormat="false" ht="15" hidden="false" customHeight="true" outlineLevel="0" collapsed="false">
      <c r="A328" s="1" t="str">
        <f aca="false">'Cleaned Data'!A328</f>
        <v>S00324</v>
      </c>
      <c r="B328" s="1" t="str">
        <f aca="false">'Cleaned Data'!B328</f>
        <v>P5731</v>
      </c>
      <c r="C328" s="1" t="str">
        <f aca="false">'Cleaned Data'!C328</f>
        <v>erinhansen</v>
      </c>
      <c r="D328" s="1" t="str">
        <f aca="false">'Cleaned Data'!D328</f>
        <v>SpeedX</v>
      </c>
      <c r="E328" s="1" t="str">
        <f aca="false">'Cleaned Data'!E328</f>
        <v>Mobile</v>
      </c>
      <c r="F328" s="1" t="str">
        <f aca="false">'Cleaned Data'!F328</f>
        <v>South</v>
      </c>
      <c r="G328" s="23" t="n">
        <f aca="false">'Cleaned Data'!G328</f>
        <v>45647</v>
      </c>
      <c r="H328" s="1" t="n">
        <f aca="false">'Cleaned Data'!H328</f>
        <v>77</v>
      </c>
      <c r="I328" s="24" t="n">
        <f aca="false">'Cleaned Data'!I328</f>
        <v>0</v>
      </c>
      <c r="J328" s="1" t="str">
        <f aca="false">'Cleaned Data'!J328</f>
        <v>None</v>
      </c>
      <c r="K328" s="1" t="str">
        <f aca="false">'Cleaned Data'!K328</f>
        <v>Completed</v>
      </c>
      <c r="L328" s="1" t="str">
        <f aca="false">'Cleaned Data'!L328</f>
        <v>Free</v>
      </c>
      <c r="M328" s="1" t="n">
        <f aca="false">'Cleaned Data'!M328</f>
        <v>11</v>
      </c>
      <c r="N328" s="1" t="str">
        <f aca="false">'Cleaned Data'!N328</f>
        <v>No</v>
      </c>
      <c r="O328" s="1" t="str">
        <f aca="false">TEXT(G328,"yyyy-mm")</f>
        <v>2024-12</v>
      </c>
      <c r="P328" s="1" t="str">
        <f aca="false">IF(H328&lt;20,"Low",IF(H328&lt;=60,"Medium","High"))</f>
        <v>High</v>
      </c>
      <c r="Q328" s="1" t="str">
        <f aca="false">IF(I328&gt;0,"Yes","No")</f>
        <v>No</v>
      </c>
      <c r="R328" s="1" t="n">
        <f aca="false">IF(N328="Yes",1,0)</f>
        <v>0</v>
      </c>
    </row>
    <row r="329" customFormat="false" ht="15" hidden="false" customHeight="true" outlineLevel="0" collapsed="false">
      <c r="A329" s="1" t="str">
        <f aca="false">'Cleaned Data'!A329</f>
        <v>S00325</v>
      </c>
      <c r="B329" s="1" t="str">
        <f aca="false">'Cleaned Data'!B329</f>
        <v>P2254</v>
      </c>
      <c r="C329" s="1" t="str">
        <f aca="false">'Cleaned Data'!C329</f>
        <v>gerald82</v>
      </c>
      <c r="D329" s="1" t="str">
        <f aca="false">'Cleaned Data'!D329</f>
        <v>Clash of Realms</v>
      </c>
      <c r="E329" s="1" t="str">
        <f aca="false">'Cleaned Data'!E329</f>
        <v>Console</v>
      </c>
      <c r="F329" s="1" t="str">
        <f aca="false">'Cleaned Data'!F329</f>
        <v>South</v>
      </c>
      <c r="G329" s="23" t="n">
        <f aca="false">'Cleaned Data'!G329</f>
        <v>45641</v>
      </c>
      <c r="H329" s="1" t="n">
        <f aca="false">'Cleaned Data'!H329</f>
        <v>175</v>
      </c>
      <c r="I329" s="24" t="n">
        <f aca="false">'Cleaned Data'!I329</f>
        <v>0</v>
      </c>
      <c r="J329" s="1" t="str">
        <f aca="false">'Cleaned Data'!J329</f>
        <v>None</v>
      </c>
      <c r="K329" s="1" t="str">
        <f aca="false">'Cleaned Data'!K329</f>
        <v>Crashed</v>
      </c>
      <c r="L329" s="1" t="str">
        <f aca="false">'Cleaned Data'!L329</f>
        <v>Paid</v>
      </c>
      <c r="M329" s="1" t="n">
        <f aca="false">'Cleaned Data'!M329</f>
        <v>10</v>
      </c>
      <c r="N329" s="1" t="str">
        <f aca="false">'Cleaned Data'!N329</f>
        <v>Yes</v>
      </c>
      <c r="O329" s="1" t="str">
        <f aca="false">TEXT(G329,"yyyy-mm")</f>
        <v>2024-12</v>
      </c>
      <c r="P329" s="1" t="str">
        <f aca="false">IF(H329&lt;20,"Low",IF(H329&lt;=60,"Medium","High"))</f>
        <v>High</v>
      </c>
      <c r="Q329" s="1" t="str">
        <f aca="false">IF(I329&gt;0,"Yes","No")</f>
        <v>No</v>
      </c>
      <c r="R329" s="1" t="n">
        <f aca="false">IF(N329="Yes",1,0)</f>
        <v>1</v>
      </c>
    </row>
    <row r="330" customFormat="false" ht="15" hidden="false" customHeight="true" outlineLevel="0" collapsed="false">
      <c r="A330" s="1" t="str">
        <f aca="false">'Cleaned Data'!A330</f>
        <v>S00326</v>
      </c>
      <c r="B330" s="1" t="str">
        <f aca="false">'Cleaned Data'!B330</f>
        <v>P2231</v>
      </c>
      <c r="C330" s="1" t="str">
        <f aca="false">'Cleaned Data'!C330</f>
        <v>jeffreyjimenez</v>
      </c>
      <c r="D330" s="1" t="str">
        <f aca="false">'Cleaned Data'!D330</f>
        <v>Clash of Realms</v>
      </c>
      <c r="E330" s="1" t="str">
        <f aca="false">'Cleaned Data'!E330</f>
        <v>PC</v>
      </c>
      <c r="F330" s="1" t="str">
        <f aca="false">'Cleaned Data'!F330</f>
        <v>North</v>
      </c>
      <c r="G330" s="23" t="n">
        <f aca="false">'Cleaned Data'!G330</f>
        <v>45727</v>
      </c>
      <c r="H330" s="1" t="n">
        <f aca="false">'Cleaned Data'!H330</f>
        <v>90</v>
      </c>
      <c r="I330" s="24" t="n">
        <f aca="false">'Cleaned Data'!I330</f>
        <v>0</v>
      </c>
      <c r="J330" s="1" t="str">
        <f aca="false">'Cleaned Data'!J330</f>
        <v>None</v>
      </c>
      <c r="K330" s="1" t="str">
        <f aca="false">'Cleaned Data'!K330</f>
        <v>Completed</v>
      </c>
      <c r="L330" s="1" t="str">
        <f aca="false">'Cleaned Data'!L330</f>
        <v>Free</v>
      </c>
      <c r="M330" s="1" t="n">
        <f aca="false">'Cleaned Data'!M330</f>
        <v>50</v>
      </c>
      <c r="N330" s="1" t="str">
        <f aca="false">'Cleaned Data'!N330</f>
        <v>No</v>
      </c>
      <c r="O330" s="1" t="str">
        <f aca="false">TEXT(G330,"yyyy-mm")</f>
        <v>2025-03</v>
      </c>
      <c r="P330" s="1" t="str">
        <f aca="false">IF(H330&lt;20,"Low",IF(H330&lt;=60,"Medium","High"))</f>
        <v>High</v>
      </c>
      <c r="Q330" s="1" t="str">
        <f aca="false">IF(I330&gt;0,"Yes","No")</f>
        <v>No</v>
      </c>
      <c r="R330" s="1" t="n">
        <f aca="false">IF(N330="Yes",1,0)</f>
        <v>0</v>
      </c>
    </row>
    <row r="331" customFormat="false" ht="15" hidden="false" customHeight="true" outlineLevel="0" collapsed="false">
      <c r="A331" s="1" t="str">
        <f aca="false">'Cleaned Data'!A331</f>
        <v>S00327</v>
      </c>
      <c r="B331" s="1" t="str">
        <f aca="false">'Cleaned Data'!B331</f>
        <v>P2736</v>
      </c>
      <c r="C331" s="1" t="str">
        <f aca="false">'Cleaned Data'!C331</f>
        <v>lcase</v>
      </c>
      <c r="D331" s="1" t="str">
        <f aca="false">'Cleaned Data'!D331</f>
        <v>Empire Wars</v>
      </c>
      <c r="E331" s="1" t="str">
        <f aca="false">'Cleaned Data'!E331</f>
        <v>Mobile</v>
      </c>
      <c r="F331" s="1" t="str">
        <f aca="false">'Cleaned Data'!F331</f>
        <v>Central</v>
      </c>
      <c r="G331" s="23" t="n">
        <f aca="false">'Cleaned Data'!G331</f>
        <v>45793</v>
      </c>
      <c r="H331" s="1" t="n">
        <f aca="false">'Cleaned Data'!H331</f>
        <v>142</v>
      </c>
      <c r="I331" s="24" t="n">
        <f aca="false">'Cleaned Data'!I331</f>
        <v>0</v>
      </c>
      <c r="J331" s="1" t="str">
        <f aca="false">'Cleaned Data'!J331</f>
        <v>None</v>
      </c>
      <c r="K331" s="1" t="str">
        <f aca="false">'Cleaned Data'!K331</f>
        <v>Incomplete</v>
      </c>
      <c r="L331" s="1" t="str">
        <f aca="false">'Cleaned Data'!L331</f>
        <v>Free</v>
      </c>
      <c r="M331" s="1" t="n">
        <f aca="false">'Cleaned Data'!M331</f>
        <v>49</v>
      </c>
      <c r="N331" s="1" t="str">
        <f aca="false">'Cleaned Data'!N331</f>
        <v>No</v>
      </c>
      <c r="O331" s="1" t="str">
        <f aca="false">TEXT(G331,"yyyy-mm")</f>
        <v>2025-05</v>
      </c>
      <c r="P331" s="1" t="str">
        <f aca="false">IF(H331&lt;20,"Low",IF(H331&lt;=60,"Medium","High"))</f>
        <v>High</v>
      </c>
      <c r="Q331" s="1" t="str">
        <f aca="false">IF(I331&gt;0,"Yes","No")</f>
        <v>No</v>
      </c>
      <c r="R331" s="1" t="n">
        <f aca="false">IF(N331="Yes",1,0)</f>
        <v>0</v>
      </c>
    </row>
    <row r="332" customFormat="false" ht="15" hidden="false" customHeight="true" outlineLevel="0" collapsed="false">
      <c r="A332" s="1" t="str">
        <f aca="false">'Cleaned Data'!A332</f>
        <v>S00328</v>
      </c>
      <c r="B332" s="1" t="str">
        <f aca="false">'Cleaned Data'!B332</f>
        <v>P3118</v>
      </c>
      <c r="C332" s="1" t="str">
        <f aca="false">'Cleaned Data'!C332</f>
        <v>jonathan53</v>
      </c>
      <c r="D332" s="1" t="str">
        <f aca="false">'Cleaned Data'!D332</f>
        <v>Zombie Rush</v>
      </c>
      <c r="E332" s="1" t="str">
        <f aca="false">'Cleaned Data'!E332</f>
        <v>PC</v>
      </c>
      <c r="F332" s="1" t="str">
        <f aca="false">'Cleaned Data'!F332</f>
        <v>West</v>
      </c>
      <c r="G332" s="23" t="n">
        <f aca="false">'Cleaned Data'!G332</f>
        <v>45801</v>
      </c>
      <c r="H332" s="1" t="n">
        <f aca="false">'Cleaned Data'!H332</f>
        <v>102</v>
      </c>
      <c r="I332" s="24" t="n">
        <f aca="false">'Cleaned Data'!I332</f>
        <v>0</v>
      </c>
      <c r="J332" s="1" t="str">
        <f aca="false">'Cleaned Data'!J332</f>
        <v>None</v>
      </c>
      <c r="K332" s="1" t="str">
        <f aca="false">'Cleaned Data'!K332</f>
        <v>Completed</v>
      </c>
      <c r="L332" s="1" t="str">
        <f aca="false">'Cleaned Data'!L332</f>
        <v>Paid</v>
      </c>
      <c r="M332" s="1" t="n">
        <f aca="false">'Cleaned Data'!M332</f>
        <v>44</v>
      </c>
      <c r="N332" s="1" t="str">
        <f aca="false">'Cleaned Data'!N332</f>
        <v>No</v>
      </c>
      <c r="O332" s="1" t="str">
        <f aca="false">TEXT(G332,"yyyy-mm")</f>
        <v>2025-05</v>
      </c>
      <c r="P332" s="1" t="str">
        <f aca="false">IF(H332&lt;20,"Low",IF(H332&lt;=60,"Medium","High"))</f>
        <v>High</v>
      </c>
      <c r="Q332" s="1" t="str">
        <f aca="false">IF(I332&gt;0,"Yes","No")</f>
        <v>No</v>
      </c>
      <c r="R332" s="1" t="n">
        <f aca="false">IF(N332="Yes",1,0)</f>
        <v>0</v>
      </c>
    </row>
    <row r="333" customFormat="false" ht="15" hidden="false" customHeight="true" outlineLevel="0" collapsed="false">
      <c r="A333" s="1" t="str">
        <f aca="false">'Cleaned Data'!A333</f>
        <v>S00329</v>
      </c>
      <c r="B333" s="1" t="str">
        <f aca="false">'Cleaned Data'!B333</f>
        <v>P3169</v>
      </c>
      <c r="C333" s="1" t="str">
        <f aca="false">'Cleaned Data'!C333</f>
        <v>ethankaufman</v>
      </c>
      <c r="D333" s="1" t="str">
        <f aca="false">'Cleaned Data'!D333</f>
        <v>BattleZone</v>
      </c>
      <c r="E333" s="1" t="str">
        <f aca="false">'Cleaned Data'!E333</f>
        <v>Mobile</v>
      </c>
      <c r="F333" s="1" t="str">
        <f aca="false">'Cleaned Data'!F333</f>
        <v>North</v>
      </c>
      <c r="G333" s="23" t="n">
        <f aca="false">'Cleaned Data'!G333</f>
        <v>45737</v>
      </c>
      <c r="H333" s="1" t="n">
        <f aca="false">'Cleaned Data'!H333</f>
        <v>47</v>
      </c>
      <c r="I333" s="24" t="n">
        <f aca="false">'Cleaned Data'!I333</f>
        <v>0</v>
      </c>
      <c r="J333" s="1" t="str">
        <f aca="false">'Cleaned Data'!J333</f>
        <v>None</v>
      </c>
      <c r="K333" s="1" t="str">
        <f aca="false">'Cleaned Data'!K333</f>
        <v>Completed</v>
      </c>
      <c r="L333" s="1" t="str">
        <f aca="false">'Cleaned Data'!L333</f>
        <v>Paid</v>
      </c>
      <c r="M333" s="1" t="n">
        <f aca="false">'Cleaned Data'!M333</f>
        <v>49</v>
      </c>
      <c r="N333" s="1" t="str">
        <f aca="false">'Cleaned Data'!N333</f>
        <v>No</v>
      </c>
      <c r="O333" s="1" t="str">
        <f aca="false">TEXT(G333,"yyyy-mm")</f>
        <v>2025-03</v>
      </c>
      <c r="P333" s="1" t="str">
        <f aca="false">IF(H333&lt;20,"Low",IF(H333&lt;=60,"Medium","High"))</f>
        <v>Medium</v>
      </c>
      <c r="Q333" s="1" t="str">
        <f aca="false">IF(I333&gt;0,"Yes","No")</f>
        <v>No</v>
      </c>
      <c r="R333" s="1" t="n">
        <f aca="false">IF(N333="Yes",1,0)</f>
        <v>0</v>
      </c>
    </row>
    <row r="334" customFormat="false" ht="15" hidden="false" customHeight="true" outlineLevel="0" collapsed="false">
      <c r="A334" s="1" t="str">
        <f aca="false">'Cleaned Data'!A334</f>
        <v>S00330</v>
      </c>
      <c r="B334" s="1" t="str">
        <f aca="false">'Cleaned Data'!B334</f>
        <v>P6447</v>
      </c>
      <c r="C334" s="1" t="str">
        <f aca="false">'Cleaned Data'!C334</f>
        <v>jessica34</v>
      </c>
      <c r="D334" s="1" t="str">
        <f aca="false">'Cleaned Data'!D334</f>
        <v>BattleZone</v>
      </c>
      <c r="E334" s="1" t="str">
        <f aca="false">'Cleaned Data'!E334</f>
        <v>Console</v>
      </c>
      <c r="F334" s="1" t="str">
        <f aca="false">'Cleaned Data'!F334</f>
        <v>Central</v>
      </c>
      <c r="G334" s="23" t="n">
        <f aca="false">'Cleaned Data'!G334</f>
        <v>45799</v>
      </c>
      <c r="H334" s="1" t="n">
        <f aca="false">'Cleaned Data'!H334</f>
        <v>100</v>
      </c>
      <c r="I334" s="24" t="n">
        <f aca="false">'Cleaned Data'!I334</f>
        <v>0</v>
      </c>
      <c r="J334" s="1" t="str">
        <f aca="false">'Cleaned Data'!J334</f>
        <v>None</v>
      </c>
      <c r="K334" s="1" t="str">
        <f aca="false">'Cleaned Data'!K334</f>
        <v>Completed</v>
      </c>
      <c r="L334" s="1" t="str">
        <f aca="false">'Cleaned Data'!L334</f>
        <v>Free</v>
      </c>
      <c r="M334" s="1" t="n">
        <f aca="false">'Cleaned Data'!M334</f>
        <v>25</v>
      </c>
      <c r="N334" s="1" t="str">
        <f aca="false">'Cleaned Data'!N334</f>
        <v>No</v>
      </c>
      <c r="O334" s="1" t="str">
        <f aca="false">TEXT(G334,"yyyy-mm")</f>
        <v>2025-05</v>
      </c>
      <c r="P334" s="1" t="str">
        <f aca="false">IF(H334&lt;20,"Low",IF(H334&lt;=60,"Medium","High"))</f>
        <v>High</v>
      </c>
      <c r="Q334" s="1" t="str">
        <f aca="false">IF(I334&gt;0,"Yes","No")</f>
        <v>No</v>
      </c>
      <c r="R334" s="1" t="n">
        <f aca="false">IF(N334="Yes",1,0)</f>
        <v>0</v>
      </c>
    </row>
    <row r="335" customFormat="false" ht="15" hidden="false" customHeight="true" outlineLevel="0" collapsed="false">
      <c r="A335" s="1" t="str">
        <f aca="false">'Cleaned Data'!A335</f>
        <v>S00331</v>
      </c>
      <c r="B335" s="1" t="str">
        <f aca="false">'Cleaned Data'!B335</f>
        <v>P1496</v>
      </c>
      <c r="C335" s="1" t="str">
        <f aca="false">'Cleaned Data'!C335</f>
        <v>newtonjose</v>
      </c>
      <c r="D335" s="1" t="str">
        <f aca="false">'Cleaned Data'!D335</f>
        <v>BattleZone</v>
      </c>
      <c r="E335" s="1" t="str">
        <f aca="false">'Cleaned Data'!E335</f>
        <v>PC</v>
      </c>
      <c r="F335" s="1" t="str">
        <f aca="false">'Cleaned Data'!F335</f>
        <v>South</v>
      </c>
      <c r="G335" s="23" t="n">
        <f aca="false">'Cleaned Data'!G335</f>
        <v>45702</v>
      </c>
      <c r="H335" s="1" t="n">
        <f aca="false">'Cleaned Data'!H335</f>
        <v>30</v>
      </c>
      <c r="I335" s="24" t="n">
        <f aca="false">'Cleaned Data'!I335</f>
        <v>36.8</v>
      </c>
      <c r="J335" s="1" t="str">
        <f aca="false">'Cleaned Data'!J335</f>
        <v>Skins</v>
      </c>
      <c r="K335" s="1" t="str">
        <f aca="false">'Cleaned Data'!K335</f>
        <v>Exited Early</v>
      </c>
      <c r="L335" s="1" t="str">
        <f aca="false">'Cleaned Data'!L335</f>
        <v>Paid</v>
      </c>
      <c r="M335" s="1" t="n">
        <f aca="false">'Cleaned Data'!M335</f>
        <v>24</v>
      </c>
      <c r="N335" s="1" t="str">
        <f aca="false">'Cleaned Data'!N335</f>
        <v>No</v>
      </c>
      <c r="O335" s="1" t="str">
        <f aca="false">TEXT(G335,"yyyy-mm")</f>
        <v>2025-02</v>
      </c>
      <c r="P335" s="1" t="str">
        <f aca="false">IF(H335&lt;20,"Low",IF(H335&lt;=60,"Medium","High"))</f>
        <v>Medium</v>
      </c>
      <c r="Q335" s="1" t="str">
        <f aca="false">IF(I335&gt;0,"Yes","No")</f>
        <v>Yes</v>
      </c>
      <c r="R335" s="1" t="n">
        <f aca="false">IF(N335="Yes",1,0)</f>
        <v>0</v>
      </c>
    </row>
    <row r="336" customFormat="false" ht="15" hidden="false" customHeight="true" outlineLevel="0" collapsed="false">
      <c r="A336" s="1" t="str">
        <f aca="false">'Cleaned Data'!A336</f>
        <v>S00332</v>
      </c>
      <c r="B336" s="1" t="str">
        <f aca="false">'Cleaned Data'!B336</f>
        <v>P4764</v>
      </c>
      <c r="C336" s="1" t="str">
        <f aca="false">'Cleaned Data'!C336</f>
        <v>johnsonjulie</v>
      </c>
      <c r="D336" s="1" t="str">
        <f aca="false">'Cleaned Data'!D336</f>
        <v>SpeedX</v>
      </c>
      <c r="E336" s="1" t="str">
        <f aca="false">'Cleaned Data'!E336</f>
        <v>Console</v>
      </c>
      <c r="F336" s="1" t="str">
        <f aca="false">'Cleaned Data'!F336</f>
        <v>East</v>
      </c>
      <c r="G336" s="23" t="n">
        <f aca="false">'Cleaned Data'!G336</f>
        <v>45734</v>
      </c>
      <c r="H336" s="1" t="n">
        <f aca="false">'Cleaned Data'!H336</f>
        <v>180</v>
      </c>
      <c r="I336" s="24" t="n">
        <f aca="false">'Cleaned Data'!I336</f>
        <v>0</v>
      </c>
      <c r="J336" s="1" t="str">
        <f aca="false">'Cleaned Data'!J336</f>
        <v>None</v>
      </c>
      <c r="K336" s="1" t="str">
        <f aca="false">'Cleaned Data'!K336</f>
        <v>Completed</v>
      </c>
      <c r="L336" s="1" t="str">
        <f aca="false">'Cleaned Data'!L336</f>
        <v>Free</v>
      </c>
      <c r="M336" s="1" t="n">
        <f aca="false">'Cleaned Data'!M336</f>
        <v>18</v>
      </c>
      <c r="N336" s="1" t="str">
        <f aca="false">'Cleaned Data'!N336</f>
        <v>Yes</v>
      </c>
      <c r="O336" s="1" t="str">
        <f aca="false">TEXT(G336,"yyyy-mm")</f>
        <v>2025-03</v>
      </c>
      <c r="P336" s="1" t="str">
        <f aca="false">IF(H336&lt;20,"Low",IF(H336&lt;=60,"Medium","High"))</f>
        <v>High</v>
      </c>
      <c r="Q336" s="1" t="str">
        <f aca="false">IF(I336&gt;0,"Yes","No")</f>
        <v>No</v>
      </c>
      <c r="R336" s="1" t="n">
        <f aca="false">IF(N336="Yes",1,0)</f>
        <v>1</v>
      </c>
    </row>
    <row r="337" customFormat="false" ht="15" hidden="false" customHeight="true" outlineLevel="0" collapsed="false">
      <c r="A337" s="1" t="str">
        <f aca="false">'Cleaned Data'!A337</f>
        <v>S00333</v>
      </c>
      <c r="B337" s="1" t="str">
        <f aca="false">'Cleaned Data'!B337</f>
        <v>P8963</v>
      </c>
      <c r="C337" s="1" t="str">
        <f aca="false">'Cleaned Data'!C337</f>
        <v>justin27</v>
      </c>
      <c r="D337" s="1" t="str">
        <f aca="false">'Cleaned Data'!D337</f>
        <v>Empire Wars</v>
      </c>
      <c r="E337" s="1" t="str">
        <f aca="false">'Cleaned Data'!E337</f>
        <v>Console</v>
      </c>
      <c r="F337" s="1" t="str">
        <f aca="false">'Cleaned Data'!F337</f>
        <v>North</v>
      </c>
      <c r="G337" s="23" t="n">
        <f aca="false">'Cleaned Data'!G337</f>
        <v>45657</v>
      </c>
      <c r="H337" s="1" t="n">
        <f aca="false">'Cleaned Data'!H337</f>
        <v>18</v>
      </c>
      <c r="I337" s="24" t="n">
        <f aca="false">'Cleaned Data'!I337</f>
        <v>36.07</v>
      </c>
      <c r="J337" s="1" t="str">
        <f aca="false">'Cleaned Data'!J337</f>
        <v>Battle Pass</v>
      </c>
      <c r="K337" s="1" t="str">
        <f aca="false">'Cleaned Data'!K337</f>
        <v>Completed</v>
      </c>
      <c r="L337" s="1" t="str">
        <f aca="false">'Cleaned Data'!L337</f>
        <v>Paid</v>
      </c>
      <c r="M337" s="1" t="n">
        <f aca="false">'Cleaned Data'!M337</f>
        <v>4</v>
      </c>
      <c r="N337" s="1" t="str">
        <f aca="false">'Cleaned Data'!N337</f>
        <v>No</v>
      </c>
      <c r="O337" s="1" t="str">
        <f aca="false">TEXT(G337,"yyyy-mm")</f>
        <v>2024-12</v>
      </c>
      <c r="P337" s="1" t="str">
        <f aca="false">IF(H337&lt;20,"Low",IF(H337&lt;=60,"Medium","High"))</f>
        <v>Low</v>
      </c>
      <c r="Q337" s="1" t="str">
        <f aca="false">IF(I337&gt;0,"Yes","No")</f>
        <v>Yes</v>
      </c>
      <c r="R337" s="1" t="n">
        <f aca="false">IF(N337="Yes",1,0)</f>
        <v>0</v>
      </c>
    </row>
    <row r="338" customFormat="false" ht="15" hidden="false" customHeight="true" outlineLevel="0" collapsed="false">
      <c r="A338" s="1" t="str">
        <f aca="false">'Cleaned Data'!A338</f>
        <v>S00334</v>
      </c>
      <c r="B338" s="1" t="str">
        <f aca="false">'Cleaned Data'!B338</f>
        <v>P1470</v>
      </c>
      <c r="C338" s="1" t="str">
        <f aca="false">'Cleaned Data'!C338</f>
        <v>jonesjames</v>
      </c>
      <c r="D338" s="1" t="str">
        <f aca="false">'Cleaned Data'!D338</f>
        <v>BattleZone</v>
      </c>
      <c r="E338" s="1" t="str">
        <f aca="false">'Cleaned Data'!E338</f>
        <v>Console</v>
      </c>
      <c r="F338" s="1" t="str">
        <f aca="false">'Cleaned Data'!F338</f>
        <v>Central</v>
      </c>
      <c r="G338" s="23" t="n">
        <f aca="false">'Cleaned Data'!G338</f>
        <v>45676</v>
      </c>
      <c r="H338" s="1" t="n">
        <f aca="false">'Cleaned Data'!H338</f>
        <v>5</v>
      </c>
      <c r="I338" s="24" t="n">
        <f aca="false">'Cleaned Data'!I338</f>
        <v>14.86</v>
      </c>
      <c r="J338" s="1" t="str">
        <f aca="false">'Cleaned Data'!J338</f>
        <v>Battle Pass</v>
      </c>
      <c r="K338" s="1" t="str">
        <f aca="false">'Cleaned Data'!K338</f>
        <v>Incomplete</v>
      </c>
      <c r="L338" s="1" t="str">
        <f aca="false">'Cleaned Data'!L338</f>
        <v>Paid</v>
      </c>
      <c r="M338" s="1" t="n">
        <f aca="false">'Cleaned Data'!M338</f>
        <v>23</v>
      </c>
      <c r="N338" s="1" t="str">
        <f aca="false">'Cleaned Data'!N338</f>
        <v>No</v>
      </c>
      <c r="O338" s="1" t="str">
        <f aca="false">TEXT(G338,"yyyy-mm")</f>
        <v>2025-01</v>
      </c>
      <c r="P338" s="1" t="str">
        <f aca="false">IF(H338&lt;20,"Low",IF(H338&lt;=60,"Medium","High"))</f>
        <v>Low</v>
      </c>
      <c r="Q338" s="1" t="str">
        <f aca="false">IF(I338&gt;0,"Yes","No")</f>
        <v>Yes</v>
      </c>
      <c r="R338" s="1" t="n">
        <f aca="false">IF(N338="Yes",1,0)</f>
        <v>0</v>
      </c>
    </row>
    <row r="339" customFormat="false" ht="15" hidden="false" customHeight="true" outlineLevel="0" collapsed="false">
      <c r="A339" s="1" t="str">
        <f aca="false">'Cleaned Data'!A339</f>
        <v>S00335</v>
      </c>
      <c r="B339" s="1" t="str">
        <f aca="false">'Cleaned Data'!B339</f>
        <v>P5228</v>
      </c>
      <c r="C339" s="1" t="str">
        <f aca="false">'Cleaned Data'!C339</f>
        <v>melissa44</v>
      </c>
      <c r="D339" s="1" t="str">
        <f aca="false">'Cleaned Data'!D339</f>
        <v>Empire Wars</v>
      </c>
      <c r="E339" s="1" t="str">
        <f aca="false">'Cleaned Data'!E339</f>
        <v>PC</v>
      </c>
      <c r="F339" s="1" t="str">
        <f aca="false">'Cleaned Data'!F339</f>
        <v>East</v>
      </c>
      <c r="G339" s="23" t="n">
        <f aca="false">'Cleaned Data'!G339</f>
        <v>45665</v>
      </c>
      <c r="H339" s="1" t="n">
        <f aca="false">'Cleaned Data'!H339</f>
        <v>159</v>
      </c>
      <c r="I339" s="24" t="n">
        <f aca="false">'Cleaned Data'!I339</f>
        <v>0</v>
      </c>
      <c r="J339" s="1" t="str">
        <f aca="false">'Cleaned Data'!J339</f>
        <v>None</v>
      </c>
      <c r="K339" s="1" t="str">
        <f aca="false">'Cleaned Data'!K339</f>
        <v>Completed</v>
      </c>
      <c r="L339" s="1" t="str">
        <f aca="false">'Cleaned Data'!L339</f>
        <v>Free</v>
      </c>
      <c r="M339" s="1" t="n">
        <f aca="false">'Cleaned Data'!M339</f>
        <v>20</v>
      </c>
      <c r="N339" s="1" t="str">
        <f aca="false">'Cleaned Data'!N339</f>
        <v>Yes</v>
      </c>
      <c r="O339" s="1" t="str">
        <f aca="false">TEXT(G339,"yyyy-mm")</f>
        <v>2025-01</v>
      </c>
      <c r="P339" s="1" t="str">
        <f aca="false">IF(H339&lt;20,"Low",IF(H339&lt;=60,"Medium","High"))</f>
        <v>High</v>
      </c>
      <c r="Q339" s="1" t="str">
        <f aca="false">IF(I339&gt;0,"Yes","No")</f>
        <v>No</v>
      </c>
      <c r="R339" s="1" t="n">
        <f aca="false">IF(N339="Yes",1,0)</f>
        <v>1</v>
      </c>
    </row>
    <row r="340" customFormat="false" ht="15" hidden="false" customHeight="true" outlineLevel="0" collapsed="false">
      <c r="A340" s="1" t="str">
        <f aca="false">'Cleaned Data'!A340</f>
        <v>S00336</v>
      </c>
      <c r="B340" s="1" t="str">
        <f aca="false">'Cleaned Data'!B340</f>
        <v>P4680</v>
      </c>
      <c r="C340" s="1" t="str">
        <f aca="false">'Cleaned Data'!C340</f>
        <v>jack69</v>
      </c>
      <c r="D340" s="1" t="str">
        <f aca="false">'Cleaned Data'!D340</f>
        <v>Empire Wars</v>
      </c>
      <c r="E340" s="1" t="str">
        <f aca="false">'Cleaned Data'!E340</f>
        <v>PC</v>
      </c>
      <c r="F340" s="1" t="str">
        <f aca="false">'Cleaned Data'!F340</f>
        <v>East</v>
      </c>
      <c r="G340" s="23" t="n">
        <f aca="false">'Cleaned Data'!G340</f>
        <v>45732</v>
      </c>
      <c r="H340" s="1" t="n">
        <f aca="false">'Cleaned Data'!H340</f>
        <v>161</v>
      </c>
      <c r="I340" s="24" t="n">
        <f aca="false">'Cleaned Data'!I340</f>
        <v>45.73</v>
      </c>
      <c r="J340" s="1" t="str">
        <f aca="false">'Cleaned Data'!J340</f>
        <v>Boosters</v>
      </c>
      <c r="K340" s="1" t="str">
        <f aca="false">'Cleaned Data'!K340</f>
        <v>Completed</v>
      </c>
      <c r="L340" s="1" t="str">
        <f aca="false">'Cleaned Data'!L340</f>
        <v>Paid</v>
      </c>
      <c r="M340" s="1" t="n">
        <f aca="false">'Cleaned Data'!M340</f>
        <v>4</v>
      </c>
      <c r="N340" s="1" t="str">
        <f aca="false">'Cleaned Data'!N340</f>
        <v>Yes</v>
      </c>
      <c r="O340" s="1" t="str">
        <f aca="false">TEXT(G340,"yyyy-mm")</f>
        <v>2025-03</v>
      </c>
      <c r="P340" s="1" t="str">
        <f aca="false">IF(H340&lt;20,"Low",IF(H340&lt;=60,"Medium","High"))</f>
        <v>High</v>
      </c>
      <c r="Q340" s="1" t="str">
        <f aca="false">IF(I340&gt;0,"Yes","No")</f>
        <v>Yes</v>
      </c>
      <c r="R340" s="1" t="n">
        <f aca="false">IF(N340="Yes",1,0)</f>
        <v>1</v>
      </c>
    </row>
    <row r="341" customFormat="false" ht="15" hidden="false" customHeight="true" outlineLevel="0" collapsed="false">
      <c r="A341" s="1" t="str">
        <f aca="false">'Cleaned Data'!A341</f>
        <v>S00337</v>
      </c>
      <c r="B341" s="1" t="str">
        <f aca="false">'Cleaned Data'!B341</f>
        <v>P2974</v>
      </c>
      <c r="C341" s="1" t="str">
        <f aca="false">'Cleaned Data'!C341</f>
        <v>maciasronald</v>
      </c>
      <c r="D341" s="1" t="str">
        <f aca="false">'Cleaned Data'!D341</f>
        <v>Zombie Rush</v>
      </c>
      <c r="E341" s="1" t="str">
        <f aca="false">'Cleaned Data'!E341</f>
        <v>Console</v>
      </c>
      <c r="F341" s="1" t="str">
        <f aca="false">'Cleaned Data'!F341</f>
        <v>East</v>
      </c>
      <c r="G341" s="23" t="n">
        <f aca="false">'Cleaned Data'!G341</f>
        <v>45723</v>
      </c>
      <c r="H341" s="1" t="n">
        <f aca="false">'Cleaned Data'!H341</f>
        <v>13</v>
      </c>
      <c r="I341" s="24" t="n">
        <f aca="false">'Cleaned Data'!I341</f>
        <v>0</v>
      </c>
      <c r="J341" s="1" t="str">
        <f aca="false">'Cleaned Data'!J341</f>
        <v>None</v>
      </c>
      <c r="K341" s="1" t="str">
        <f aca="false">'Cleaned Data'!K341</f>
        <v>Exited Early</v>
      </c>
      <c r="L341" s="1" t="str">
        <f aca="false">'Cleaned Data'!L341</f>
        <v>Free</v>
      </c>
      <c r="M341" s="1" t="n">
        <f aca="false">'Cleaned Data'!M341</f>
        <v>49</v>
      </c>
      <c r="N341" s="1" t="str">
        <f aca="false">'Cleaned Data'!N341</f>
        <v>No</v>
      </c>
      <c r="O341" s="1" t="str">
        <f aca="false">TEXT(G341,"yyyy-mm")</f>
        <v>2025-03</v>
      </c>
      <c r="P341" s="1" t="str">
        <f aca="false">IF(H341&lt;20,"Low",IF(H341&lt;=60,"Medium","High"))</f>
        <v>Low</v>
      </c>
      <c r="Q341" s="1" t="str">
        <f aca="false">IF(I341&gt;0,"Yes","No")</f>
        <v>No</v>
      </c>
      <c r="R341" s="1" t="n">
        <f aca="false">IF(N341="Yes",1,0)</f>
        <v>0</v>
      </c>
    </row>
    <row r="342" customFormat="false" ht="15" hidden="false" customHeight="true" outlineLevel="0" collapsed="false">
      <c r="A342" s="1" t="str">
        <f aca="false">'Cleaned Data'!A342</f>
        <v>S00338</v>
      </c>
      <c r="B342" s="1" t="str">
        <f aca="false">'Cleaned Data'!B342</f>
        <v>P9449</v>
      </c>
      <c r="C342" s="1" t="str">
        <f aca="false">'Cleaned Data'!C342</f>
        <v>douglasluke</v>
      </c>
      <c r="D342" s="1" t="str">
        <f aca="false">'Cleaned Data'!D342</f>
        <v>SpeedX</v>
      </c>
      <c r="E342" s="1" t="str">
        <f aca="false">'Cleaned Data'!E342</f>
        <v>PC</v>
      </c>
      <c r="F342" s="1" t="str">
        <f aca="false">'Cleaned Data'!F342</f>
        <v>South</v>
      </c>
      <c r="G342" s="23" t="n">
        <f aca="false">'Cleaned Data'!G342</f>
        <v>45759</v>
      </c>
      <c r="H342" s="1" t="n">
        <f aca="false">'Cleaned Data'!H342</f>
        <v>110</v>
      </c>
      <c r="I342" s="24" t="n">
        <f aca="false">'Cleaned Data'!I342</f>
        <v>0</v>
      </c>
      <c r="J342" s="1" t="str">
        <f aca="false">'Cleaned Data'!J342</f>
        <v>None</v>
      </c>
      <c r="K342" s="1" t="str">
        <f aca="false">'Cleaned Data'!K342</f>
        <v>Completed</v>
      </c>
      <c r="L342" s="1" t="str">
        <f aca="false">'Cleaned Data'!L342</f>
        <v>Free</v>
      </c>
      <c r="M342" s="1" t="n">
        <f aca="false">'Cleaned Data'!M342</f>
        <v>40</v>
      </c>
      <c r="N342" s="1" t="str">
        <f aca="false">'Cleaned Data'!N342</f>
        <v>No</v>
      </c>
      <c r="O342" s="1" t="str">
        <f aca="false">TEXT(G342,"yyyy-mm")</f>
        <v>2025-04</v>
      </c>
      <c r="P342" s="1" t="str">
        <f aca="false">IF(H342&lt;20,"Low",IF(H342&lt;=60,"Medium","High"))</f>
        <v>High</v>
      </c>
      <c r="Q342" s="1" t="str">
        <f aca="false">IF(I342&gt;0,"Yes","No")</f>
        <v>No</v>
      </c>
      <c r="R342" s="1" t="n">
        <f aca="false">IF(N342="Yes",1,0)</f>
        <v>0</v>
      </c>
    </row>
    <row r="343" customFormat="false" ht="15" hidden="false" customHeight="true" outlineLevel="0" collapsed="false">
      <c r="A343" s="1" t="str">
        <f aca="false">'Cleaned Data'!A343</f>
        <v>S00339</v>
      </c>
      <c r="B343" s="1" t="str">
        <f aca="false">'Cleaned Data'!B343</f>
        <v>P1806</v>
      </c>
      <c r="C343" s="1" t="str">
        <f aca="false">'Cleaned Data'!C343</f>
        <v>michael88</v>
      </c>
      <c r="D343" s="1" t="str">
        <f aca="false">'Cleaned Data'!D343</f>
        <v>Empire Wars</v>
      </c>
      <c r="E343" s="1" t="str">
        <f aca="false">'Cleaned Data'!E343</f>
        <v>PC</v>
      </c>
      <c r="F343" s="1" t="str">
        <f aca="false">'Cleaned Data'!F343</f>
        <v>West</v>
      </c>
      <c r="G343" s="23" t="n">
        <f aca="false">'Cleaned Data'!G343</f>
        <v>45703</v>
      </c>
      <c r="H343" s="1" t="n">
        <f aca="false">'Cleaned Data'!H343</f>
        <v>22</v>
      </c>
      <c r="I343" s="24" t="n">
        <f aca="false">'Cleaned Data'!I343</f>
        <v>0</v>
      </c>
      <c r="J343" s="1" t="str">
        <f aca="false">'Cleaned Data'!J343</f>
        <v>None</v>
      </c>
      <c r="K343" s="1" t="str">
        <f aca="false">'Cleaned Data'!K343</f>
        <v>Completed</v>
      </c>
      <c r="L343" s="1" t="str">
        <f aca="false">'Cleaned Data'!L343</f>
        <v>Free</v>
      </c>
      <c r="M343" s="1" t="n">
        <f aca="false">'Cleaned Data'!M343</f>
        <v>34</v>
      </c>
      <c r="N343" s="1" t="str">
        <f aca="false">'Cleaned Data'!N343</f>
        <v>No</v>
      </c>
      <c r="O343" s="1" t="str">
        <f aca="false">TEXT(G343,"yyyy-mm")</f>
        <v>2025-02</v>
      </c>
      <c r="P343" s="1" t="str">
        <f aca="false">IF(H343&lt;20,"Low",IF(H343&lt;=60,"Medium","High"))</f>
        <v>Medium</v>
      </c>
      <c r="Q343" s="1" t="str">
        <f aca="false">IF(I343&gt;0,"Yes","No")</f>
        <v>No</v>
      </c>
      <c r="R343" s="1" t="n">
        <f aca="false">IF(N343="Yes",1,0)</f>
        <v>0</v>
      </c>
    </row>
    <row r="344" customFormat="false" ht="15" hidden="false" customHeight="true" outlineLevel="0" collapsed="false">
      <c r="A344" s="1" t="str">
        <f aca="false">'Cleaned Data'!A344</f>
        <v>S00340</v>
      </c>
      <c r="B344" s="1" t="str">
        <f aca="false">'Cleaned Data'!B344</f>
        <v>P6015</v>
      </c>
      <c r="C344" s="1" t="str">
        <f aca="false">'Cleaned Data'!C344</f>
        <v>terrychristina</v>
      </c>
      <c r="D344" s="1" t="str">
        <f aca="false">'Cleaned Data'!D344</f>
        <v>Zombie Rush</v>
      </c>
      <c r="E344" s="1" t="str">
        <f aca="false">'Cleaned Data'!E344</f>
        <v>Console</v>
      </c>
      <c r="F344" s="1" t="str">
        <f aca="false">'Cleaned Data'!F344</f>
        <v>South</v>
      </c>
      <c r="G344" s="23" t="n">
        <f aca="false">'Cleaned Data'!G344</f>
        <v>45789</v>
      </c>
      <c r="H344" s="1" t="n">
        <f aca="false">'Cleaned Data'!H344</f>
        <v>168</v>
      </c>
      <c r="I344" s="24" t="n">
        <f aca="false">'Cleaned Data'!I344</f>
        <v>33.73</v>
      </c>
      <c r="J344" s="1" t="str">
        <f aca="false">'Cleaned Data'!J344</f>
        <v>Battle Pass</v>
      </c>
      <c r="K344" s="1" t="str">
        <f aca="false">'Cleaned Data'!K344</f>
        <v>Completed</v>
      </c>
      <c r="L344" s="1" t="str">
        <f aca="false">'Cleaned Data'!L344</f>
        <v>Paid</v>
      </c>
      <c r="M344" s="1" t="n">
        <f aca="false">'Cleaned Data'!M344</f>
        <v>48</v>
      </c>
      <c r="N344" s="1" t="str">
        <f aca="false">'Cleaned Data'!N344</f>
        <v>Yes</v>
      </c>
      <c r="O344" s="1" t="str">
        <f aca="false">TEXT(G344,"yyyy-mm")</f>
        <v>2025-05</v>
      </c>
      <c r="P344" s="1" t="str">
        <f aca="false">IF(H344&lt;20,"Low",IF(H344&lt;=60,"Medium","High"))</f>
        <v>High</v>
      </c>
      <c r="Q344" s="1" t="str">
        <f aca="false">IF(I344&gt;0,"Yes","No")</f>
        <v>Yes</v>
      </c>
      <c r="R344" s="1" t="n">
        <f aca="false">IF(N344="Yes",1,0)</f>
        <v>1</v>
      </c>
    </row>
    <row r="345" customFormat="false" ht="15" hidden="false" customHeight="true" outlineLevel="0" collapsed="false">
      <c r="A345" s="1" t="str">
        <f aca="false">'Cleaned Data'!A345</f>
        <v>S00341</v>
      </c>
      <c r="B345" s="1" t="str">
        <f aca="false">'Cleaned Data'!B345</f>
        <v>P7017</v>
      </c>
      <c r="C345" s="1" t="str">
        <f aca="false">'Cleaned Data'!C345</f>
        <v>smartin</v>
      </c>
      <c r="D345" s="1" t="str">
        <f aca="false">'Cleaned Data'!D345</f>
        <v>SpeedX</v>
      </c>
      <c r="E345" s="1" t="str">
        <f aca="false">'Cleaned Data'!E345</f>
        <v>PC</v>
      </c>
      <c r="F345" s="1" t="str">
        <f aca="false">'Cleaned Data'!F345</f>
        <v>Central</v>
      </c>
      <c r="G345" s="23" t="n">
        <f aca="false">'Cleaned Data'!G345</f>
        <v>45668</v>
      </c>
      <c r="H345" s="1" t="n">
        <f aca="false">'Cleaned Data'!H345</f>
        <v>24</v>
      </c>
      <c r="I345" s="24" t="n">
        <f aca="false">'Cleaned Data'!I345</f>
        <v>0</v>
      </c>
      <c r="J345" s="1" t="str">
        <f aca="false">'Cleaned Data'!J345</f>
        <v>None</v>
      </c>
      <c r="K345" s="1" t="str">
        <f aca="false">'Cleaned Data'!K345</f>
        <v>Completed</v>
      </c>
      <c r="L345" s="1" t="str">
        <f aca="false">'Cleaned Data'!L345</f>
        <v>Free</v>
      </c>
      <c r="M345" s="1" t="n">
        <f aca="false">'Cleaned Data'!M345</f>
        <v>41</v>
      </c>
      <c r="N345" s="1" t="str">
        <f aca="false">'Cleaned Data'!N345</f>
        <v>No</v>
      </c>
      <c r="O345" s="1" t="str">
        <f aca="false">TEXT(G345,"yyyy-mm")</f>
        <v>2025-01</v>
      </c>
      <c r="P345" s="1" t="str">
        <f aca="false">IF(H345&lt;20,"Low",IF(H345&lt;=60,"Medium","High"))</f>
        <v>Medium</v>
      </c>
      <c r="Q345" s="1" t="str">
        <f aca="false">IF(I345&gt;0,"Yes","No")</f>
        <v>No</v>
      </c>
      <c r="R345" s="1" t="n">
        <f aca="false">IF(N345="Yes",1,0)</f>
        <v>0</v>
      </c>
    </row>
    <row r="346" customFormat="false" ht="15" hidden="false" customHeight="true" outlineLevel="0" collapsed="false">
      <c r="A346" s="1" t="str">
        <f aca="false">'Cleaned Data'!A346</f>
        <v>S00342</v>
      </c>
      <c r="B346" s="1" t="str">
        <f aca="false">'Cleaned Data'!B346</f>
        <v>P9340</v>
      </c>
      <c r="C346" s="1" t="str">
        <f aca="false">'Cleaned Data'!C346</f>
        <v>davisheather</v>
      </c>
      <c r="D346" s="1" t="str">
        <f aca="false">'Cleaned Data'!D346</f>
        <v>Clash of Realms</v>
      </c>
      <c r="E346" s="1" t="str">
        <f aca="false">'Cleaned Data'!E346</f>
        <v>Mobile</v>
      </c>
      <c r="F346" s="1" t="str">
        <f aca="false">'Cleaned Data'!F346</f>
        <v>East</v>
      </c>
      <c r="G346" s="23" t="n">
        <f aca="false">'Cleaned Data'!G346</f>
        <v>45655</v>
      </c>
      <c r="H346" s="1" t="n">
        <f aca="false">'Cleaned Data'!H346</f>
        <v>166</v>
      </c>
      <c r="I346" s="24" t="n">
        <f aca="false">'Cleaned Data'!I346</f>
        <v>0</v>
      </c>
      <c r="J346" s="1" t="str">
        <f aca="false">'Cleaned Data'!J346</f>
        <v>None</v>
      </c>
      <c r="K346" s="1" t="str">
        <f aca="false">'Cleaned Data'!K346</f>
        <v>Incomplete</v>
      </c>
      <c r="L346" s="1" t="str">
        <f aca="false">'Cleaned Data'!L346</f>
        <v>Free</v>
      </c>
      <c r="M346" s="1" t="n">
        <f aca="false">'Cleaned Data'!M346</f>
        <v>30</v>
      </c>
      <c r="N346" s="1" t="str">
        <f aca="false">'Cleaned Data'!N346</f>
        <v>Yes</v>
      </c>
      <c r="O346" s="1" t="str">
        <f aca="false">TEXT(G346,"yyyy-mm")</f>
        <v>2024-12</v>
      </c>
      <c r="P346" s="1" t="str">
        <f aca="false">IF(H346&lt;20,"Low",IF(H346&lt;=60,"Medium","High"))</f>
        <v>High</v>
      </c>
      <c r="Q346" s="1" t="str">
        <f aca="false">IF(I346&gt;0,"Yes","No")</f>
        <v>No</v>
      </c>
      <c r="R346" s="1" t="n">
        <f aca="false">IF(N346="Yes",1,0)</f>
        <v>1</v>
      </c>
    </row>
    <row r="347" customFormat="false" ht="15" hidden="false" customHeight="true" outlineLevel="0" collapsed="false">
      <c r="A347" s="1" t="str">
        <f aca="false">'Cleaned Data'!A347</f>
        <v>S00343</v>
      </c>
      <c r="B347" s="1" t="str">
        <f aca="false">'Cleaned Data'!B347</f>
        <v>P6916</v>
      </c>
      <c r="C347" s="1" t="str">
        <f aca="false">'Cleaned Data'!C347</f>
        <v>amber18</v>
      </c>
      <c r="D347" s="1" t="str">
        <f aca="false">'Cleaned Data'!D347</f>
        <v>Empire Wars</v>
      </c>
      <c r="E347" s="1" t="str">
        <f aca="false">'Cleaned Data'!E347</f>
        <v>PC</v>
      </c>
      <c r="F347" s="1" t="str">
        <f aca="false">'Cleaned Data'!F347</f>
        <v>East</v>
      </c>
      <c r="G347" s="23" t="n">
        <f aca="false">'Cleaned Data'!G347</f>
        <v>45756</v>
      </c>
      <c r="H347" s="1" t="n">
        <f aca="false">'Cleaned Data'!H347</f>
        <v>42</v>
      </c>
      <c r="I347" s="24" t="n">
        <f aca="false">'Cleaned Data'!I347</f>
        <v>0</v>
      </c>
      <c r="J347" s="1" t="str">
        <f aca="false">'Cleaned Data'!J347</f>
        <v>None</v>
      </c>
      <c r="K347" s="1" t="str">
        <f aca="false">'Cleaned Data'!K347</f>
        <v>Completed</v>
      </c>
      <c r="L347" s="1" t="str">
        <f aca="false">'Cleaned Data'!L347</f>
        <v>Paid</v>
      </c>
      <c r="M347" s="1" t="n">
        <f aca="false">'Cleaned Data'!M347</f>
        <v>12</v>
      </c>
      <c r="N347" s="1" t="str">
        <f aca="false">'Cleaned Data'!N347</f>
        <v>No</v>
      </c>
      <c r="O347" s="1" t="str">
        <f aca="false">TEXT(G347,"yyyy-mm")</f>
        <v>2025-04</v>
      </c>
      <c r="P347" s="1" t="str">
        <f aca="false">IF(H347&lt;20,"Low",IF(H347&lt;=60,"Medium","High"))</f>
        <v>Medium</v>
      </c>
      <c r="Q347" s="1" t="str">
        <f aca="false">IF(I347&gt;0,"Yes","No")</f>
        <v>No</v>
      </c>
      <c r="R347" s="1" t="n">
        <f aca="false">IF(N347="Yes",1,0)</f>
        <v>0</v>
      </c>
    </row>
    <row r="348" customFormat="false" ht="15" hidden="false" customHeight="true" outlineLevel="0" collapsed="false">
      <c r="A348" s="1" t="str">
        <f aca="false">'Cleaned Data'!A348</f>
        <v>S00344</v>
      </c>
      <c r="B348" s="1" t="str">
        <f aca="false">'Cleaned Data'!B348</f>
        <v>P9975</v>
      </c>
      <c r="C348" s="1" t="str">
        <f aca="false">'Cleaned Data'!C348</f>
        <v>hollyjenkins</v>
      </c>
      <c r="D348" s="1" t="str">
        <f aca="false">'Cleaned Data'!D348</f>
        <v>Empire Wars</v>
      </c>
      <c r="E348" s="1" t="str">
        <f aca="false">'Cleaned Data'!E348</f>
        <v>PC</v>
      </c>
      <c r="F348" s="1" t="str">
        <f aca="false">'Cleaned Data'!F348</f>
        <v>South</v>
      </c>
      <c r="G348" s="23" t="n">
        <f aca="false">'Cleaned Data'!G348</f>
        <v>45780</v>
      </c>
      <c r="H348" s="1" t="n">
        <f aca="false">'Cleaned Data'!H348</f>
        <v>39</v>
      </c>
      <c r="I348" s="24" t="n">
        <f aca="false">'Cleaned Data'!I348</f>
        <v>0</v>
      </c>
      <c r="J348" s="1" t="str">
        <f aca="false">'Cleaned Data'!J348</f>
        <v>None</v>
      </c>
      <c r="K348" s="1" t="str">
        <f aca="false">'Cleaned Data'!K348</f>
        <v>Completed</v>
      </c>
      <c r="L348" s="1" t="str">
        <f aca="false">'Cleaned Data'!L348</f>
        <v>Free</v>
      </c>
      <c r="M348" s="1" t="n">
        <f aca="false">'Cleaned Data'!M348</f>
        <v>49</v>
      </c>
      <c r="N348" s="1" t="str">
        <f aca="false">'Cleaned Data'!N348</f>
        <v>No</v>
      </c>
      <c r="O348" s="1" t="str">
        <f aca="false">TEXT(G348,"yyyy-mm")</f>
        <v>2025-05</v>
      </c>
      <c r="P348" s="1" t="str">
        <f aca="false">IF(H348&lt;20,"Low",IF(H348&lt;=60,"Medium","High"))</f>
        <v>Medium</v>
      </c>
      <c r="Q348" s="1" t="str">
        <f aca="false">IF(I348&gt;0,"Yes","No")</f>
        <v>No</v>
      </c>
      <c r="R348" s="1" t="n">
        <f aca="false">IF(N348="Yes",1,0)</f>
        <v>0</v>
      </c>
    </row>
    <row r="349" customFormat="false" ht="15" hidden="false" customHeight="true" outlineLevel="0" collapsed="false">
      <c r="A349" s="1" t="str">
        <f aca="false">'Cleaned Data'!A349</f>
        <v>S00345</v>
      </c>
      <c r="B349" s="1" t="str">
        <f aca="false">'Cleaned Data'!B349</f>
        <v>P6815</v>
      </c>
      <c r="C349" s="1" t="str">
        <f aca="false">'Cleaned Data'!C349</f>
        <v>parkerpatricia</v>
      </c>
      <c r="D349" s="1" t="str">
        <f aca="false">'Cleaned Data'!D349</f>
        <v>Clash of Realms</v>
      </c>
      <c r="E349" s="1" t="str">
        <f aca="false">'Cleaned Data'!E349</f>
        <v>Mobile</v>
      </c>
      <c r="F349" s="1" t="str">
        <f aca="false">'Cleaned Data'!F349</f>
        <v>North-East</v>
      </c>
      <c r="G349" s="23" t="n">
        <f aca="false">'Cleaned Data'!G349</f>
        <v>45766</v>
      </c>
      <c r="H349" s="1" t="n">
        <f aca="false">'Cleaned Data'!H349</f>
        <v>91</v>
      </c>
      <c r="I349" s="24" t="n">
        <f aca="false">'Cleaned Data'!I349</f>
        <v>13.08</v>
      </c>
      <c r="J349" s="1" t="str">
        <f aca="false">'Cleaned Data'!J349</f>
        <v>Skins</v>
      </c>
      <c r="K349" s="1" t="str">
        <f aca="false">'Cleaned Data'!K349</f>
        <v>Completed</v>
      </c>
      <c r="L349" s="1" t="str">
        <f aca="false">'Cleaned Data'!L349</f>
        <v>Paid</v>
      </c>
      <c r="M349" s="1" t="n">
        <f aca="false">'Cleaned Data'!M349</f>
        <v>17</v>
      </c>
      <c r="N349" s="1" t="str">
        <f aca="false">'Cleaned Data'!N349</f>
        <v>No</v>
      </c>
      <c r="O349" s="1" t="str">
        <f aca="false">TEXT(G349,"yyyy-mm")</f>
        <v>2025-04</v>
      </c>
      <c r="P349" s="1" t="str">
        <f aca="false">IF(H349&lt;20,"Low",IF(H349&lt;=60,"Medium","High"))</f>
        <v>High</v>
      </c>
      <c r="Q349" s="1" t="str">
        <f aca="false">IF(I349&gt;0,"Yes","No")</f>
        <v>Yes</v>
      </c>
      <c r="R349" s="1" t="n">
        <f aca="false">IF(N349="Yes",1,0)</f>
        <v>0</v>
      </c>
    </row>
    <row r="350" customFormat="false" ht="15" hidden="false" customHeight="true" outlineLevel="0" collapsed="false">
      <c r="A350" s="1" t="str">
        <f aca="false">'Cleaned Data'!A350</f>
        <v>S00346</v>
      </c>
      <c r="B350" s="1" t="str">
        <f aca="false">'Cleaned Data'!B350</f>
        <v>P4525</v>
      </c>
      <c r="C350" s="1" t="str">
        <f aca="false">'Cleaned Data'!C350</f>
        <v>kellergregory</v>
      </c>
      <c r="D350" s="1" t="str">
        <f aca="false">'Cleaned Data'!D350</f>
        <v>Zombie Rush</v>
      </c>
      <c r="E350" s="1" t="str">
        <f aca="false">'Cleaned Data'!E350</f>
        <v>Mobile</v>
      </c>
      <c r="F350" s="1" t="str">
        <f aca="false">'Cleaned Data'!F350</f>
        <v>Central</v>
      </c>
      <c r="G350" s="23" t="n">
        <f aca="false">'Cleaned Data'!G350</f>
        <v>45782</v>
      </c>
      <c r="H350" s="1" t="n">
        <f aca="false">'Cleaned Data'!H350</f>
        <v>30</v>
      </c>
      <c r="I350" s="24" t="n">
        <f aca="false">'Cleaned Data'!I350</f>
        <v>0</v>
      </c>
      <c r="J350" s="1" t="str">
        <f aca="false">'Cleaned Data'!J350</f>
        <v>None</v>
      </c>
      <c r="K350" s="1" t="str">
        <f aca="false">'Cleaned Data'!K350</f>
        <v>Incomplete</v>
      </c>
      <c r="L350" s="1" t="str">
        <f aca="false">'Cleaned Data'!L350</f>
        <v>Free</v>
      </c>
      <c r="M350" s="1" t="n">
        <f aca="false">'Cleaned Data'!M350</f>
        <v>42</v>
      </c>
      <c r="N350" s="1" t="str">
        <f aca="false">'Cleaned Data'!N350</f>
        <v>No</v>
      </c>
      <c r="O350" s="1" t="str">
        <f aca="false">TEXT(G350,"yyyy-mm")</f>
        <v>2025-05</v>
      </c>
      <c r="P350" s="1" t="str">
        <f aca="false">IF(H350&lt;20,"Low",IF(H350&lt;=60,"Medium","High"))</f>
        <v>Medium</v>
      </c>
      <c r="Q350" s="1" t="str">
        <f aca="false">IF(I350&gt;0,"Yes","No")</f>
        <v>No</v>
      </c>
      <c r="R350" s="1" t="n">
        <f aca="false">IF(N350="Yes",1,0)</f>
        <v>0</v>
      </c>
    </row>
    <row r="351" customFormat="false" ht="15" hidden="false" customHeight="true" outlineLevel="0" collapsed="false">
      <c r="A351" s="1" t="str">
        <f aca="false">'Cleaned Data'!A351</f>
        <v>S00347</v>
      </c>
      <c r="B351" s="1" t="str">
        <f aca="false">'Cleaned Data'!B351</f>
        <v>P8336</v>
      </c>
      <c r="C351" s="1" t="str">
        <f aca="false">'Cleaned Data'!C351</f>
        <v>michellewilliams</v>
      </c>
      <c r="D351" s="1" t="str">
        <f aca="false">'Cleaned Data'!D351</f>
        <v>BattleZone</v>
      </c>
      <c r="E351" s="1" t="str">
        <f aca="false">'Cleaned Data'!E351</f>
        <v>Mobile</v>
      </c>
      <c r="F351" s="1" t="str">
        <f aca="false">'Cleaned Data'!F351</f>
        <v>North-East</v>
      </c>
      <c r="G351" s="23" t="n">
        <f aca="false">'Cleaned Data'!G351</f>
        <v>45639</v>
      </c>
      <c r="H351" s="1" t="n">
        <f aca="false">'Cleaned Data'!H351</f>
        <v>44</v>
      </c>
      <c r="I351" s="24" t="n">
        <f aca="false">'Cleaned Data'!I351</f>
        <v>0</v>
      </c>
      <c r="J351" s="1" t="str">
        <f aca="false">'Cleaned Data'!J351</f>
        <v>None</v>
      </c>
      <c r="K351" s="1" t="str">
        <f aca="false">'Cleaned Data'!K351</f>
        <v>Completed</v>
      </c>
      <c r="L351" s="1" t="str">
        <f aca="false">'Cleaned Data'!L351</f>
        <v>Free</v>
      </c>
      <c r="M351" s="1" t="n">
        <f aca="false">'Cleaned Data'!M351</f>
        <v>19</v>
      </c>
      <c r="N351" s="1" t="str">
        <f aca="false">'Cleaned Data'!N351</f>
        <v>No</v>
      </c>
      <c r="O351" s="1" t="str">
        <f aca="false">TEXT(G351,"yyyy-mm")</f>
        <v>2024-12</v>
      </c>
      <c r="P351" s="1" t="str">
        <f aca="false">IF(H351&lt;20,"Low",IF(H351&lt;=60,"Medium","High"))</f>
        <v>Medium</v>
      </c>
      <c r="Q351" s="1" t="str">
        <f aca="false">IF(I351&gt;0,"Yes","No")</f>
        <v>No</v>
      </c>
      <c r="R351" s="1" t="n">
        <f aca="false">IF(N351="Yes",1,0)</f>
        <v>0</v>
      </c>
    </row>
    <row r="352" customFormat="false" ht="15" hidden="false" customHeight="true" outlineLevel="0" collapsed="false">
      <c r="A352" s="1" t="str">
        <f aca="false">'Cleaned Data'!A352</f>
        <v>S00348</v>
      </c>
      <c r="B352" s="1" t="str">
        <f aca="false">'Cleaned Data'!B352</f>
        <v>P6418</v>
      </c>
      <c r="C352" s="1" t="str">
        <f aca="false">'Cleaned Data'!C352</f>
        <v>ericmoore</v>
      </c>
      <c r="D352" s="1" t="str">
        <f aca="false">'Cleaned Data'!D352</f>
        <v>Zombie Rush</v>
      </c>
      <c r="E352" s="1" t="str">
        <f aca="false">'Cleaned Data'!E352</f>
        <v>PC</v>
      </c>
      <c r="F352" s="1" t="str">
        <f aca="false">'Cleaned Data'!F352</f>
        <v>West</v>
      </c>
      <c r="G352" s="23" t="n">
        <f aca="false">'Cleaned Data'!G352</f>
        <v>45730</v>
      </c>
      <c r="H352" s="1" t="n">
        <f aca="false">'Cleaned Data'!H352</f>
        <v>57</v>
      </c>
      <c r="I352" s="24" t="n">
        <f aca="false">'Cleaned Data'!I352</f>
        <v>0</v>
      </c>
      <c r="J352" s="1" t="str">
        <f aca="false">'Cleaned Data'!J352</f>
        <v>None</v>
      </c>
      <c r="K352" s="1" t="str">
        <f aca="false">'Cleaned Data'!K352</f>
        <v>Completed</v>
      </c>
      <c r="L352" s="1" t="str">
        <f aca="false">'Cleaned Data'!L352</f>
        <v>Paid</v>
      </c>
      <c r="M352" s="1" t="n">
        <f aca="false">'Cleaned Data'!M352</f>
        <v>29</v>
      </c>
      <c r="N352" s="1" t="str">
        <f aca="false">'Cleaned Data'!N352</f>
        <v>No</v>
      </c>
      <c r="O352" s="1" t="str">
        <f aca="false">TEXT(G352,"yyyy-mm")</f>
        <v>2025-03</v>
      </c>
      <c r="P352" s="1" t="str">
        <f aca="false">IF(H352&lt;20,"Low",IF(H352&lt;=60,"Medium","High"))</f>
        <v>Medium</v>
      </c>
      <c r="Q352" s="1" t="str">
        <f aca="false">IF(I352&gt;0,"Yes","No")</f>
        <v>No</v>
      </c>
      <c r="R352" s="1" t="n">
        <f aca="false">IF(N352="Yes",1,0)</f>
        <v>0</v>
      </c>
    </row>
    <row r="353" customFormat="false" ht="15" hidden="false" customHeight="true" outlineLevel="0" collapsed="false">
      <c r="A353" s="1" t="str">
        <f aca="false">'Cleaned Data'!A353</f>
        <v>S00349</v>
      </c>
      <c r="B353" s="1" t="str">
        <f aca="false">'Cleaned Data'!B353</f>
        <v>P9419</v>
      </c>
      <c r="C353" s="1" t="str">
        <f aca="false">'Cleaned Data'!C353</f>
        <v>angelaramsey</v>
      </c>
      <c r="D353" s="1" t="str">
        <f aca="false">'Cleaned Data'!D353</f>
        <v>BattleZone</v>
      </c>
      <c r="E353" s="1" t="str">
        <f aca="false">'Cleaned Data'!E353</f>
        <v>Console</v>
      </c>
      <c r="F353" s="1" t="str">
        <f aca="false">'Cleaned Data'!F353</f>
        <v>South</v>
      </c>
      <c r="G353" s="23" t="n">
        <f aca="false">'Cleaned Data'!G353</f>
        <v>45807</v>
      </c>
      <c r="H353" s="1" t="n">
        <f aca="false">'Cleaned Data'!H353</f>
        <v>165</v>
      </c>
      <c r="I353" s="24" t="n">
        <f aca="false">'Cleaned Data'!I353</f>
        <v>0</v>
      </c>
      <c r="J353" s="1" t="str">
        <f aca="false">'Cleaned Data'!J353</f>
        <v>None</v>
      </c>
      <c r="K353" s="1" t="str">
        <f aca="false">'Cleaned Data'!K353</f>
        <v>Completed</v>
      </c>
      <c r="L353" s="1" t="str">
        <f aca="false">'Cleaned Data'!L353</f>
        <v>Free</v>
      </c>
      <c r="M353" s="1" t="n">
        <f aca="false">'Cleaned Data'!M353</f>
        <v>15</v>
      </c>
      <c r="N353" s="1" t="str">
        <f aca="false">'Cleaned Data'!N353</f>
        <v>Yes</v>
      </c>
      <c r="O353" s="1" t="str">
        <f aca="false">TEXT(G353,"yyyy-mm")</f>
        <v>2025-05</v>
      </c>
      <c r="P353" s="1" t="str">
        <f aca="false">IF(H353&lt;20,"Low",IF(H353&lt;=60,"Medium","High"))</f>
        <v>High</v>
      </c>
      <c r="Q353" s="1" t="str">
        <f aca="false">IF(I353&gt;0,"Yes","No")</f>
        <v>No</v>
      </c>
      <c r="R353" s="1" t="n">
        <f aca="false">IF(N353="Yes",1,0)</f>
        <v>1</v>
      </c>
    </row>
    <row r="354" customFormat="false" ht="15" hidden="false" customHeight="true" outlineLevel="0" collapsed="false">
      <c r="A354" s="1" t="str">
        <f aca="false">'Cleaned Data'!A354</f>
        <v>S00350</v>
      </c>
      <c r="B354" s="1" t="str">
        <f aca="false">'Cleaned Data'!B354</f>
        <v>P9081</v>
      </c>
      <c r="C354" s="1" t="str">
        <f aca="false">'Cleaned Data'!C354</f>
        <v>brooke04</v>
      </c>
      <c r="D354" s="1" t="str">
        <f aca="false">'Cleaned Data'!D354</f>
        <v>SpeedX</v>
      </c>
      <c r="E354" s="1" t="str">
        <f aca="false">'Cleaned Data'!E354</f>
        <v>Console</v>
      </c>
      <c r="F354" s="1" t="str">
        <f aca="false">'Cleaned Data'!F354</f>
        <v>East</v>
      </c>
      <c r="G354" s="23" t="n">
        <f aca="false">'Cleaned Data'!G354</f>
        <v>45712</v>
      </c>
      <c r="H354" s="1" t="n">
        <f aca="false">'Cleaned Data'!H354</f>
        <v>22</v>
      </c>
      <c r="I354" s="24" t="n">
        <f aca="false">'Cleaned Data'!I354</f>
        <v>0</v>
      </c>
      <c r="J354" s="1" t="str">
        <f aca="false">'Cleaned Data'!J354</f>
        <v>None</v>
      </c>
      <c r="K354" s="1" t="str">
        <f aca="false">'Cleaned Data'!K354</f>
        <v>Completed</v>
      </c>
      <c r="L354" s="1" t="str">
        <f aca="false">'Cleaned Data'!L354</f>
        <v>Free</v>
      </c>
      <c r="M354" s="1" t="n">
        <f aca="false">'Cleaned Data'!M354</f>
        <v>22</v>
      </c>
      <c r="N354" s="1" t="str">
        <f aca="false">'Cleaned Data'!N354</f>
        <v>No</v>
      </c>
      <c r="O354" s="1" t="str">
        <f aca="false">TEXT(G354,"yyyy-mm")</f>
        <v>2025-02</v>
      </c>
      <c r="P354" s="1" t="str">
        <f aca="false">IF(H354&lt;20,"Low",IF(H354&lt;=60,"Medium","High"))</f>
        <v>Medium</v>
      </c>
      <c r="Q354" s="1" t="str">
        <f aca="false">IF(I354&gt;0,"Yes","No")</f>
        <v>No</v>
      </c>
      <c r="R354" s="1" t="n">
        <f aca="false">IF(N354="Yes",1,0)</f>
        <v>0</v>
      </c>
    </row>
    <row r="355" customFormat="false" ht="15" hidden="false" customHeight="true" outlineLevel="0" collapsed="false">
      <c r="A355" s="1" t="str">
        <f aca="false">'Cleaned Data'!A355</f>
        <v>S00351</v>
      </c>
      <c r="B355" s="1" t="str">
        <f aca="false">'Cleaned Data'!B355</f>
        <v>P7887</v>
      </c>
      <c r="C355" s="1" t="str">
        <f aca="false">'Cleaned Data'!C355</f>
        <v>nicholas09</v>
      </c>
      <c r="D355" s="1" t="str">
        <f aca="false">'Cleaned Data'!D355</f>
        <v>SpeedX</v>
      </c>
      <c r="E355" s="1" t="str">
        <f aca="false">'Cleaned Data'!E355</f>
        <v>Console</v>
      </c>
      <c r="F355" s="1" t="str">
        <f aca="false">'Cleaned Data'!F355</f>
        <v>West</v>
      </c>
      <c r="G355" s="23" t="n">
        <f aca="false">'Cleaned Data'!G355</f>
        <v>45696</v>
      </c>
      <c r="H355" s="1" t="n">
        <f aca="false">'Cleaned Data'!H355</f>
        <v>21</v>
      </c>
      <c r="I355" s="24" t="n">
        <f aca="false">'Cleaned Data'!I355</f>
        <v>0</v>
      </c>
      <c r="J355" s="1" t="str">
        <f aca="false">'Cleaned Data'!J355</f>
        <v>None</v>
      </c>
      <c r="K355" s="1" t="str">
        <f aca="false">'Cleaned Data'!K355</f>
        <v>Completed</v>
      </c>
      <c r="L355" s="1" t="str">
        <f aca="false">'Cleaned Data'!L355</f>
        <v>Free</v>
      </c>
      <c r="M355" s="1" t="n">
        <f aca="false">'Cleaned Data'!M355</f>
        <v>46</v>
      </c>
      <c r="N355" s="1" t="str">
        <f aca="false">'Cleaned Data'!N355</f>
        <v>No</v>
      </c>
      <c r="O355" s="1" t="str">
        <f aca="false">TEXT(G355,"yyyy-mm")</f>
        <v>2025-02</v>
      </c>
      <c r="P355" s="1" t="str">
        <f aca="false">IF(H355&lt;20,"Low",IF(H355&lt;=60,"Medium","High"))</f>
        <v>Medium</v>
      </c>
      <c r="Q355" s="1" t="str">
        <f aca="false">IF(I355&gt;0,"Yes","No")</f>
        <v>No</v>
      </c>
      <c r="R355" s="1" t="n">
        <f aca="false">IF(N355="Yes",1,0)</f>
        <v>0</v>
      </c>
    </row>
    <row r="356" customFormat="false" ht="15" hidden="false" customHeight="true" outlineLevel="0" collapsed="false">
      <c r="A356" s="1" t="str">
        <f aca="false">'Cleaned Data'!A356</f>
        <v>S00352</v>
      </c>
      <c r="B356" s="1" t="str">
        <f aca="false">'Cleaned Data'!B356</f>
        <v>P8561</v>
      </c>
      <c r="C356" s="1" t="str">
        <f aca="false">'Cleaned Data'!C356</f>
        <v>boonekristen</v>
      </c>
      <c r="D356" s="1" t="str">
        <f aca="false">'Cleaned Data'!D356</f>
        <v>Zombie Rush</v>
      </c>
      <c r="E356" s="1" t="str">
        <f aca="false">'Cleaned Data'!E356</f>
        <v>Mobile</v>
      </c>
      <c r="F356" s="1" t="str">
        <f aca="false">'Cleaned Data'!F356</f>
        <v>North-East</v>
      </c>
      <c r="G356" s="23" t="n">
        <f aca="false">'Cleaned Data'!G356</f>
        <v>45731</v>
      </c>
      <c r="H356" s="1" t="n">
        <f aca="false">'Cleaned Data'!H356</f>
        <v>127</v>
      </c>
      <c r="I356" s="24" t="n">
        <f aca="false">'Cleaned Data'!I356</f>
        <v>0</v>
      </c>
      <c r="J356" s="1" t="str">
        <f aca="false">'Cleaned Data'!J356</f>
        <v>None</v>
      </c>
      <c r="K356" s="1" t="str">
        <f aca="false">'Cleaned Data'!K356</f>
        <v>Completed</v>
      </c>
      <c r="L356" s="1" t="str">
        <f aca="false">'Cleaned Data'!L356</f>
        <v>Free</v>
      </c>
      <c r="M356" s="1" t="n">
        <f aca="false">'Cleaned Data'!M356</f>
        <v>13</v>
      </c>
      <c r="N356" s="1" t="str">
        <f aca="false">'Cleaned Data'!N356</f>
        <v>No</v>
      </c>
      <c r="O356" s="1" t="str">
        <f aca="false">TEXT(G356,"yyyy-mm")</f>
        <v>2025-03</v>
      </c>
      <c r="P356" s="1" t="str">
        <f aca="false">IF(H356&lt;20,"Low",IF(H356&lt;=60,"Medium","High"))</f>
        <v>High</v>
      </c>
      <c r="Q356" s="1" t="str">
        <f aca="false">IF(I356&gt;0,"Yes","No")</f>
        <v>No</v>
      </c>
      <c r="R356" s="1" t="n">
        <f aca="false">IF(N356="Yes",1,0)</f>
        <v>0</v>
      </c>
    </row>
    <row r="357" customFormat="false" ht="15" hidden="false" customHeight="true" outlineLevel="0" collapsed="false">
      <c r="A357" s="1" t="str">
        <f aca="false">'Cleaned Data'!A357</f>
        <v>S00353</v>
      </c>
      <c r="B357" s="1" t="str">
        <f aca="false">'Cleaned Data'!B357</f>
        <v>P2482</v>
      </c>
      <c r="C357" s="1" t="str">
        <f aca="false">'Cleaned Data'!C357</f>
        <v>udavis</v>
      </c>
      <c r="D357" s="1" t="str">
        <f aca="false">'Cleaned Data'!D357</f>
        <v>Clash of Realms</v>
      </c>
      <c r="E357" s="1" t="str">
        <f aca="false">'Cleaned Data'!E357</f>
        <v>Mobile</v>
      </c>
      <c r="F357" s="1" t="str">
        <f aca="false">'Cleaned Data'!F357</f>
        <v>West</v>
      </c>
      <c r="G357" s="23" t="n">
        <f aca="false">'Cleaned Data'!G357</f>
        <v>45711</v>
      </c>
      <c r="H357" s="1" t="n">
        <f aca="false">'Cleaned Data'!H357</f>
        <v>21</v>
      </c>
      <c r="I357" s="24" t="n">
        <f aca="false">'Cleaned Data'!I357</f>
        <v>0</v>
      </c>
      <c r="J357" s="1" t="str">
        <f aca="false">'Cleaned Data'!J357</f>
        <v>None</v>
      </c>
      <c r="K357" s="1" t="str">
        <f aca="false">'Cleaned Data'!K357</f>
        <v>Completed</v>
      </c>
      <c r="L357" s="1" t="str">
        <f aca="false">'Cleaned Data'!L357</f>
        <v>Free</v>
      </c>
      <c r="M357" s="1" t="n">
        <f aca="false">'Cleaned Data'!M357</f>
        <v>2</v>
      </c>
      <c r="N357" s="1" t="str">
        <f aca="false">'Cleaned Data'!N357</f>
        <v>No</v>
      </c>
      <c r="O357" s="1" t="str">
        <f aca="false">TEXT(G357,"yyyy-mm")</f>
        <v>2025-02</v>
      </c>
      <c r="P357" s="1" t="str">
        <f aca="false">IF(H357&lt;20,"Low",IF(H357&lt;=60,"Medium","High"))</f>
        <v>Medium</v>
      </c>
      <c r="Q357" s="1" t="str">
        <f aca="false">IF(I357&gt;0,"Yes","No")</f>
        <v>No</v>
      </c>
      <c r="R357" s="1" t="n">
        <f aca="false">IF(N357="Yes",1,0)</f>
        <v>0</v>
      </c>
    </row>
    <row r="358" customFormat="false" ht="15" hidden="false" customHeight="true" outlineLevel="0" collapsed="false">
      <c r="A358" s="1" t="str">
        <f aca="false">'Cleaned Data'!A358</f>
        <v>S00354</v>
      </c>
      <c r="B358" s="1" t="str">
        <f aca="false">'Cleaned Data'!B358</f>
        <v>P4996</v>
      </c>
      <c r="C358" s="1" t="str">
        <f aca="false">'Cleaned Data'!C358</f>
        <v>jmcknight</v>
      </c>
      <c r="D358" s="1" t="str">
        <f aca="false">'Cleaned Data'!D358</f>
        <v>Empire Wars</v>
      </c>
      <c r="E358" s="1" t="str">
        <f aca="false">'Cleaned Data'!E358</f>
        <v>Console</v>
      </c>
      <c r="F358" s="1" t="str">
        <f aca="false">'Cleaned Data'!F358</f>
        <v>South</v>
      </c>
      <c r="G358" s="23" t="n">
        <f aca="false">'Cleaned Data'!G358</f>
        <v>45717</v>
      </c>
      <c r="H358" s="1" t="n">
        <f aca="false">'Cleaned Data'!H358</f>
        <v>136</v>
      </c>
      <c r="I358" s="24" t="n">
        <f aca="false">'Cleaned Data'!I358</f>
        <v>0</v>
      </c>
      <c r="J358" s="1" t="str">
        <f aca="false">'Cleaned Data'!J358</f>
        <v>None</v>
      </c>
      <c r="K358" s="1" t="str">
        <f aca="false">'Cleaned Data'!K358</f>
        <v>Completed</v>
      </c>
      <c r="L358" s="1" t="str">
        <f aca="false">'Cleaned Data'!L358</f>
        <v>Free</v>
      </c>
      <c r="M358" s="1" t="n">
        <f aca="false">'Cleaned Data'!M358</f>
        <v>50</v>
      </c>
      <c r="N358" s="1" t="str">
        <f aca="false">'Cleaned Data'!N358</f>
        <v>No</v>
      </c>
      <c r="O358" s="1" t="str">
        <f aca="false">TEXT(G358,"yyyy-mm")</f>
        <v>2025-03</v>
      </c>
      <c r="P358" s="1" t="str">
        <f aca="false">IF(H358&lt;20,"Low",IF(H358&lt;=60,"Medium","High"))</f>
        <v>High</v>
      </c>
      <c r="Q358" s="1" t="str">
        <f aca="false">IF(I358&gt;0,"Yes","No")</f>
        <v>No</v>
      </c>
      <c r="R358" s="1" t="n">
        <f aca="false">IF(N358="Yes",1,0)</f>
        <v>0</v>
      </c>
    </row>
    <row r="359" customFormat="false" ht="15" hidden="false" customHeight="true" outlineLevel="0" collapsed="false">
      <c r="A359" s="1" t="str">
        <f aca="false">'Cleaned Data'!A359</f>
        <v>S00355</v>
      </c>
      <c r="B359" s="1" t="str">
        <f aca="false">'Cleaned Data'!B359</f>
        <v>P2102</v>
      </c>
      <c r="C359" s="1" t="str">
        <f aca="false">'Cleaned Data'!C359</f>
        <v>sarahlawrence</v>
      </c>
      <c r="D359" s="1" t="str">
        <f aca="false">'Cleaned Data'!D359</f>
        <v>Zombie Rush</v>
      </c>
      <c r="E359" s="1" t="str">
        <f aca="false">'Cleaned Data'!E359</f>
        <v>Console</v>
      </c>
      <c r="F359" s="1" t="str">
        <f aca="false">'Cleaned Data'!F359</f>
        <v>South</v>
      </c>
      <c r="G359" s="23" t="n">
        <f aca="false">'Cleaned Data'!G359</f>
        <v>45770</v>
      </c>
      <c r="H359" s="1" t="n">
        <f aca="false">'Cleaned Data'!H359</f>
        <v>41</v>
      </c>
      <c r="I359" s="24" t="n">
        <f aca="false">'Cleaned Data'!I359</f>
        <v>0</v>
      </c>
      <c r="J359" s="1" t="str">
        <f aca="false">'Cleaned Data'!J359</f>
        <v>None</v>
      </c>
      <c r="K359" s="1" t="str">
        <f aca="false">'Cleaned Data'!K359</f>
        <v>Completed</v>
      </c>
      <c r="L359" s="1" t="str">
        <f aca="false">'Cleaned Data'!L359</f>
        <v>Free</v>
      </c>
      <c r="M359" s="1" t="n">
        <f aca="false">'Cleaned Data'!M359</f>
        <v>27</v>
      </c>
      <c r="N359" s="1" t="str">
        <f aca="false">'Cleaned Data'!N359</f>
        <v>No</v>
      </c>
      <c r="O359" s="1" t="str">
        <f aca="false">TEXT(G359,"yyyy-mm")</f>
        <v>2025-04</v>
      </c>
      <c r="P359" s="1" t="str">
        <f aca="false">IF(H359&lt;20,"Low",IF(H359&lt;=60,"Medium","High"))</f>
        <v>Medium</v>
      </c>
      <c r="Q359" s="1" t="str">
        <f aca="false">IF(I359&gt;0,"Yes","No")</f>
        <v>No</v>
      </c>
      <c r="R359" s="1" t="n">
        <f aca="false">IF(N359="Yes",1,0)</f>
        <v>0</v>
      </c>
    </row>
    <row r="360" customFormat="false" ht="15" hidden="false" customHeight="true" outlineLevel="0" collapsed="false">
      <c r="A360" s="1" t="str">
        <f aca="false">'Cleaned Data'!A360</f>
        <v>S00356</v>
      </c>
      <c r="B360" s="1" t="str">
        <f aca="false">'Cleaned Data'!B360</f>
        <v>P9101</v>
      </c>
      <c r="C360" s="1" t="str">
        <f aca="false">'Cleaned Data'!C360</f>
        <v>hardychristopher</v>
      </c>
      <c r="D360" s="1" t="str">
        <f aca="false">'Cleaned Data'!D360</f>
        <v>BattleZone</v>
      </c>
      <c r="E360" s="1" t="str">
        <f aca="false">'Cleaned Data'!E360</f>
        <v>Mobile</v>
      </c>
      <c r="F360" s="1" t="str">
        <f aca="false">'Cleaned Data'!F360</f>
        <v>Central</v>
      </c>
      <c r="G360" s="23" t="n">
        <f aca="false">'Cleaned Data'!G360</f>
        <v>45798</v>
      </c>
      <c r="H360" s="1" t="n">
        <f aca="false">'Cleaned Data'!H360</f>
        <v>104</v>
      </c>
      <c r="I360" s="24" t="n">
        <f aca="false">'Cleaned Data'!I360</f>
        <v>0</v>
      </c>
      <c r="J360" s="1" t="str">
        <f aca="false">'Cleaned Data'!J360</f>
        <v>None</v>
      </c>
      <c r="K360" s="1" t="str">
        <f aca="false">'Cleaned Data'!K360</f>
        <v>Completed</v>
      </c>
      <c r="L360" s="1" t="str">
        <f aca="false">'Cleaned Data'!L360</f>
        <v>Free</v>
      </c>
      <c r="M360" s="1" t="n">
        <f aca="false">'Cleaned Data'!M360</f>
        <v>14</v>
      </c>
      <c r="N360" s="1" t="str">
        <f aca="false">'Cleaned Data'!N360</f>
        <v>No</v>
      </c>
      <c r="O360" s="1" t="str">
        <f aca="false">TEXT(G360,"yyyy-mm")</f>
        <v>2025-05</v>
      </c>
      <c r="P360" s="1" t="str">
        <f aca="false">IF(H360&lt;20,"Low",IF(H360&lt;=60,"Medium","High"))</f>
        <v>High</v>
      </c>
      <c r="Q360" s="1" t="str">
        <f aca="false">IF(I360&gt;0,"Yes","No")</f>
        <v>No</v>
      </c>
      <c r="R360" s="1" t="n">
        <f aca="false">IF(N360="Yes",1,0)</f>
        <v>0</v>
      </c>
    </row>
    <row r="361" customFormat="false" ht="15" hidden="false" customHeight="true" outlineLevel="0" collapsed="false">
      <c r="A361" s="1" t="str">
        <f aca="false">'Cleaned Data'!A361</f>
        <v>S00357</v>
      </c>
      <c r="B361" s="1" t="str">
        <f aca="false">'Cleaned Data'!B361</f>
        <v>P7149</v>
      </c>
      <c r="C361" s="1" t="str">
        <f aca="false">'Cleaned Data'!C361</f>
        <v>sara36</v>
      </c>
      <c r="D361" s="1" t="str">
        <f aca="false">'Cleaned Data'!D361</f>
        <v>Zombie Rush</v>
      </c>
      <c r="E361" s="1" t="str">
        <f aca="false">'Cleaned Data'!E361</f>
        <v>Console</v>
      </c>
      <c r="F361" s="1" t="str">
        <f aca="false">'Cleaned Data'!F361</f>
        <v>Central</v>
      </c>
      <c r="G361" s="23" t="n">
        <f aca="false">'Cleaned Data'!G361</f>
        <v>45689</v>
      </c>
      <c r="H361" s="1" t="n">
        <f aca="false">'Cleaned Data'!H361</f>
        <v>84</v>
      </c>
      <c r="I361" s="24" t="n">
        <f aca="false">'Cleaned Data'!I361</f>
        <v>23.18</v>
      </c>
      <c r="J361" s="1" t="str">
        <f aca="false">'Cleaned Data'!J361</f>
        <v>Subscriptions</v>
      </c>
      <c r="K361" s="1" t="str">
        <f aca="false">'Cleaned Data'!K361</f>
        <v>Completed</v>
      </c>
      <c r="L361" s="1" t="str">
        <f aca="false">'Cleaned Data'!L361</f>
        <v>Paid</v>
      </c>
      <c r="M361" s="1" t="n">
        <f aca="false">'Cleaned Data'!M361</f>
        <v>2</v>
      </c>
      <c r="N361" s="1" t="str">
        <f aca="false">'Cleaned Data'!N361</f>
        <v>No</v>
      </c>
      <c r="O361" s="1" t="str">
        <f aca="false">TEXT(G361,"yyyy-mm")</f>
        <v>2025-02</v>
      </c>
      <c r="P361" s="1" t="str">
        <f aca="false">IF(H361&lt;20,"Low",IF(H361&lt;=60,"Medium","High"))</f>
        <v>High</v>
      </c>
      <c r="Q361" s="1" t="str">
        <f aca="false">IF(I361&gt;0,"Yes","No")</f>
        <v>Yes</v>
      </c>
      <c r="R361" s="1" t="n">
        <f aca="false">IF(N361="Yes",1,0)</f>
        <v>0</v>
      </c>
    </row>
    <row r="362" customFormat="false" ht="15" hidden="false" customHeight="true" outlineLevel="0" collapsed="false">
      <c r="A362" s="1" t="str">
        <f aca="false">'Cleaned Data'!A362</f>
        <v>S00358</v>
      </c>
      <c r="B362" s="1" t="str">
        <f aca="false">'Cleaned Data'!B362</f>
        <v>P1901</v>
      </c>
      <c r="C362" s="1" t="str">
        <f aca="false">'Cleaned Data'!C362</f>
        <v>leestewart</v>
      </c>
      <c r="D362" s="1" t="str">
        <f aca="false">'Cleaned Data'!D362</f>
        <v>Empire Wars</v>
      </c>
      <c r="E362" s="1" t="str">
        <f aca="false">'Cleaned Data'!E362</f>
        <v>PC</v>
      </c>
      <c r="F362" s="1" t="str">
        <f aca="false">'Cleaned Data'!F362</f>
        <v>South</v>
      </c>
      <c r="G362" s="23" t="n">
        <f aca="false">'Cleaned Data'!G362</f>
        <v>45801</v>
      </c>
      <c r="H362" s="1" t="n">
        <f aca="false">'Cleaned Data'!H362</f>
        <v>71</v>
      </c>
      <c r="I362" s="24" t="n">
        <f aca="false">'Cleaned Data'!I362</f>
        <v>0</v>
      </c>
      <c r="J362" s="1" t="str">
        <f aca="false">'Cleaned Data'!J362</f>
        <v>None</v>
      </c>
      <c r="K362" s="1" t="str">
        <f aca="false">'Cleaned Data'!K362</f>
        <v>Completed</v>
      </c>
      <c r="L362" s="1" t="str">
        <f aca="false">'Cleaned Data'!L362</f>
        <v>Paid</v>
      </c>
      <c r="M362" s="1" t="n">
        <f aca="false">'Cleaned Data'!M362</f>
        <v>5</v>
      </c>
      <c r="N362" s="1" t="str">
        <f aca="false">'Cleaned Data'!N362</f>
        <v>No</v>
      </c>
      <c r="O362" s="1" t="str">
        <f aca="false">TEXT(G362,"yyyy-mm")</f>
        <v>2025-05</v>
      </c>
      <c r="P362" s="1" t="str">
        <f aca="false">IF(H362&lt;20,"Low",IF(H362&lt;=60,"Medium","High"))</f>
        <v>High</v>
      </c>
      <c r="Q362" s="1" t="str">
        <f aca="false">IF(I362&gt;0,"Yes","No")</f>
        <v>No</v>
      </c>
      <c r="R362" s="1" t="n">
        <f aca="false">IF(N362="Yes",1,0)</f>
        <v>0</v>
      </c>
    </row>
    <row r="363" customFormat="false" ht="15" hidden="false" customHeight="true" outlineLevel="0" collapsed="false">
      <c r="A363" s="1" t="str">
        <f aca="false">'Cleaned Data'!A363</f>
        <v>S00359</v>
      </c>
      <c r="B363" s="1" t="str">
        <f aca="false">'Cleaned Data'!B363</f>
        <v>P8092</v>
      </c>
      <c r="C363" s="1" t="str">
        <f aca="false">'Cleaned Data'!C363</f>
        <v>lisacoffey</v>
      </c>
      <c r="D363" s="1" t="str">
        <f aca="false">'Cleaned Data'!D363</f>
        <v>Zombie Rush</v>
      </c>
      <c r="E363" s="1" t="str">
        <f aca="false">'Cleaned Data'!E363</f>
        <v>Console</v>
      </c>
      <c r="F363" s="1" t="str">
        <f aca="false">'Cleaned Data'!F363</f>
        <v>Central</v>
      </c>
      <c r="G363" s="23" t="n">
        <f aca="false">'Cleaned Data'!G363</f>
        <v>45690</v>
      </c>
      <c r="H363" s="1" t="n">
        <f aca="false">'Cleaned Data'!H363</f>
        <v>63</v>
      </c>
      <c r="I363" s="24" t="n">
        <f aca="false">'Cleaned Data'!I363</f>
        <v>0</v>
      </c>
      <c r="J363" s="1" t="str">
        <f aca="false">'Cleaned Data'!J363</f>
        <v>None</v>
      </c>
      <c r="K363" s="1" t="str">
        <f aca="false">'Cleaned Data'!K363</f>
        <v>Crashed</v>
      </c>
      <c r="L363" s="1" t="str">
        <f aca="false">'Cleaned Data'!L363</f>
        <v>Free</v>
      </c>
      <c r="M363" s="1" t="n">
        <f aca="false">'Cleaned Data'!M363</f>
        <v>4</v>
      </c>
      <c r="N363" s="1" t="str">
        <f aca="false">'Cleaned Data'!N363</f>
        <v>No</v>
      </c>
      <c r="O363" s="1" t="str">
        <f aca="false">TEXT(G363,"yyyy-mm")</f>
        <v>2025-02</v>
      </c>
      <c r="P363" s="1" t="str">
        <f aca="false">IF(H363&lt;20,"Low",IF(H363&lt;=60,"Medium","High"))</f>
        <v>High</v>
      </c>
      <c r="Q363" s="1" t="str">
        <f aca="false">IF(I363&gt;0,"Yes","No")</f>
        <v>No</v>
      </c>
      <c r="R363" s="1" t="n">
        <f aca="false">IF(N363="Yes",1,0)</f>
        <v>0</v>
      </c>
    </row>
    <row r="364" customFormat="false" ht="15" hidden="false" customHeight="true" outlineLevel="0" collapsed="false">
      <c r="A364" s="1" t="str">
        <f aca="false">'Cleaned Data'!A364</f>
        <v>S00360</v>
      </c>
      <c r="B364" s="1" t="str">
        <f aca="false">'Cleaned Data'!B364</f>
        <v>P9731</v>
      </c>
      <c r="C364" s="1" t="str">
        <f aca="false">'Cleaned Data'!C364</f>
        <v>popelance</v>
      </c>
      <c r="D364" s="1" t="str">
        <f aca="false">'Cleaned Data'!D364</f>
        <v>SpeedX</v>
      </c>
      <c r="E364" s="1" t="str">
        <f aca="false">'Cleaned Data'!E364</f>
        <v>Console</v>
      </c>
      <c r="F364" s="1" t="str">
        <f aca="false">'Cleaned Data'!F364</f>
        <v>South</v>
      </c>
      <c r="G364" s="23" t="n">
        <f aca="false">'Cleaned Data'!G364</f>
        <v>45783</v>
      </c>
      <c r="H364" s="1" t="n">
        <f aca="false">'Cleaned Data'!H364</f>
        <v>63</v>
      </c>
      <c r="I364" s="24" t="n">
        <f aca="false">'Cleaned Data'!I364</f>
        <v>0</v>
      </c>
      <c r="J364" s="1" t="str">
        <f aca="false">'Cleaned Data'!J364</f>
        <v>None</v>
      </c>
      <c r="K364" s="1" t="str">
        <f aca="false">'Cleaned Data'!K364</f>
        <v>Completed</v>
      </c>
      <c r="L364" s="1" t="str">
        <f aca="false">'Cleaned Data'!L364</f>
        <v>Free</v>
      </c>
      <c r="M364" s="1" t="n">
        <f aca="false">'Cleaned Data'!M364</f>
        <v>15</v>
      </c>
      <c r="N364" s="1" t="str">
        <f aca="false">'Cleaned Data'!N364</f>
        <v>No</v>
      </c>
      <c r="O364" s="1" t="str">
        <f aca="false">TEXT(G364,"yyyy-mm")</f>
        <v>2025-05</v>
      </c>
      <c r="P364" s="1" t="str">
        <f aca="false">IF(H364&lt;20,"Low",IF(H364&lt;=60,"Medium","High"))</f>
        <v>High</v>
      </c>
      <c r="Q364" s="1" t="str">
        <f aca="false">IF(I364&gt;0,"Yes","No")</f>
        <v>No</v>
      </c>
      <c r="R364" s="1" t="n">
        <f aca="false">IF(N364="Yes",1,0)</f>
        <v>0</v>
      </c>
    </row>
    <row r="365" customFormat="false" ht="15" hidden="false" customHeight="true" outlineLevel="0" collapsed="false">
      <c r="A365" s="1" t="str">
        <f aca="false">'Cleaned Data'!A365</f>
        <v>S00361</v>
      </c>
      <c r="B365" s="1" t="str">
        <f aca="false">'Cleaned Data'!B365</f>
        <v>P8648</v>
      </c>
      <c r="C365" s="1" t="str">
        <f aca="false">'Cleaned Data'!C365</f>
        <v>mfarley</v>
      </c>
      <c r="D365" s="1" t="str">
        <f aca="false">'Cleaned Data'!D365</f>
        <v>Zombie Rush</v>
      </c>
      <c r="E365" s="1" t="str">
        <f aca="false">'Cleaned Data'!E365</f>
        <v>Mobile</v>
      </c>
      <c r="F365" s="1" t="str">
        <f aca="false">'Cleaned Data'!F365</f>
        <v>North</v>
      </c>
      <c r="G365" s="23" t="n">
        <f aca="false">'Cleaned Data'!G365</f>
        <v>45817</v>
      </c>
      <c r="H365" s="1" t="n">
        <f aca="false">'Cleaned Data'!H365</f>
        <v>18</v>
      </c>
      <c r="I365" s="24" t="n">
        <f aca="false">'Cleaned Data'!I365</f>
        <v>0</v>
      </c>
      <c r="J365" s="1" t="str">
        <f aca="false">'Cleaned Data'!J365</f>
        <v>None</v>
      </c>
      <c r="K365" s="1" t="str">
        <f aca="false">'Cleaned Data'!K365</f>
        <v>Completed</v>
      </c>
      <c r="L365" s="1" t="str">
        <f aca="false">'Cleaned Data'!L365</f>
        <v>Free</v>
      </c>
      <c r="M365" s="1" t="n">
        <f aca="false">'Cleaned Data'!M365</f>
        <v>16</v>
      </c>
      <c r="N365" s="1" t="str">
        <f aca="false">'Cleaned Data'!N365</f>
        <v>No</v>
      </c>
      <c r="O365" s="1" t="str">
        <f aca="false">TEXT(G365,"yyyy-mm")</f>
        <v>2025-06</v>
      </c>
      <c r="P365" s="1" t="str">
        <f aca="false">IF(H365&lt;20,"Low",IF(H365&lt;=60,"Medium","High"))</f>
        <v>Low</v>
      </c>
      <c r="Q365" s="1" t="str">
        <f aca="false">IF(I365&gt;0,"Yes","No")</f>
        <v>No</v>
      </c>
      <c r="R365" s="1" t="n">
        <f aca="false">IF(N365="Yes",1,0)</f>
        <v>0</v>
      </c>
    </row>
    <row r="366" customFormat="false" ht="15" hidden="false" customHeight="true" outlineLevel="0" collapsed="false">
      <c r="A366" s="1" t="str">
        <f aca="false">'Cleaned Data'!A366</f>
        <v>S00362</v>
      </c>
      <c r="B366" s="1" t="str">
        <f aca="false">'Cleaned Data'!B366</f>
        <v>P3956</v>
      </c>
      <c r="C366" s="1" t="str">
        <f aca="false">'Cleaned Data'!C366</f>
        <v>ruizkimberly</v>
      </c>
      <c r="D366" s="1" t="str">
        <f aca="false">'Cleaned Data'!D366</f>
        <v>SpeedX</v>
      </c>
      <c r="E366" s="1" t="str">
        <f aca="false">'Cleaned Data'!E366</f>
        <v>Mobile</v>
      </c>
      <c r="F366" s="1" t="str">
        <f aca="false">'Cleaned Data'!F366</f>
        <v>Central</v>
      </c>
      <c r="G366" s="23" t="n">
        <f aca="false">'Cleaned Data'!G366</f>
        <v>45819</v>
      </c>
      <c r="H366" s="1" t="n">
        <f aca="false">'Cleaned Data'!H366</f>
        <v>73</v>
      </c>
      <c r="I366" s="24" t="n">
        <f aca="false">'Cleaned Data'!I366</f>
        <v>0</v>
      </c>
      <c r="J366" s="1" t="str">
        <f aca="false">'Cleaned Data'!J366</f>
        <v>None</v>
      </c>
      <c r="K366" s="1" t="str">
        <f aca="false">'Cleaned Data'!K366</f>
        <v>Completed</v>
      </c>
      <c r="L366" s="1" t="str">
        <f aca="false">'Cleaned Data'!L366</f>
        <v>Free</v>
      </c>
      <c r="M366" s="1" t="n">
        <f aca="false">'Cleaned Data'!M366</f>
        <v>11</v>
      </c>
      <c r="N366" s="1" t="str">
        <f aca="false">'Cleaned Data'!N366</f>
        <v>No</v>
      </c>
      <c r="O366" s="1" t="str">
        <f aca="false">TEXT(G366,"yyyy-mm")</f>
        <v>2025-06</v>
      </c>
      <c r="P366" s="1" t="str">
        <f aca="false">IF(H366&lt;20,"Low",IF(H366&lt;=60,"Medium","High"))</f>
        <v>High</v>
      </c>
      <c r="Q366" s="1" t="str">
        <f aca="false">IF(I366&gt;0,"Yes","No")</f>
        <v>No</v>
      </c>
      <c r="R366" s="1" t="n">
        <f aca="false">IF(N366="Yes",1,0)</f>
        <v>0</v>
      </c>
    </row>
    <row r="367" customFormat="false" ht="15" hidden="false" customHeight="true" outlineLevel="0" collapsed="false">
      <c r="A367" s="1" t="str">
        <f aca="false">'Cleaned Data'!A367</f>
        <v>S00363</v>
      </c>
      <c r="B367" s="1" t="str">
        <f aca="false">'Cleaned Data'!B367</f>
        <v>P8050</v>
      </c>
      <c r="C367" s="1" t="str">
        <f aca="false">'Cleaned Data'!C367</f>
        <v>andersonwilliam</v>
      </c>
      <c r="D367" s="1" t="str">
        <f aca="false">'Cleaned Data'!D367</f>
        <v>SpeedX</v>
      </c>
      <c r="E367" s="1" t="str">
        <f aca="false">'Cleaned Data'!E367</f>
        <v>Console</v>
      </c>
      <c r="F367" s="1" t="str">
        <f aca="false">'Cleaned Data'!F367</f>
        <v>West</v>
      </c>
      <c r="G367" s="23" t="n">
        <f aca="false">'Cleaned Data'!G367</f>
        <v>45671</v>
      </c>
      <c r="H367" s="1" t="n">
        <f aca="false">'Cleaned Data'!H367</f>
        <v>102</v>
      </c>
      <c r="I367" s="24" t="n">
        <f aca="false">'Cleaned Data'!I367</f>
        <v>0</v>
      </c>
      <c r="J367" s="1" t="str">
        <f aca="false">'Cleaned Data'!J367</f>
        <v>None</v>
      </c>
      <c r="K367" s="1" t="str">
        <f aca="false">'Cleaned Data'!K367</f>
        <v>Completed</v>
      </c>
      <c r="L367" s="1" t="str">
        <f aca="false">'Cleaned Data'!L367</f>
        <v>Free</v>
      </c>
      <c r="M367" s="1" t="n">
        <f aca="false">'Cleaned Data'!M367</f>
        <v>2</v>
      </c>
      <c r="N367" s="1" t="str">
        <f aca="false">'Cleaned Data'!N367</f>
        <v>No</v>
      </c>
      <c r="O367" s="1" t="str">
        <f aca="false">TEXT(G367,"yyyy-mm")</f>
        <v>2025-01</v>
      </c>
      <c r="P367" s="1" t="str">
        <f aca="false">IF(H367&lt;20,"Low",IF(H367&lt;=60,"Medium","High"))</f>
        <v>High</v>
      </c>
      <c r="Q367" s="1" t="str">
        <f aca="false">IF(I367&gt;0,"Yes","No")</f>
        <v>No</v>
      </c>
      <c r="R367" s="1" t="n">
        <f aca="false">IF(N367="Yes",1,0)</f>
        <v>0</v>
      </c>
    </row>
    <row r="368" customFormat="false" ht="15" hidden="false" customHeight="true" outlineLevel="0" collapsed="false">
      <c r="A368" s="1" t="str">
        <f aca="false">'Cleaned Data'!A368</f>
        <v>S00364</v>
      </c>
      <c r="B368" s="1" t="str">
        <f aca="false">'Cleaned Data'!B368</f>
        <v>P9065</v>
      </c>
      <c r="C368" s="1" t="str">
        <f aca="false">'Cleaned Data'!C368</f>
        <v>andrewtran</v>
      </c>
      <c r="D368" s="1" t="str">
        <f aca="false">'Cleaned Data'!D368</f>
        <v>Clash of Realms</v>
      </c>
      <c r="E368" s="1" t="str">
        <f aca="false">'Cleaned Data'!E368</f>
        <v>Console</v>
      </c>
      <c r="F368" s="1" t="str">
        <f aca="false">'Cleaned Data'!F368</f>
        <v>South</v>
      </c>
      <c r="G368" s="23" t="n">
        <f aca="false">'Cleaned Data'!G368</f>
        <v>45669</v>
      </c>
      <c r="H368" s="1" t="n">
        <f aca="false">'Cleaned Data'!H368</f>
        <v>91</v>
      </c>
      <c r="I368" s="24" t="n">
        <f aca="false">'Cleaned Data'!I368</f>
        <v>0</v>
      </c>
      <c r="J368" s="1" t="str">
        <f aca="false">'Cleaned Data'!J368</f>
        <v>None</v>
      </c>
      <c r="K368" s="1" t="str">
        <f aca="false">'Cleaned Data'!K368</f>
        <v>Completed</v>
      </c>
      <c r="L368" s="1" t="str">
        <f aca="false">'Cleaned Data'!L368</f>
        <v>Free</v>
      </c>
      <c r="M368" s="1" t="n">
        <f aca="false">'Cleaned Data'!M368</f>
        <v>31</v>
      </c>
      <c r="N368" s="1" t="str">
        <f aca="false">'Cleaned Data'!N368</f>
        <v>No</v>
      </c>
      <c r="O368" s="1" t="str">
        <f aca="false">TEXT(G368,"yyyy-mm")</f>
        <v>2025-01</v>
      </c>
      <c r="P368" s="1" t="str">
        <f aca="false">IF(H368&lt;20,"Low",IF(H368&lt;=60,"Medium","High"))</f>
        <v>High</v>
      </c>
      <c r="Q368" s="1" t="str">
        <f aca="false">IF(I368&gt;0,"Yes","No")</f>
        <v>No</v>
      </c>
      <c r="R368" s="1" t="n">
        <f aca="false">IF(N368="Yes",1,0)</f>
        <v>0</v>
      </c>
    </row>
    <row r="369" customFormat="false" ht="15" hidden="false" customHeight="true" outlineLevel="0" collapsed="false">
      <c r="A369" s="1" t="str">
        <f aca="false">'Cleaned Data'!A369</f>
        <v>S00365</v>
      </c>
      <c r="B369" s="1" t="str">
        <f aca="false">'Cleaned Data'!B369</f>
        <v>P1888</v>
      </c>
      <c r="C369" s="1" t="str">
        <f aca="false">'Cleaned Data'!C369</f>
        <v>lynchtina</v>
      </c>
      <c r="D369" s="1" t="str">
        <f aca="false">'Cleaned Data'!D369</f>
        <v>SpeedX</v>
      </c>
      <c r="E369" s="1" t="str">
        <f aca="false">'Cleaned Data'!E369</f>
        <v>Mobile</v>
      </c>
      <c r="F369" s="1" t="str">
        <f aca="false">'Cleaned Data'!F369</f>
        <v>South</v>
      </c>
      <c r="G369" s="23" t="n">
        <f aca="false">'Cleaned Data'!G369</f>
        <v>45763</v>
      </c>
      <c r="H369" s="1" t="n">
        <f aca="false">'Cleaned Data'!H369</f>
        <v>73</v>
      </c>
      <c r="I369" s="24" t="n">
        <f aca="false">'Cleaned Data'!I369</f>
        <v>0</v>
      </c>
      <c r="J369" s="1" t="str">
        <f aca="false">'Cleaned Data'!J369</f>
        <v>None</v>
      </c>
      <c r="K369" s="1" t="str">
        <f aca="false">'Cleaned Data'!K369</f>
        <v>Incomplete</v>
      </c>
      <c r="L369" s="1" t="str">
        <f aca="false">'Cleaned Data'!L369</f>
        <v>Free</v>
      </c>
      <c r="M369" s="1" t="n">
        <f aca="false">'Cleaned Data'!M369</f>
        <v>32</v>
      </c>
      <c r="N369" s="1" t="str">
        <f aca="false">'Cleaned Data'!N369</f>
        <v>No</v>
      </c>
      <c r="O369" s="1" t="str">
        <f aca="false">TEXT(G369,"yyyy-mm")</f>
        <v>2025-04</v>
      </c>
      <c r="P369" s="1" t="str">
        <f aca="false">IF(H369&lt;20,"Low",IF(H369&lt;=60,"Medium","High"))</f>
        <v>High</v>
      </c>
      <c r="Q369" s="1" t="str">
        <f aca="false">IF(I369&gt;0,"Yes","No")</f>
        <v>No</v>
      </c>
      <c r="R369" s="1" t="n">
        <f aca="false">IF(N369="Yes",1,0)</f>
        <v>0</v>
      </c>
    </row>
    <row r="370" customFormat="false" ht="15" hidden="false" customHeight="true" outlineLevel="0" collapsed="false">
      <c r="A370" s="1" t="str">
        <f aca="false">'Cleaned Data'!A370</f>
        <v>S00366</v>
      </c>
      <c r="B370" s="1" t="str">
        <f aca="false">'Cleaned Data'!B370</f>
        <v>P8007</v>
      </c>
      <c r="C370" s="1" t="str">
        <f aca="false">'Cleaned Data'!C370</f>
        <v>kelly45</v>
      </c>
      <c r="D370" s="1" t="str">
        <f aca="false">'Cleaned Data'!D370</f>
        <v>Empire Wars</v>
      </c>
      <c r="E370" s="1" t="str">
        <f aca="false">'Cleaned Data'!E370</f>
        <v>Mobile</v>
      </c>
      <c r="F370" s="1" t="str">
        <f aca="false">'Cleaned Data'!F370</f>
        <v>North-East</v>
      </c>
      <c r="G370" s="23" t="n">
        <f aca="false">'Cleaned Data'!G370</f>
        <v>45710</v>
      </c>
      <c r="H370" s="1" t="n">
        <f aca="false">'Cleaned Data'!H370</f>
        <v>80</v>
      </c>
      <c r="I370" s="24" t="n">
        <f aca="false">'Cleaned Data'!I370</f>
        <v>42.33</v>
      </c>
      <c r="J370" s="1" t="str">
        <f aca="false">'Cleaned Data'!J370</f>
        <v>Boosters</v>
      </c>
      <c r="K370" s="1" t="str">
        <f aca="false">'Cleaned Data'!K370</f>
        <v>Completed</v>
      </c>
      <c r="L370" s="1" t="str">
        <f aca="false">'Cleaned Data'!L370</f>
        <v>Paid</v>
      </c>
      <c r="M370" s="1" t="n">
        <f aca="false">'Cleaned Data'!M370</f>
        <v>23</v>
      </c>
      <c r="N370" s="1" t="str">
        <f aca="false">'Cleaned Data'!N370</f>
        <v>Yes</v>
      </c>
      <c r="O370" s="1" t="str">
        <f aca="false">TEXT(G370,"yyyy-mm")</f>
        <v>2025-02</v>
      </c>
      <c r="P370" s="1" t="str">
        <f aca="false">IF(H370&lt;20,"Low",IF(H370&lt;=60,"Medium","High"))</f>
        <v>High</v>
      </c>
      <c r="Q370" s="1" t="str">
        <f aca="false">IF(I370&gt;0,"Yes","No")</f>
        <v>Yes</v>
      </c>
      <c r="R370" s="1" t="n">
        <f aca="false">IF(N370="Yes",1,0)</f>
        <v>1</v>
      </c>
    </row>
    <row r="371" customFormat="false" ht="15" hidden="false" customHeight="true" outlineLevel="0" collapsed="false">
      <c r="A371" s="1" t="str">
        <f aca="false">'Cleaned Data'!A371</f>
        <v>S00367</v>
      </c>
      <c r="B371" s="1" t="str">
        <f aca="false">'Cleaned Data'!B371</f>
        <v>P7375</v>
      </c>
      <c r="C371" s="1" t="str">
        <f aca="false">'Cleaned Data'!C371</f>
        <v>morrisryan</v>
      </c>
      <c r="D371" s="1" t="str">
        <f aca="false">'Cleaned Data'!D371</f>
        <v>Clash of Realms</v>
      </c>
      <c r="E371" s="1" t="str">
        <f aca="false">'Cleaned Data'!E371</f>
        <v>Mobile</v>
      </c>
      <c r="F371" s="1" t="str">
        <f aca="false">'Cleaned Data'!F371</f>
        <v>North-East</v>
      </c>
      <c r="G371" s="23" t="n">
        <f aca="false">'Cleaned Data'!G371</f>
        <v>45800</v>
      </c>
      <c r="H371" s="1" t="n">
        <f aca="false">'Cleaned Data'!H371</f>
        <v>6</v>
      </c>
      <c r="I371" s="24" t="n">
        <f aca="false">'Cleaned Data'!I371</f>
        <v>0</v>
      </c>
      <c r="J371" s="1" t="str">
        <f aca="false">'Cleaned Data'!J371</f>
        <v>None</v>
      </c>
      <c r="K371" s="1" t="str">
        <f aca="false">'Cleaned Data'!K371</f>
        <v>Completed</v>
      </c>
      <c r="L371" s="1" t="str">
        <f aca="false">'Cleaned Data'!L371</f>
        <v>Free</v>
      </c>
      <c r="M371" s="1" t="n">
        <f aca="false">'Cleaned Data'!M371</f>
        <v>12</v>
      </c>
      <c r="N371" s="1" t="str">
        <f aca="false">'Cleaned Data'!N371</f>
        <v>No</v>
      </c>
      <c r="O371" s="1" t="str">
        <f aca="false">TEXT(G371,"yyyy-mm")</f>
        <v>2025-05</v>
      </c>
      <c r="P371" s="1" t="str">
        <f aca="false">IF(H371&lt;20,"Low",IF(H371&lt;=60,"Medium","High"))</f>
        <v>Low</v>
      </c>
      <c r="Q371" s="1" t="str">
        <f aca="false">IF(I371&gt;0,"Yes","No")</f>
        <v>No</v>
      </c>
      <c r="R371" s="1" t="n">
        <f aca="false">IF(N371="Yes",1,0)</f>
        <v>0</v>
      </c>
    </row>
    <row r="372" customFormat="false" ht="15" hidden="false" customHeight="true" outlineLevel="0" collapsed="false">
      <c r="A372" s="1" t="str">
        <f aca="false">'Cleaned Data'!A372</f>
        <v>S00368</v>
      </c>
      <c r="B372" s="1" t="str">
        <f aca="false">'Cleaned Data'!B372</f>
        <v>P4682</v>
      </c>
      <c r="C372" s="1" t="str">
        <f aca="false">'Cleaned Data'!C372</f>
        <v>aryan</v>
      </c>
      <c r="D372" s="1" t="str">
        <f aca="false">'Cleaned Data'!D372</f>
        <v>BattleZone</v>
      </c>
      <c r="E372" s="1" t="str">
        <f aca="false">'Cleaned Data'!E372</f>
        <v>Mobile</v>
      </c>
      <c r="F372" s="1" t="str">
        <f aca="false">'Cleaned Data'!F372</f>
        <v>South</v>
      </c>
      <c r="G372" s="23" t="n">
        <f aca="false">'Cleaned Data'!G372</f>
        <v>45772</v>
      </c>
      <c r="H372" s="1" t="n">
        <f aca="false">'Cleaned Data'!H372</f>
        <v>161</v>
      </c>
      <c r="I372" s="24" t="n">
        <f aca="false">'Cleaned Data'!I372</f>
        <v>0</v>
      </c>
      <c r="J372" s="1" t="str">
        <f aca="false">'Cleaned Data'!J372</f>
        <v>None</v>
      </c>
      <c r="K372" s="1" t="str">
        <f aca="false">'Cleaned Data'!K372</f>
        <v>Completed</v>
      </c>
      <c r="L372" s="1" t="str">
        <f aca="false">'Cleaned Data'!L372</f>
        <v>Free</v>
      </c>
      <c r="M372" s="1" t="n">
        <f aca="false">'Cleaned Data'!M372</f>
        <v>25</v>
      </c>
      <c r="N372" s="1" t="str">
        <f aca="false">'Cleaned Data'!N372</f>
        <v>Yes</v>
      </c>
      <c r="O372" s="1" t="str">
        <f aca="false">TEXT(G372,"yyyy-mm")</f>
        <v>2025-04</v>
      </c>
      <c r="P372" s="1" t="str">
        <f aca="false">IF(H372&lt;20,"Low",IF(H372&lt;=60,"Medium","High"))</f>
        <v>High</v>
      </c>
      <c r="Q372" s="1" t="str">
        <f aca="false">IF(I372&gt;0,"Yes","No")</f>
        <v>No</v>
      </c>
      <c r="R372" s="1" t="n">
        <f aca="false">IF(N372="Yes",1,0)</f>
        <v>1</v>
      </c>
    </row>
    <row r="373" customFormat="false" ht="15" hidden="false" customHeight="true" outlineLevel="0" collapsed="false">
      <c r="A373" s="1" t="str">
        <f aca="false">'Cleaned Data'!A373</f>
        <v>S00369</v>
      </c>
      <c r="B373" s="1" t="str">
        <f aca="false">'Cleaned Data'!B373</f>
        <v>P6367</v>
      </c>
      <c r="C373" s="1" t="str">
        <f aca="false">'Cleaned Data'!C373</f>
        <v>iyoung</v>
      </c>
      <c r="D373" s="1" t="str">
        <f aca="false">'Cleaned Data'!D373</f>
        <v>SpeedX</v>
      </c>
      <c r="E373" s="1" t="str">
        <f aca="false">'Cleaned Data'!E373</f>
        <v>PC</v>
      </c>
      <c r="F373" s="1" t="str">
        <f aca="false">'Cleaned Data'!F373</f>
        <v>Central</v>
      </c>
      <c r="G373" s="23" t="n">
        <f aca="false">'Cleaned Data'!G373</f>
        <v>45714</v>
      </c>
      <c r="H373" s="1" t="n">
        <f aca="false">'Cleaned Data'!H373</f>
        <v>67</v>
      </c>
      <c r="I373" s="24" t="n">
        <f aca="false">'Cleaned Data'!I373</f>
        <v>0</v>
      </c>
      <c r="J373" s="1" t="str">
        <f aca="false">'Cleaned Data'!J373</f>
        <v>None</v>
      </c>
      <c r="K373" s="1" t="str">
        <f aca="false">'Cleaned Data'!K373</f>
        <v>Exited Early</v>
      </c>
      <c r="L373" s="1" t="str">
        <f aca="false">'Cleaned Data'!L373</f>
        <v>Free</v>
      </c>
      <c r="M373" s="1" t="n">
        <f aca="false">'Cleaned Data'!M373</f>
        <v>48</v>
      </c>
      <c r="N373" s="1" t="str">
        <f aca="false">'Cleaned Data'!N373</f>
        <v>No</v>
      </c>
      <c r="O373" s="1" t="str">
        <f aca="false">TEXT(G373,"yyyy-mm")</f>
        <v>2025-02</v>
      </c>
      <c r="P373" s="1" t="str">
        <f aca="false">IF(H373&lt;20,"Low",IF(H373&lt;=60,"Medium","High"))</f>
        <v>High</v>
      </c>
      <c r="Q373" s="1" t="str">
        <f aca="false">IF(I373&gt;0,"Yes","No")</f>
        <v>No</v>
      </c>
      <c r="R373" s="1" t="n">
        <f aca="false">IF(N373="Yes",1,0)</f>
        <v>0</v>
      </c>
    </row>
    <row r="374" customFormat="false" ht="15" hidden="false" customHeight="true" outlineLevel="0" collapsed="false">
      <c r="A374" s="1" t="str">
        <f aca="false">'Cleaned Data'!A374</f>
        <v>S00370</v>
      </c>
      <c r="B374" s="1" t="str">
        <f aca="false">'Cleaned Data'!B374</f>
        <v>P1693</v>
      </c>
      <c r="C374" s="1" t="str">
        <f aca="false">'Cleaned Data'!C374</f>
        <v>huntlawrence</v>
      </c>
      <c r="D374" s="1" t="str">
        <f aca="false">'Cleaned Data'!D374</f>
        <v>Clash of Realms</v>
      </c>
      <c r="E374" s="1" t="str">
        <f aca="false">'Cleaned Data'!E374</f>
        <v>Mobile</v>
      </c>
      <c r="F374" s="1" t="str">
        <f aca="false">'Cleaned Data'!F374</f>
        <v>North-East</v>
      </c>
      <c r="G374" s="23" t="n">
        <f aca="false">'Cleaned Data'!G374</f>
        <v>45722</v>
      </c>
      <c r="H374" s="1" t="n">
        <f aca="false">'Cleaned Data'!H374</f>
        <v>144</v>
      </c>
      <c r="I374" s="24" t="n">
        <f aca="false">'Cleaned Data'!I374</f>
        <v>0</v>
      </c>
      <c r="J374" s="1" t="str">
        <f aca="false">'Cleaned Data'!J374</f>
        <v>None</v>
      </c>
      <c r="K374" s="1" t="str">
        <f aca="false">'Cleaned Data'!K374</f>
        <v>Exited Early</v>
      </c>
      <c r="L374" s="1" t="str">
        <f aca="false">'Cleaned Data'!L374</f>
        <v>Free</v>
      </c>
      <c r="M374" s="1" t="n">
        <f aca="false">'Cleaned Data'!M374</f>
        <v>9</v>
      </c>
      <c r="N374" s="1" t="str">
        <f aca="false">'Cleaned Data'!N374</f>
        <v>No</v>
      </c>
      <c r="O374" s="1" t="str">
        <f aca="false">TEXT(G374,"yyyy-mm")</f>
        <v>2025-03</v>
      </c>
      <c r="P374" s="1" t="str">
        <f aca="false">IF(H374&lt;20,"Low",IF(H374&lt;=60,"Medium","High"))</f>
        <v>High</v>
      </c>
      <c r="Q374" s="1" t="str">
        <f aca="false">IF(I374&gt;0,"Yes","No")</f>
        <v>No</v>
      </c>
      <c r="R374" s="1" t="n">
        <f aca="false">IF(N374="Yes",1,0)</f>
        <v>0</v>
      </c>
    </row>
    <row r="375" customFormat="false" ht="15" hidden="false" customHeight="true" outlineLevel="0" collapsed="false">
      <c r="A375" s="1" t="str">
        <f aca="false">'Cleaned Data'!A375</f>
        <v>S00371</v>
      </c>
      <c r="B375" s="1" t="str">
        <f aca="false">'Cleaned Data'!B375</f>
        <v>P6086</v>
      </c>
      <c r="C375" s="1" t="str">
        <f aca="false">'Cleaned Data'!C375</f>
        <v>parkzachary</v>
      </c>
      <c r="D375" s="1" t="str">
        <f aca="false">'Cleaned Data'!D375</f>
        <v>Zombie Rush</v>
      </c>
      <c r="E375" s="1" t="str">
        <f aca="false">'Cleaned Data'!E375</f>
        <v>Mobile</v>
      </c>
      <c r="F375" s="1" t="str">
        <f aca="false">'Cleaned Data'!F375</f>
        <v>North</v>
      </c>
      <c r="G375" s="23" t="n">
        <f aca="false">'Cleaned Data'!G375</f>
        <v>45754</v>
      </c>
      <c r="H375" s="1" t="n">
        <f aca="false">'Cleaned Data'!H375</f>
        <v>144</v>
      </c>
      <c r="I375" s="24" t="n">
        <f aca="false">'Cleaned Data'!I375</f>
        <v>29.52</v>
      </c>
      <c r="J375" s="1" t="str">
        <f aca="false">'Cleaned Data'!J375</f>
        <v>Skins</v>
      </c>
      <c r="K375" s="1" t="str">
        <f aca="false">'Cleaned Data'!K375</f>
        <v>Exited Early</v>
      </c>
      <c r="L375" s="1" t="str">
        <f aca="false">'Cleaned Data'!L375</f>
        <v>Paid</v>
      </c>
      <c r="M375" s="1" t="n">
        <f aca="false">'Cleaned Data'!M375</f>
        <v>36</v>
      </c>
      <c r="N375" s="1" t="str">
        <f aca="false">'Cleaned Data'!N375</f>
        <v>No</v>
      </c>
      <c r="O375" s="1" t="str">
        <f aca="false">TEXT(G375,"yyyy-mm")</f>
        <v>2025-04</v>
      </c>
      <c r="P375" s="1" t="str">
        <f aca="false">IF(H375&lt;20,"Low",IF(H375&lt;=60,"Medium","High"))</f>
        <v>High</v>
      </c>
      <c r="Q375" s="1" t="str">
        <f aca="false">IF(I375&gt;0,"Yes","No")</f>
        <v>Yes</v>
      </c>
      <c r="R375" s="1" t="n">
        <f aca="false">IF(N375="Yes",1,0)</f>
        <v>0</v>
      </c>
    </row>
    <row r="376" customFormat="false" ht="15" hidden="false" customHeight="true" outlineLevel="0" collapsed="false">
      <c r="A376" s="1" t="str">
        <f aca="false">'Cleaned Data'!A376</f>
        <v>S00372</v>
      </c>
      <c r="B376" s="1" t="str">
        <f aca="false">'Cleaned Data'!B376</f>
        <v>P1855</v>
      </c>
      <c r="C376" s="1" t="str">
        <f aca="false">'Cleaned Data'!C376</f>
        <v>amandarogers</v>
      </c>
      <c r="D376" s="1" t="str">
        <f aca="false">'Cleaned Data'!D376</f>
        <v>Zombie Rush</v>
      </c>
      <c r="E376" s="1" t="str">
        <f aca="false">'Cleaned Data'!E376</f>
        <v>PC</v>
      </c>
      <c r="F376" s="1" t="str">
        <f aca="false">'Cleaned Data'!F376</f>
        <v>North</v>
      </c>
      <c r="G376" s="23" t="n">
        <f aca="false">'Cleaned Data'!G376</f>
        <v>45655</v>
      </c>
      <c r="H376" s="1" t="n">
        <f aca="false">'Cleaned Data'!H376</f>
        <v>83</v>
      </c>
      <c r="I376" s="24" t="n">
        <f aca="false">'Cleaned Data'!I376</f>
        <v>0</v>
      </c>
      <c r="J376" s="1" t="str">
        <f aca="false">'Cleaned Data'!J376</f>
        <v>None</v>
      </c>
      <c r="K376" s="1" t="str">
        <f aca="false">'Cleaned Data'!K376</f>
        <v>Completed</v>
      </c>
      <c r="L376" s="1" t="str">
        <f aca="false">'Cleaned Data'!L376</f>
        <v>Free</v>
      </c>
      <c r="M376" s="1" t="n">
        <f aca="false">'Cleaned Data'!M376</f>
        <v>49</v>
      </c>
      <c r="N376" s="1" t="str">
        <f aca="false">'Cleaned Data'!N376</f>
        <v>No</v>
      </c>
      <c r="O376" s="1" t="str">
        <f aca="false">TEXT(G376,"yyyy-mm")</f>
        <v>2024-12</v>
      </c>
      <c r="P376" s="1" t="str">
        <f aca="false">IF(H376&lt;20,"Low",IF(H376&lt;=60,"Medium","High"))</f>
        <v>High</v>
      </c>
      <c r="Q376" s="1" t="str">
        <f aca="false">IF(I376&gt;0,"Yes","No")</f>
        <v>No</v>
      </c>
      <c r="R376" s="1" t="n">
        <f aca="false">IF(N376="Yes",1,0)</f>
        <v>0</v>
      </c>
    </row>
    <row r="377" customFormat="false" ht="15" hidden="false" customHeight="true" outlineLevel="0" collapsed="false">
      <c r="A377" s="1" t="str">
        <f aca="false">'Cleaned Data'!A377</f>
        <v>S00373</v>
      </c>
      <c r="B377" s="1" t="str">
        <f aca="false">'Cleaned Data'!B377</f>
        <v>P9993</v>
      </c>
      <c r="C377" s="1" t="str">
        <f aca="false">'Cleaned Data'!C377</f>
        <v>bharris</v>
      </c>
      <c r="D377" s="1" t="str">
        <f aca="false">'Cleaned Data'!D377</f>
        <v>SpeedX</v>
      </c>
      <c r="E377" s="1" t="str">
        <f aca="false">'Cleaned Data'!E377</f>
        <v>PC</v>
      </c>
      <c r="F377" s="1" t="str">
        <f aca="false">'Cleaned Data'!F377</f>
        <v>East</v>
      </c>
      <c r="G377" s="23" t="n">
        <f aca="false">'Cleaned Data'!G377</f>
        <v>45811</v>
      </c>
      <c r="H377" s="1" t="n">
        <f aca="false">'Cleaned Data'!H377</f>
        <v>128</v>
      </c>
      <c r="I377" s="24" t="n">
        <f aca="false">'Cleaned Data'!I377</f>
        <v>0</v>
      </c>
      <c r="J377" s="1" t="str">
        <f aca="false">'Cleaned Data'!J377</f>
        <v>None</v>
      </c>
      <c r="K377" s="1" t="str">
        <f aca="false">'Cleaned Data'!K377</f>
        <v>Completed</v>
      </c>
      <c r="L377" s="1" t="str">
        <f aca="false">'Cleaned Data'!L377</f>
        <v>Paid</v>
      </c>
      <c r="M377" s="1" t="n">
        <f aca="false">'Cleaned Data'!M377</f>
        <v>29</v>
      </c>
      <c r="N377" s="1" t="str">
        <f aca="false">'Cleaned Data'!N377</f>
        <v>No</v>
      </c>
      <c r="O377" s="1" t="str">
        <f aca="false">TEXT(G377,"yyyy-mm")</f>
        <v>2025-06</v>
      </c>
      <c r="P377" s="1" t="str">
        <f aca="false">IF(H377&lt;20,"Low",IF(H377&lt;=60,"Medium","High"))</f>
        <v>High</v>
      </c>
      <c r="Q377" s="1" t="str">
        <f aca="false">IF(I377&gt;0,"Yes","No")</f>
        <v>No</v>
      </c>
      <c r="R377" s="1" t="n">
        <f aca="false">IF(N377="Yes",1,0)</f>
        <v>0</v>
      </c>
    </row>
    <row r="378" customFormat="false" ht="15" hidden="false" customHeight="true" outlineLevel="0" collapsed="false">
      <c r="A378" s="1" t="str">
        <f aca="false">'Cleaned Data'!A378</f>
        <v>S00374</v>
      </c>
      <c r="B378" s="1" t="str">
        <f aca="false">'Cleaned Data'!B378</f>
        <v>P1603</v>
      </c>
      <c r="C378" s="1" t="str">
        <f aca="false">'Cleaned Data'!C378</f>
        <v>rojasjennifer</v>
      </c>
      <c r="D378" s="1" t="str">
        <f aca="false">'Cleaned Data'!D378</f>
        <v>Zombie Rush</v>
      </c>
      <c r="E378" s="1" t="str">
        <f aca="false">'Cleaned Data'!E378</f>
        <v>PC</v>
      </c>
      <c r="F378" s="1" t="str">
        <f aca="false">'Cleaned Data'!F378</f>
        <v>West</v>
      </c>
      <c r="G378" s="23" t="n">
        <f aca="false">'Cleaned Data'!G378</f>
        <v>45775</v>
      </c>
      <c r="H378" s="1" t="n">
        <f aca="false">'Cleaned Data'!H378</f>
        <v>59</v>
      </c>
      <c r="I378" s="24" t="n">
        <f aca="false">'Cleaned Data'!I378</f>
        <v>0</v>
      </c>
      <c r="J378" s="1" t="str">
        <f aca="false">'Cleaned Data'!J378</f>
        <v>None</v>
      </c>
      <c r="K378" s="1" t="str">
        <f aca="false">'Cleaned Data'!K378</f>
        <v>Completed</v>
      </c>
      <c r="L378" s="1" t="str">
        <f aca="false">'Cleaned Data'!L378</f>
        <v>Free</v>
      </c>
      <c r="M378" s="1" t="n">
        <f aca="false">'Cleaned Data'!M378</f>
        <v>36</v>
      </c>
      <c r="N378" s="1" t="str">
        <f aca="false">'Cleaned Data'!N378</f>
        <v>No</v>
      </c>
      <c r="O378" s="1" t="str">
        <f aca="false">TEXT(G378,"yyyy-mm")</f>
        <v>2025-04</v>
      </c>
      <c r="P378" s="1" t="str">
        <f aca="false">IF(H378&lt;20,"Low",IF(H378&lt;=60,"Medium","High"))</f>
        <v>Medium</v>
      </c>
      <c r="Q378" s="1" t="str">
        <f aca="false">IF(I378&gt;0,"Yes","No")</f>
        <v>No</v>
      </c>
      <c r="R378" s="1" t="n">
        <f aca="false">IF(N378="Yes",1,0)</f>
        <v>0</v>
      </c>
    </row>
    <row r="379" customFormat="false" ht="15" hidden="false" customHeight="true" outlineLevel="0" collapsed="false">
      <c r="A379" s="1" t="str">
        <f aca="false">'Cleaned Data'!A379</f>
        <v>S00375</v>
      </c>
      <c r="B379" s="1" t="str">
        <f aca="false">'Cleaned Data'!B379</f>
        <v>P5838</v>
      </c>
      <c r="C379" s="1" t="str">
        <f aca="false">'Cleaned Data'!C379</f>
        <v>christopher10</v>
      </c>
      <c r="D379" s="1" t="str">
        <f aca="false">'Cleaned Data'!D379</f>
        <v>Zombie Rush</v>
      </c>
      <c r="E379" s="1" t="str">
        <f aca="false">'Cleaned Data'!E379</f>
        <v>Console</v>
      </c>
      <c r="F379" s="1" t="str">
        <f aca="false">'Cleaned Data'!F379</f>
        <v>East</v>
      </c>
      <c r="G379" s="23" t="n">
        <f aca="false">'Cleaned Data'!G379</f>
        <v>45786</v>
      </c>
      <c r="H379" s="1" t="n">
        <f aca="false">'Cleaned Data'!H379</f>
        <v>79</v>
      </c>
      <c r="I379" s="24" t="n">
        <f aca="false">'Cleaned Data'!I379</f>
        <v>20.5</v>
      </c>
      <c r="J379" s="1" t="str">
        <f aca="false">'Cleaned Data'!J379</f>
        <v>Boosters</v>
      </c>
      <c r="K379" s="1" t="str">
        <f aca="false">'Cleaned Data'!K379</f>
        <v>Completed</v>
      </c>
      <c r="L379" s="1" t="str">
        <f aca="false">'Cleaned Data'!L379</f>
        <v>Paid</v>
      </c>
      <c r="M379" s="1" t="n">
        <f aca="false">'Cleaned Data'!M379</f>
        <v>5</v>
      </c>
      <c r="N379" s="1" t="str">
        <f aca="false">'Cleaned Data'!N379</f>
        <v>No</v>
      </c>
      <c r="O379" s="1" t="str">
        <f aca="false">TEXT(G379,"yyyy-mm")</f>
        <v>2025-05</v>
      </c>
      <c r="P379" s="1" t="str">
        <f aca="false">IF(H379&lt;20,"Low",IF(H379&lt;=60,"Medium","High"))</f>
        <v>High</v>
      </c>
      <c r="Q379" s="1" t="str">
        <f aca="false">IF(I379&gt;0,"Yes","No")</f>
        <v>Yes</v>
      </c>
      <c r="R379" s="1" t="n">
        <f aca="false">IF(N379="Yes",1,0)</f>
        <v>0</v>
      </c>
    </row>
    <row r="380" customFormat="false" ht="15" hidden="false" customHeight="true" outlineLevel="0" collapsed="false">
      <c r="A380" s="1" t="str">
        <f aca="false">'Cleaned Data'!A380</f>
        <v>S00376</v>
      </c>
      <c r="B380" s="1" t="str">
        <f aca="false">'Cleaned Data'!B380</f>
        <v>P4545</v>
      </c>
      <c r="C380" s="1" t="str">
        <f aca="false">'Cleaned Data'!C380</f>
        <v>monique85</v>
      </c>
      <c r="D380" s="1" t="str">
        <f aca="false">'Cleaned Data'!D380</f>
        <v>BattleZone</v>
      </c>
      <c r="E380" s="1" t="str">
        <f aca="false">'Cleaned Data'!E380</f>
        <v>PC</v>
      </c>
      <c r="F380" s="1" t="str">
        <f aca="false">'Cleaned Data'!F380</f>
        <v>South</v>
      </c>
      <c r="G380" s="23" t="n">
        <f aca="false">'Cleaned Data'!G380</f>
        <v>45651</v>
      </c>
      <c r="H380" s="1" t="n">
        <f aca="false">'Cleaned Data'!H380</f>
        <v>167</v>
      </c>
      <c r="I380" s="24" t="n">
        <f aca="false">'Cleaned Data'!I380</f>
        <v>0</v>
      </c>
      <c r="J380" s="1" t="str">
        <f aca="false">'Cleaned Data'!J380</f>
        <v>None</v>
      </c>
      <c r="K380" s="1" t="str">
        <f aca="false">'Cleaned Data'!K380</f>
        <v>Completed</v>
      </c>
      <c r="L380" s="1" t="str">
        <f aca="false">'Cleaned Data'!L380</f>
        <v>Paid</v>
      </c>
      <c r="M380" s="1" t="n">
        <f aca="false">'Cleaned Data'!M380</f>
        <v>37</v>
      </c>
      <c r="N380" s="1" t="str">
        <f aca="false">'Cleaned Data'!N380</f>
        <v>Yes</v>
      </c>
      <c r="O380" s="1" t="str">
        <f aca="false">TEXT(G380,"yyyy-mm")</f>
        <v>2024-12</v>
      </c>
      <c r="P380" s="1" t="str">
        <f aca="false">IF(H380&lt;20,"Low",IF(H380&lt;=60,"Medium","High"))</f>
        <v>High</v>
      </c>
      <c r="Q380" s="1" t="str">
        <f aca="false">IF(I380&gt;0,"Yes","No")</f>
        <v>No</v>
      </c>
      <c r="R380" s="1" t="n">
        <f aca="false">IF(N380="Yes",1,0)</f>
        <v>1</v>
      </c>
    </row>
    <row r="381" customFormat="false" ht="15" hidden="false" customHeight="true" outlineLevel="0" collapsed="false">
      <c r="A381" s="1" t="str">
        <f aca="false">'Cleaned Data'!A381</f>
        <v>S00377</v>
      </c>
      <c r="B381" s="1" t="str">
        <f aca="false">'Cleaned Data'!B381</f>
        <v>P7247</v>
      </c>
      <c r="C381" s="1" t="str">
        <f aca="false">'Cleaned Data'!C381</f>
        <v>hhuff</v>
      </c>
      <c r="D381" s="1" t="str">
        <f aca="false">'Cleaned Data'!D381</f>
        <v>BattleZone</v>
      </c>
      <c r="E381" s="1" t="str">
        <f aca="false">'Cleaned Data'!E381</f>
        <v>Console</v>
      </c>
      <c r="F381" s="1" t="str">
        <f aca="false">'Cleaned Data'!F381</f>
        <v>South</v>
      </c>
      <c r="G381" s="23" t="n">
        <f aca="false">'Cleaned Data'!G381</f>
        <v>45765</v>
      </c>
      <c r="H381" s="1" t="n">
        <f aca="false">'Cleaned Data'!H381</f>
        <v>165</v>
      </c>
      <c r="I381" s="24" t="n">
        <f aca="false">'Cleaned Data'!I381</f>
        <v>21.99</v>
      </c>
      <c r="J381" s="1" t="str">
        <f aca="false">'Cleaned Data'!J381</f>
        <v>Boosters</v>
      </c>
      <c r="K381" s="1" t="str">
        <f aca="false">'Cleaned Data'!K381</f>
        <v>Exited Early</v>
      </c>
      <c r="L381" s="1" t="str">
        <f aca="false">'Cleaned Data'!L381</f>
        <v>Paid</v>
      </c>
      <c r="M381" s="1" t="n">
        <f aca="false">'Cleaned Data'!M381</f>
        <v>45</v>
      </c>
      <c r="N381" s="1" t="str">
        <f aca="false">'Cleaned Data'!N381</f>
        <v>Yes</v>
      </c>
      <c r="O381" s="1" t="str">
        <f aca="false">TEXT(G381,"yyyy-mm")</f>
        <v>2025-04</v>
      </c>
      <c r="P381" s="1" t="str">
        <f aca="false">IF(H381&lt;20,"Low",IF(H381&lt;=60,"Medium","High"))</f>
        <v>High</v>
      </c>
      <c r="Q381" s="1" t="str">
        <f aca="false">IF(I381&gt;0,"Yes","No")</f>
        <v>Yes</v>
      </c>
      <c r="R381" s="1" t="n">
        <f aca="false">IF(N381="Yes",1,0)</f>
        <v>1</v>
      </c>
    </row>
    <row r="382" customFormat="false" ht="15" hidden="false" customHeight="true" outlineLevel="0" collapsed="false">
      <c r="A382" s="1" t="str">
        <f aca="false">'Cleaned Data'!A382</f>
        <v>S00378</v>
      </c>
      <c r="B382" s="1" t="str">
        <f aca="false">'Cleaned Data'!B382</f>
        <v>P2591</v>
      </c>
      <c r="C382" s="1" t="str">
        <f aca="false">'Cleaned Data'!C382</f>
        <v>caitlingonzales</v>
      </c>
      <c r="D382" s="1" t="str">
        <f aca="false">'Cleaned Data'!D382</f>
        <v>BattleZone</v>
      </c>
      <c r="E382" s="1" t="str">
        <f aca="false">'Cleaned Data'!E382</f>
        <v>Console</v>
      </c>
      <c r="F382" s="1" t="str">
        <f aca="false">'Cleaned Data'!F382</f>
        <v>South</v>
      </c>
      <c r="G382" s="23" t="n">
        <f aca="false">'Cleaned Data'!G382</f>
        <v>45788</v>
      </c>
      <c r="H382" s="1" t="n">
        <f aca="false">'Cleaned Data'!H382</f>
        <v>109</v>
      </c>
      <c r="I382" s="24" t="n">
        <f aca="false">'Cleaned Data'!I382</f>
        <v>39.87</v>
      </c>
      <c r="J382" s="1" t="str">
        <f aca="false">'Cleaned Data'!J382</f>
        <v>Boosters</v>
      </c>
      <c r="K382" s="1" t="str">
        <f aca="false">'Cleaned Data'!K382</f>
        <v>Completed</v>
      </c>
      <c r="L382" s="1" t="str">
        <f aca="false">'Cleaned Data'!L382</f>
        <v>Paid</v>
      </c>
      <c r="M382" s="1" t="n">
        <f aca="false">'Cleaned Data'!M382</f>
        <v>13</v>
      </c>
      <c r="N382" s="1" t="str">
        <f aca="false">'Cleaned Data'!N382</f>
        <v>No</v>
      </c>
      <c r="O382" s="1" t="str">
        <f aca="false">TEXT(G382,"yyyy-mm")</f>
        <v>2025-05</v>
      </c>
      <c r="P382" s="1" t="str">
        <f aca="false">IF(H382&lt;20,"Low",IF(H382&lt;=60,"Medium","High"))</f>
        <v>High</v>
      </c>
      <c r="Q382" s="1" t="str">
        <f aca="false">IF(I382&gt;0,"Yes","No")</f>
        <v>Yes</v>
      </c>
      <c r="R382" s="1" t="n">
        <f aca="false">IF(N382="Yes",1,0)</f>
        <v>0</v>
      </c>
    </row>
    <row r="383" customFormat="false" ht="15" hidden="false" customHeight="true" outlineLevel="0" collapsed="false">
      <c r="A383" s="1" t="str">
        <f aca="false">'Cleaned Data'!A383</f>
        <v>S00379</v>
      </c>
      <c r="B383" s="1" t="str">
        <f aca="false">'Cleaned Data'!B383</f>
        <v>P1302</v>
      </c>
      <c r="C383" s="1" t="str">
        <f aca="false">'Cleaned Data'!C383</f>
        <v>tdavis</v>
      </c>
      <c r="D383" s="1" t="str">
        <f aca="false">'Cleaned Data'!D383</f>
        <v>Clash of Realms</v>
      </c>
      <c r="E383" s="1" t="str">
        <f aca="false">'Cleaned Data'!E383</f>
        <v>Mobile</v>
      </c>
      <c r="F383" s="1" t="str">
        <f aca="false">'Cleaned Data'!F383</f>
        <v>South</v>
      </c>
      <c r="G383" s="23" t="n">
        <f aca="false">'Cleaned Data'!G383</f>
        <v>45733</v>
      </c>
      <c r="H383" s="1" t="n">
        <f aca="false">'Cleaned Data'!H383</f>
        <v>167</v>
      </c>
      <c r="I383" s="24" t="n">
        <f aca="false">'Cleaned Data'!I383</f>
        <v>0</v>
      </c>
      <c r="J383" s="1" t="str">
        <f aca="false">'Cleaned Data'!J383</f>
        <v>None</v>
      </c>
      <c r="K383" s="1" t="str">
        <f aca="false">'Cleaned Data'!K383</f>
        <v>Exited Early</v>
      </c>
      <c r="L383" s="1" t="str">
        <f aca="false">'Cleaned Data'!L383</f>
        <v>Paid</v>
      </c>
      <c r="M383" s="1" t="n">
        <f aca="false">'Cleaned Data'!M383</f>
        <v>28</v>
      </c>
      <c r="N383" s="1" t="str">
        <f aca="false">'Cleaned Data'!N383</f>
        <v>Yes</v>
      </c>
      <c r="O383" s="1" t="str">
        <f aca="false">TEXT(G383,"yyyy-mm")</f>
        <v>2025-03</v>
      </c>
      <c r="P383" s="1" t="str">
        <f aca="false">IF(H383&lt;20,"Low",IF(H383&lt;=60,"Medium","High"))</f>
        <v>High</v>
      </c>
      <c r="Q383" s="1" t="str">
        <f aca="false">IF(I383&gt;0,"Yes","No")</f>
        <v>No</v>
      </c>
      <c r="R383" s="1" t="n">
        <f aca="false">IF(N383="Yes",1,0)</f>
        <v>1</v>
      </c>
    </row>
    <row r="384" customFormat="false" ht="15" hidden="false" customHeight="true" outlineLevel="0" collapsed="false">
      <c r="A384" s="1" t="str">
        <f aca="false">'Cleaned Data'!A384</f>
        <v>S00380</v>
      </c>
      <c r="B384" s="1" t="str">
        <f aca="false">'Cleaned Data'!B384</f>
        <v>P7023</v>
      </c>
      <c r="C384" s="1" t="str">
        <f aca="false">'Cleaned Data'!C384</f>
        <v>jessicacisneros</v>
      </c>
      <c r="D384" s="1" t="str">
        <f aca="false">'Cleaned Data'!D384</f>
        <v>SpeedX</v>
      </c>
      <c r="E384" s="1" t="str">
        <f aca="false">'Cleaned Data'!E384</f>
        <v>Mobile</v>
      </c>
      <c r="F384" s="1" t="str">
        <f aca="false">'Cleaned Data'!F384</f>
        <v>West</v>
      </c>
      <c r="G384" s="23" t="n">
        <f aca="false">'Cleaned Data'!G384</f>
        <v>45694</v>
      </c>
      <c r="H384" s="1" t="n">
        <f aca="false">'Cleaned Data'!H384</f>
        <v>36</v>
      </c>
      <c r="I384" s="24" t="n">
        <f aca="false">'Cleaned Data'!I384</f>
        <v>14.75</v>
      </c>
      <c r="J384" s="1" t="str">
        <f aca="false">'Cleaned Data'!J384</f>
        <v>Battle Pass</v>
      </c>
      <c r="K384" s="1" t="str">
        <f aca="false">'Cleaned Data'!K384</f>
        <v>Completed</v>
      </c>
      <c r="L384" s="1" t="str">
        <f aca="false">'Cleaned Data'!L384</f>
        <v>Paid</v>
      </c>
      <c r="M384" s="1" t="n">
        <f aca="false">'Cleaned Data'!M384</f>
        <v>46</v>
      </c>
      <c r="N384" s="1" t="str">
        <f aca="false">'Cleaned Data'!N384</f>
        <v>No</v>
      </c>
      <c r="O384" s="1" t="str">
        <f aca="false">TEXT(G384,"yyyy-mm")</f>
        <v>2025-02</v>
      </c>
      <c r="P384" s="1" t="str">
        <f aca="false">IF(H384&lt;20,"Low",IF(H384&lt;=60,"Medium","High"))</f>
        <v>Medium</v>
      </c>
      <c r="Q384" s="1" t="str">
        <f aca="false">IF(I384&gt;0,"Yes","No")</f>
        <v>Yes</v>
      </c>
      <c r="R384" s="1" t="n">
        <f aca="false">IF(N384="Yes",1,0)</f>
        <v>0</v>
      </c>
    </row>
    <row r="385" customFormat="false" ht="15" hidden="false" customHeight="true" outlineLevel="0" collapsed="false">
      <c r="A385" s="1" t="str">
        <f aca="false">'Cleaned Data'!A385</f>
        <v>S00381</v>
      </c>
      <c r="B385" s="1" t="str">
        <f aca="false">'Cleaned Data'!B385</f>
        <v>P3795</v>
      </c>
      <c r="C385" s="1" t="str">
        <f aca="false">'Cleaned Data'!C385</f>
        <v>shelbyvalencia</v>
      </c>
      <c r="D385" s="1" t="str">
        <f aca="false">'Cleaned Data'!D385</f>
        <v>SpeedX</v>
      </c>
      <c r="E385" s="1" t="str">
        <f aca="false">'Cleaned Data'!E385</f>
        <v>Mobile</v>
      </c>
      <c r="F385" s="1" t="str">
        <f aca="false">'Cleaned Data'!F385</f>
        <v>Central</v>
      </c>
      <c r="G385" s="23" t="n">
        <f aca="false">'Cleaned Data'!G385</f>
        <v>45737</v>
      </c>
      <c r="H385" s="1" t="n">
        <f aca="false">'Cleaned Data'!H385</f>
        <v>54</v>
      </c>
      <c r="I385" s="24" t="n">
        <f aca="false">'Cleaned Data'!I385</f>
        <v>0</v>
      </c>
      <c r="J385" s="1" t="str">
        <f aca="false">'Cleaned Data'!J385</f>
        <v>None</v>
      </c>
      <c r="K385" s="1" t="str">
        <f aca="false">'Cleaned Data'!K385</f>
        <v>Completed</v>
      </c>
      <c r="L385" s="1" t="str">
        <f aca="false">'Cleaned Data'!L385</f>
        <v>Free</v>
      </c>
      <c r="M385" s="1" t="n">
        <f aca="false">'Cleaned Data'!M385</f>
        <v>25</v>
      </c>
      <c r="N385" s="1" t="str">
        <f aca="false">'Cleaned Data'!N385</f>
        <v>No</v>
      </c>
      <c r="O385" s="1" t="str">
        <f aca="false">TEXT(G385,"yyyy-mm")</f>
        <v>2025-03</v>
      </c>
      <c r="P385" s="1" t="str">
        <f aca="false">IF(H385&lt;20,"Low",IF(H385&lt;=60,"Medium","High"))</f>
        <v>Medium</v>
      </c>
      <c r="Q385" s="1" t="str">
        <f aca="false">IF(I385&gt;0,"Yes","No")</f>
        <v>No</v>
      </c>
      <c r="R385" s="1" t="n">
        <f aca="false">IF(N385="Yes",1,0)</f>
        <v>0</v>
      </c>
    </row>
    <row r="386" customFormat="false" ht="15" hidden="false" customHeight="true" outlineLevel="0" collapsed="false">
      <c r="A386" s="1" t="str">
        <f aca="false">'Cleaned Data'!A386</f>
        <v>S00382</v>
      </c>
      <c r="B386" s="1" t="str">
        <f aca="false">'Cleaned Data'!B386</f>
        <v>P6609</v>
      </c>
      <c r="C386" s="1" t="str">
        <f aca="false">'Cleaned Data'!C386</f>
        <v>jonathan22</v>
      </c>
      <c r="D386" s="1" t="str">
        <f aca="false">'Cleaned Data'!D386</f>
        <v>BattleZone</v>
      </c>
      <c r="E386" s="1" t="str">
        <f aca="false">'Cleaned Data'!E386</f>
        <v>Console</v>
      </c>
      <c r="F386" s="1" t="str">
        <f aca="false">'Cleaned Data'!F386</f>
        <v>North</v>
      </c>
      <c r="G386" s="23" t="n">
        <f aca="false">'Cleaned Data'!G386</f>
        <v>45656</v>
      </c>
      <c r="H386" s="1" t="n">
        <f aca="false">'Cleaned Data'!H386</f>
        <v>15</v>
      </c>
      <c r="I386" s="24" t="n">
        <f aca="false">'Cleaned Data'!I386</f>
        <v>0</v>
      </c>
      <c r="J386" s="1" t="str">
        <f aca="false">'Cleaned Data'!J386</f>
        <v>None</v>
      </c>
      <c r="K386" s="1" t="str">
        <f aca="false">'Cleaned Data'!K386</f>
        <v>Completed</v>
      </c>
      <c r="L386" s="1" t="str">
        <f aca="false">'Cleaned Data'!L386</f>
        <v>Free</v>
      </c>
      <c r="M386" s="1" t="n">
        <f aca="false">'Cleaned Data'!M386</f>
        <v>19</v>
      </c>
      <c r="N386" s="1" t="str">
        <f aca="false">'Cleaned Data'!N386</f>
        <v>No</v>
      </c>
      <c r="O386" s="1" t="str">
        <f aca="false">TEXT(G386,"yyyy-mm")</f>
        <v>2024-12</v>
      </c>
      <c r="P386" s="1" t="str">
        <f aca="false">IF(H386&lt;20,"Low",IF(H386&lt;=60,"Medium","High"))</f>
        <v>Low</v>
      </c>
      <c r="Q386" s="1" t="str">
        <f aca="false">IF(I386&gt;0,"Yes","No")</f>
        <v>No</v>
      </c>
      <c r="R386" s="1" t="n">
        <f aca="false">IF(N386="Yes",1,0)</f>
        <v>0</v>
      </c>
    </row>
    <row r="387" customFormat="false" ht="15" hidden="false" customHeight="true" outlineLevel="0" collapsed="false">
      <c r="A387" s="1" t="str">
        <f aca="false">'Cleaned Data'!A387</f>
        <v>S00383</v>
      </c>
      <c r="B387" s="1" t="str">
        <f aca="false">'Cleaned Data'!B387</f>
        <v>P8505</v>
      </c>
      <c r="C387" s="1" t="str">
        <f aca="false">'Cleaned Data'!C387</f>
        <v>derrickbuck</v>
      </c>
      <c r="D387" s="1" t="str">
        <f aca="false">'Cleaned Data'!D387</f>
        <v>SpeedX</v>
      </c>
      <c r="E387" s="1" t="str">
        <f aca="false">'Cleaned Data'!E387</f>
        <v>Console</v>
      </c>
      <c r="F387" s="1" t="str">
        <f aca="false">'Cleaned Data'!F387</f>
        <v>East</v>
      </c>
      <c r="G387" s="23" t="n">
        <f aca="false">'Cleaned Data'!G387</f>
        <v>45776</v>
      </c>
      <c r="H387" s="1" t="n">
        <f aca="false">'Cleaned Data'!H387</f>
        <v>101</v>
      </c>
      <c r="I387" s="24" t="n">
        <f aca="false">'Cleaned Data'!I387</f>
        <v>0</v>
      </c>
      <c r="J387" s="1" t="str">
        <f aca="false">'Cleaned Data'!J387</f>
        <v>None</v>
      </c>
      <c r="K387" s="1" t="str">
        <f aca="false">'Cleaned Data'!K387</f>
        <v>Incomplete</v>
      </c>
      <c r="L387" s="1" t="str">
        <f aca="false">'Cleaned Data'!L387</f>
        <v>Free</v>
      </c>
      <c r="M387" s="1" t="n">
        <f aca="false">'Cleaned Data'!M387</f>
        <v>41</v>
      </c>
      <c r="N387" s="1" t="str">
        <f aca="false">'Cleaned Data'!N387</f>
        <v>No</v>
      </c>
      <c r="O387" s="1" t="str">
        <f aca="false">TEXT(G387,"yyyy-mm")</f>
        <v>2025-04</v>
      </c>
      <c r="P387" s="1" t="str">
        <f aca="false">IF(H387&lt;20,"Low",IF(H387&lt;=60,"Medium","High"))</f>
        <v>High</v>
      </c>
      <c r="Q387" s="1" t="str">
        <f aca="false">IF(I387&gt;0,"Yes","No")</f>
        <v>No</v>
      </c>
      <c r="R387" s="1" t="n">
        <f aca="false">IF(N387="Yes",1,0)</f>
        <v>0</v>
      </c>
    </row>
    <row r="388" customFormat="false" ht="15" hidden="false" customHeight="true" outlineLevel="0" collapsed="false">
      <c r="A388" s="1" t="str">
        <f aca="false">'Cleaned Data'!A388</f>
        <v>S00384</v>
      </c>
      <c r="B388" s="1" t="str">
        <f aca="false">'Cleaned Data'!B388</f>
        <v>P6967</v>
      </c>
      <c r="C388" s="1" t="str">
        <f aca="false">'Cleaned Data'!C388</f>
        <v>zvargas</v>
      </c>
      <c r="D388" s="1" t="str">
        <f aca="false">'Cleaned Data'!D388</f>
        <v>SpeedX</v>
      </c>
      <c r="E388" s="1" t="str">
        <f aca="false">'Cleaned Data'!E388</f>
        <v>Mobile</v>
      </c>
      <c r="F388" s="1" t="str">
        <f aca="false">'Cleaned Data'!F388</f>
        <v>East</v>
      </c>
      <c r="G388" s="23" t="n">
        <f aca="false">'Cleaned Data'!G388</f>
        <v>45684</v>
      </c>
      <c r="H388" s="1" t="n">
        <f aca="false">'Cleaned Data'!H388</f>
        <v>79</v>
      </c>
      <c r="I388" s="24" t="n">
        <f aca="false">'Cleaned Data'!I388</f>
        <v>0</v>
      </c>
      <c r="J388" s="1" t="str">
        <f aca="false">'Cleaned Data'!J388</f>
        <v>None</v>
      </c>
      <c r="K388" s="1" t="str">
        <f aca="false">'Cleaned Data'!K388</f>
        <v>Completed</v>
      </c>
      <c r="L388" s="1" t="str">
        <f aca="false">'Cleaned Data'!L388</f>
        <v>Free</v>
      </c>
      <c r="M388" s="1" t="n">
        <f aca="false">'Cleaned Data'!M388</f>
        <v>48</v>
      </c>
      <c r="N388" s="1" t="str">
        <f aca="false">'Cleaned Data'!N388</f>
        <v>No</v>
      </c>
      <c r="O388" s="1" t="str">
        <f aca="false">TEXT(G388,"yyyy-mm")</f>
        <v>2025-01</v>
      </c>
      <c r="P388" s="1" t="str">
        <f aca="false">IF(H388&lt;20,"Low",IF(H388&lt;=60,"Medium","High"))</f>
        <v>High</v>
      </c>
      <c r="Q388" s="1" t="str">
        <f aca="false">IF(I388&gt;0,"Yes","No")</f>
        <v>No</v>
      </c>
      <c r="R388" s="1" t="n">
        <f aca="false">IF(N388="Yes",1,0)</f>
        <v>0</v>
      </c>
    </row>
    <row r="389" customFormat="false" ht="15" hidden="false" customHeight="true" outlineLevel="0" collapsed="false">
      <c r="A389" s="1" t="str">
        <f aca="false">'Cleaned Data'!A389</f>
        <v>S00385</v>
      </c>
      <c r="B389" s="1" t="str">
        <f aca="false">'Cleaned Data'!B389</f>
        <v>P5442</v>
      </c>
      <c r="C389" s="1" t="str">
        <f aca="false">'Cleaned Data'!C389</f>
        <v>rsutton</v>
      </c>
      <c r="D389" s="1" t="str">
        <f aca="false">'Cleaned Data'!D389</f>
        <v>Clash of Realms</v>
      </c>
      <c r="E389" s="1" t="str">
        <f aca="false">'Cleaned Data'!E389</f>
        <v>PC</v>
      </c>
      <c r="F389" s="1" t="str">
        <f aca="false">'Cleaned Data'!F389</f>
        <v>North</v>
      </c>
      <c r="G389" s="23" t="n">
        <f aca="false">'Cleaned Data'!G389</f>
        <v>45751</v>
      </c>
      <c r="H389" s="1" t="n">
        <f aca="false">'Cleaned Data'!H389</f>
        <v>13</v>
      </c>
      <c r="I389" s="24" t="n">
        <f aca="false">'Cleaned Data'!I389</f>
        <v>0</v>
      </c>
      <c r="J389" s="1" t="str">
        <f aca="false">'Cleaned Data'!J389</f>
        <v>None</v>
      </c>
      <c r="K389" s="1" t="str">
        <f aca="false">'Cleaned Data'!K389</f>
        <v>Completed</v>
      </c>
      <c r="L389" s="1" t="str">
        <f aca="false">'Cleaned Data'!L389</f>
        <v>Free</v>
      </c>
      <c r="M389" s="1" t="n">
        <f aca="false">'Cleaned Data'!M389</f>
        <v>13</v>
      </c>
      <c r="N389" s="1" t="str">
        <f aca="false">'Cleaned Data'!N389</f>
        <v>No</v>
      </c>
      <c r="O389" s="1" t="str">
        <f aca="false">TEXT(G389,"yyyy-mm")</f>
        <v>2025-04</v>
      </c>
      <c r="P389" s="1" t="str">
        <f aca="false">IF(H389&lt;20,"Low",IF(H389&lt;=60,"Medium","High"))</f>
        <v>Low</v>
      </c>
      <c r="Q389" s="1" t="str">
        <f aca="false">IF(I389&gt;0,"Yes","No")</f>
        <v>No</v>
      </c>
      <c r="R389" s="1" t="n">
        <f aca="false">IF(N389="Yes",1,0)</f>
        <v>0</v>
      </c>
    </row>
    <row r="390" customFormat="false" ht="15" hidden="false" customHeight="true" outlineLevel="0" collapsed="false">
      <c r="A390" s="1" t="str">
        <f aca="false">'Cleaned Data'!A390</f>
        <v>S00386</v>
      </c>
      <c r="B390" s="1" t="str">
        <f aca="false">'Cleaned Data'!B390</f>
        <v>P5885</v>
      </c>
      <c r="C390" s="1" t="str">
        <f aca="false">'Cleaned Data'!C390</f>
        <v>olopez</v>
      </c>
      <c r="D390" s="1" t="str">
        <f aca="false">'Cleaned Data'!D390</f>
        <v>Zombie Rush</v>
      </c>
      <c r="E390" s="1" t="str">
        <f aca="false">'Cleaned Data'!E390</f>
        <v>Console</v>
      </c>
      <c r="F390" s="1" t="str">
        <f aca="false">'Cleaned Data'!F390</f>
        <v>North-East</v>
      </c>
      <c r="G390" s="23" t="n">
        <f aca="false">'Cleaned Data'!G390</f>
        <v>45663</v>
      </c>
      <c r="H390" s="1" t="n">
        <f aca="false">'Cleaned Data'!H390</f>
        <v>157</v>
      </c>
      <c r="I390" s="24" t="n">
        <f aca="false">'Cleaned Data'!I390</f>
        <v>0</v>
      </c>
      <c r="J390" s="1" t="str">
        <f aca="false">'Cleaned Data'!J390</f>
        <v>None</v>
      </c>
      <c r="K390" s="1" t="str">
        <f aca="false">'Cleaned Data'!K390</f>
        <v>Completed</v>
      </c>
      <c r="L390" s="1" t="str">
        <f aca="false">'Cleaned Data'!L390</f>
        <v>Free</v>
      </c>
      <c r="M390" s="1" t="n">
        <f aca="false">'Cleaned Data'!M390</f>
        <v>22</v>
      </c>
      <c r="N390" s="1" t="str">
        <f aca="false">'Cleaned Data'!N390</f>
        <v>Yes</v>
      </c>
      <c r="O390" s="1" t="str">
        <f aca="false">TEXT(G390,"yyyy-mm")</f>
        <v>2025-01</v>
      </c>
      <c r="P390" s="1" t="str">
        <f aca="false">IF(H390&lt;20,"Low",IF(H390&lt;=60,"Medium","High"))</f>
        <v>High</v>
      </c>
      <c r="Q390" s="1" t="str">
        <f aca="false">IF(I390&gt;0,"Yes","No")</f>
        <v>No</v>
      </c>
      <c r="R390" s="1" t="n">
        <f aca="false">IF(N390="Yes",1,0)</f>
        <v>1</v>
      </c>
    </row>
    <row r="391" customFormat="false" ht="15" hidden="false" customHeight="true" outlineLevel="0" collapsed="false">
      <c r="A391" s="1" t="str">
        <f aca="false">'Cleaned Data'!A391</f>
        <v>S00387</v>
      </c>
      <c r="B391" s="1" t="str">
        <f aca="false">'Cleaned Data'!B391</f>
        <v>P2635</v>
      </c>
      <c r="C391" s="1" t="str">
        <f aca="false">'Cleaned Data'!C391</f>
        <v>carol86</v>
      </c>
      <c r="D391" s="1" t="str">
        <f aca="false">'Cleaned Data'!D391</f>
        <v>SpeedX</v>
      </c>
      <c r="E391" s="1" t="str">
        <f aca="false">'Cleaned Data'!E391</f>
        <v>Console</v>
      </c>
      <c r="F391" s="1" t="str">
        <f aca="false">'Cleaned Data'!F391</f>
        <v>North-East</v>
      </c>
      <c r="G391" s="23" t="n">
        <f aca="false">'Cleaned Data'!G391</f>
        <v>45813</v>
      </c>
      <c r="H391" s="1" t="n">
        <f aca="false">'Cleaned Data'!H391</f>
        <v>6</v>
      </c>
      <c r="I391" s="24" t="n">
        <f aca="false">'Cleaned Data'!I391</f>
        <v>0</v>
      </c>
      <c r="J391" s="1" t="str">
        <f aca="false">'Cleaned Data'!J391</f>
        <v>None</v>
      </c>
      <c r="K391" s="1" t="str">
        <f aca="false">'Cleaned Data'!K391</f>
        <v>Crashed</v>
      </c>
      <c r="L391" s="1" t="str">
        <f aca="false">'Cleaned Data'!L391</f>
        <v>Free</v>
      </c>
      <c r="M391" s="1" t="n">
        <f aca="false">'Cleaned Data'!M391</f>
        <v>7</v>
      </c>
      <c r="N391" s="1" t="str">
        <f aca="false">'Cleaned Data'!N391</f>
        <v>No</v>
      </c>
      <c r="O391" s="1" t="str">
        <f aca="false">TEXT(G391,"yyyy-mm")</f>
        <v>2025-06</v>
      </c>
      <c r="P391" s="1" t="str">
        <f aca="false">IF(H391&lt;20,"Low",IF(H391&lt;=60,"Medium","High"))</f>
        <v>Low</v>
      </c>
      <c r="Q391" s="1" t="str">
        <f aca="false">IF(I391&gt;0,"Yes","No")</f>
        <v>No</v>
      </c>
      <c r="R391" s="1" t="n">
        <f aca="false">IF(N391="Yes",1,0)</f>
        <v>0</v>
      </c>
    </row>
    <row r="392" customFormat="false" ht="15" hidden="false" customHeight="true" outlineLevel="0" collapsed="false">
      <c r="A392" s="1" t="str">
        <f aca="false">'Cleaned Data'!A392</f>
        <v>S00388</v>
      </c>
      <c r="B392" s="1" t="str">
        <f aca="false">'Cleaned Data'!B392</f>
        <v>P6440</v>
      </c>
      <c r="C392" s="1" t="str">
        <f aca="false">'Cleaned Data'!C392</f>
        <v>lisabarber</v>
      </c>
      <c r="D392" s="1" t="str">
        <f aca="false">'Cleaned Data'!D392</f>
        <v>Clash of Realms</v>
      </c>
      <c r="E392" s="1" t="str">
        <f aca="false">'Cleaned Data'!E392</f>
        <v>Console</v>
      </c>
      <c r="F392" s="1" t="str">
        <f aca="false">'Cleaned Data'!F392</f>
        <v>North</v>
      </c>
      <c r="G392" s="23" t="n">
        <f aca="false">'Cleaned Data'!G392</f>
        <v>45809</v>
      </c>
      <c r="H392" s="1" t="n">
        <f aca="false">'Cleaned Data'!H392</f>
        <v>134</v>
      </c>
      <c r="I392" s="24" t="n">
        <f aca="false">'Cleaned Data'!I392</f>
        <v>0</v>
      </c>
      <c r="J392" s="1" t="str">
        <f aca="false">'Cleaned Data'!J392</f>
        <v>None</v>
      </c>
      <c r="K392" s="1" t="str">
        <f aca="false">'Cleaned Data'!K392</f>
        <v>Completed</v>
      </c>
      <c r="L392" s="1" t="str">
        <f aca="false">'Cleaned Data'!L392</f>
        <v>Free</v>
      </c>
      <c r="M392" s="1" t="n">
        <f aca="false">'Cleaned Data'!M392</f>
        <v>28</v>
      </c>
      <c r="N392" s="1" t="str">
        <f aca="false">'Cleaned Data'!N392</f>
        <v>No</v>
      </c>
      <c r="O392" s="1" t="str">
        <f aca="false">TEXT(G392,"yyyy-mm")</f>
        <v>2025-06</v>
      </c>
      <c r="P392" s="1" t="str">
        <f aca="false">IF(H392&lt;20,"Low",IF(H392&lt;=60,"Medium","High"))</f>
        <v>High</v>
      </c>
      <c r="Q392" s="1" t="str">
        <f aca="false">IF(I392&gt;0,"Yes","No")</f>
        <v>No</v>
      </c>
      <c r="R392" s="1" t="n">
        <f aca="false">IF(N392="Yes",1,0)</f>
        <v>0</v>
      </c>
    </row>
    <row r="393" customFormat="false" ht="15" hidden="false" customHeight="true" outlineLevel="0" collapsed="false">
      <c r="A393" s="1" t="str">
        <f aca="false">'Cleaned Data'!A393</f>
        <v>S00389</v>
      </c>
      <c r="B393" s="1" t="str">
        <f aca="false">'Cleaned Data'!B393</f>
        <v>P4758</v>
      </c>
      <c r="C393" s="1" t="str">
        <f aca="false">'Cleaned Data'!C393</f>
        <v>howardsamantha</v>
      </c>
      <c r="D393" s="1" t="str">
        <f aca="false">'Cleaned Data'!D393</f>
        <v>Empire Wars</v>
      </c>
      <c r="E393" s="1" t="str">
        <f aca="false">'Cleaned Data'!E393</f>
        <v>PC</v>
      </c>
      <c r="F393" s="1" t="str">
        <f aca="false">'Cleaned Data'!F393</f>
        <v>North-East</v>
      </c>
      <c r="G393" s="23" t="n">
        <f aca="false">'Cleaned Data'!G393</f>
        <v>45803</v>
      </c>
      <c r="H393" s="1" t="n">
        <f aca="false">'Cleaned Data'!H393</f>
        <v>76</v>
      </c>
      <c r="I393" s="24" t="n">
        <f aca="false">'Cleaned Data'!I393</f>
        <v>37.02</v>
      </c>
      <c r="J393" s="1" t="str">
        <f aca="false">'Cleaned Data'!J393</f>
        <v>Battle Pass</v>
      </c>
      <c r="K393" s="1" t="str">
        <f aca="false">'Cleaned Data'!K393</f>
        <v>Completed</v>
      </c>
      <c r="L393" s="1" t="str">
        <f aca="false">'Cleaned Data'!L393</f>
        <v>Paid</v>
      </c>
      <c r="M393" s="1" t="n">
        <f aca="false">'Cleaned Data'!M393</f>
        <v>4</v>
      </c>
      <c r="N393" s="1" t="str">
        <f aca="false">'Cleaned Data'!N393</f>
        <v>No</v>
      </c>
      <c r="O393" s="1" t="str">
        <f aca="false">TEXT(G393,"yyyy-mm")</f>
        <v>2025-05</v>
      </c>
      <c r="P393" s="1" t="str">
        <f aca="false">IF(H393&lt;20,"Low",IF(H393&lt;=60,"Medium","High"))</f>
        <v>High</v>
      </c>
      <c r="Q393" s="1" t="str">
        <f aca="false">IF(I393&gt;0,"Yes","No")</f>
        <v>Yes</v>
      </c>
      <c r="R393" s="1" t="n">
        <f aca="false">IF(N393="Yes",1,0)</f>
        <v>0</v>
      </c>
    </row>
    <row r="394" customFormat="false" ht="15" hidden="false" customHeight="true" outlineLevel="0" collapsed="false">
      <c r="A394" s="1" t="str">
        <f aca="false">'Cleaned Data'!A394</f>
        <v>S00390</v>
      </c>
      <c r="B394" s="1" t="str">
        <f aca="false">'Cleaned Data'!B394</f>
        <v>P9103</v>
      </c>
      <c r="C394" s="1" t="str">
        <f aca="false">'Cleaned Data'!C394</f>
        <v>lance41</v>
      </c>
      <c r="D394" s="1" t="str">
        <f aca="false">'Cleaned Data'!D394</f>
        <v>Zombie Rush</v>
      </c>
      <c r="E394" s="1" t="str">
        <f aca="false">'Cleaned Data'!E394</f>
        <v>Console</v>
      </c>
      <c r="F394" s="1" t="str">
        <f aca="false">'Cleaned Data'!F394</f>
        <v>West</v>
      </c>
      <c r="G394" s="23" t="n">
        <f aca="false">'Cleaned Data'!G394</f>
        <v>45783</v>
      </c>
      <c r="H394" s="1" t="n">
        <f aca="false">'Cleaned Data'!H394</f>
        <v>71</v>
      </c>
      <c r="I394" s="24" t="n">
        <f aca="false">'Cleaned Data'!I394</f>
        <v>0</v>
      </c>
      <c r="J394" s="1" t="str">
        <f aca="false">'Cleaned Data'!J394</f>
        <v>None</v>
      </c>
      <c r="K394" s="1" t="str">
        <f aca="false">'Cleaned Data'!K394</f>
        <v>Completed</v>
      </c>
      <c r="L394" s="1" t="str">
        <f aca="false">'Cleaned Data'!L394</f>
        <v>Free</v>
      </c>
      <c r="M394" s="1" t="n">
        <f aca="false">'Cleaned Data'!M394</f>
        <v>46</v>
      </c>
      <c r="N394" s="1" t="str">
        <f aca="false">'Cleaned Data'!N394</f>
        <v>No</v>
      </c>
      <c r="O394" s="1" t="str">
        <f aca="false">TEXT(G394,"yyyy-mm")</f>
        <v>2025-05</v>
      </c>
      <c r="P394" s="1" t="str">
        <f aca="false">IF(H394&lt;20,"Low",IF(H394&lt;=60,"Medium","High"))</f>
        <v>High</v>
      </c>
      <c r="Q394" s="1" t="str">
        <f aca="false">IF(I394&gt;0,"Yes","No")</f>
        <v>No</v>
      </c>
      <c r="R394" s="1" t="n">
        <f aca="false">IF(N394="Yes",1,0)</f>
        <v>0</v>
      </c>
    </row>
    <row r="395" customFormat="false" ht="15" hidden="false" customHeight="true" outlineLevel="0" collapsed="false">
      <c r="A395" s="1" t="str">
        <f aca="false">'Cleaned Data'!A395</f>
        <v>S00391</v>
      </c>
      <c r="B395" s="1" t="str">
        <f aca="false">'Cleaned Data'!B395</f>
        <v>P1344</v>
      </c>
      <c r="C395" s="1" t="str">
        <f aca="false">'Cleaned Data'!C395</f>
        <v>williamsonkirsten</v>
      </c>
      <c r="D395" s="1" t="str">
        <f aca="false">'Cleaned Data'!D395</f>
        <v>SpeedX</v>
      </c>
      <c r="E395" s="1" t="str">
        <f aca="false">'Cleaned Data'!E395</f>
        <v>PC</v>
      </c>
      <c r="F395" s="1" t="str">
        <f aca="false">'Cleaned Data'!F395</f>
        <v>West</v>
      </c>
      <c r="G395" s="23" t="n">
        <f aca="false">'Cleaned Data'!G395</f>
        <v>45660</v>
      </c>
      <c r="H395" s="1" t="n">
        <f aca="false">'Cleaned Data'!H395</f>
        <v>49</v>
      </c>
      <c r="I395" s="24" t="n">
        <f aca="false">'Cleaned Data'!I395</f>
        <v>19.43</v>
      </c>
      <c r="J395" s="1" t="str">
        <f aca="false">'Cleaned Data'!J395</f>
        <v>Battle Pass</v>
      </c>
      <c r="K395" s="1" t="str">
        <f aca="false">'Cleaned Data'!K395</f>
        <v>Completed</v>
      </c>
      <c r="L395" s="1" t="str">
        <f aca="false">'Cleaned Data'!L395</f>
        <v>Paid</v>
      </c>
      <c r="M395" s="1" t="n">
        <f aca="false">'Cleaned Data'!M395</f>
        <v>22</v>
      </c>
      <c r="N395" s="1" t="str">
        <f aca="false">'Cleaned Data'!N395</f>
        <v>No</v>
      </c>
      <c r="O395" s="1" t="str">
        <f aca="false">TEXT(G395,"yyyy-mm")</f>
        <v>2025-01</v>
      </c>
      <c r="P395" s="1" t="str">
        <f aca="false">IF(H395&lt;20,"Low",IF(H395&lt;=60,"Medium","High"))</f>
        <v>Medium</v>
      </c>
      <c r="Q395" s="1" t="str">
        <f aca="false">IF(I395&gt;0,"Yes","No")</f>
        <v>Yes</v>
      </c>
      <c r="R395" s="1" t="n">
        <f aca="false">IF(N395="Yes",1,0)</f>
        <v>0</v>
      </c>
    </row>
    <row r="396" customFormat="false" ht="15" hidden="false" customHeight="true" outlineLevel="0" collapsed="false">
      <c r="A396" s="1" t="str">
        <f aca="false">'Cleaned Data'!A396</f>
        <v>S00392</v>
      </c>
      <c r="B396" s="1" t="str">
        <f aca="false">'Cleaned Data'!B396</f>
        <v>P2684</v>
      </c>
      <c r="C396" s="1" t="str">
        <f aca="false">'Cleaned Data'!C396</f>
        <v>bellraymond</v>
      </c>
      <c r="D396" s="1" t="str">
        <f aca="false">'Cleaned Data'!D396</f>
        <v>Zombie Rush</v>
      </c>
      <c r="E396" s="1" t="str">
        <f aca="false">'Cleaned Data'!E396</f>
        <v>Mobile</v>
      </c>
      <c r="F396" s="1" t="str">
        <f aca="false">'Cleaned Data'!F396</f>
        <v>Central</v>
      </c>
      <c r="G396" s="23" t="n">
        <f aca="false">'Cleaned Data'!G396</f>
        <v>45808</v>
      </c>
      <c r="H396" s="1" t="n">
        <f aca="false">'Cleaned Data'!H396</f>
        <v>143</v>
      </c>
      <c r="I396" s="24" t="n">
        <f aca="false">'Cleaned Data'!I396</f>
        <v>0</v>
      </c>
      <c r="J396" s="1" t="str">
        <f aca="false">'Cleaned Data'!J396</f>
        <v>None</v>
      </c>
      <c r="K396" s="1" t="str">
        <f aca="false">'Cleaned Data'!K396</f>
        <v>Incomplete</v>
      </c>
      <c r="L396" s="1" t="str">
        <f aca="false">'Cleaned Data'!L396</f>
        <v>Free</v>
      </c>
      <c r="M396" s="1" t="n">
        <f aca="false">'Cleaned Data'!M396</f>
        <v>17</v>
      </c>
      <c r="N396" s="1" t="str">
        <f aca="false">'Cleaned Data'!N396</f>
        <v>No</v>
      </c>
      <c r="O396" s="1" t="str">
        <f aca="false">TEXT(G396,"yyyy-mm")</f>
        <v>2025-05</v>
      </c>
      <c r="P396" s="1" t="str">
        <f aca="false">IF(H396&lt;20,"Low",IF(H396&lt;=60,"Medium","High"))</f>
        <v>High</v>
      </c>
      <c r="Q396" s="1" t="str">
        <f aca="false">IF(I396&gt;0,"Yes","No")</f>
        <v>No</v>
      </c>
      <c r="R396" s="1" t="n">
        <f aca="false">IF(N396="Yes",1,0)</f>
        <v>0</v>
      </c>
    </row>
    <row r="397" customFormat="false" ht="15" hidden="false" customHeight="true" outlineLevel="0" collapsed="false">
      <c r="A397" s="1" t="str">
        <f aca="false">'Cleaned Data'!A397</f>
        <v>S00393</v>
      </c>
      <c r="B397" s="1" t="str">
        <f aca="false">'Cleaned Data'!B397</f>
        <v>P1494</v>
      </c>
      <c r="C397" s="1" t="str">
        <f aca="false">'Cleaned Data'!C397</f>
        <v>steven30</v>
      </c>
      <c r="D397" s="1" t="str">
        <f aca="false">'Cleaned Data'!D397</f>
        <v>Empire Wars</v>
      </c>
      <c r="E397" s="1" t="str">
        <f aca="false">'Cleaned Data'!E397</f>
        <v>Mobile</v>
      </c>
      <c r="F397" s="1" t="str">
        <f aca="false">'Cleaned Data'!F397</f>
        <v>West</v>
      </c>
      <c r="G397" s="23" t="n">
        <f aca="false">'Cleaned Data'!G397</f>
        <v>45703</v>
      </c>
      <c r="H397" s="1" t="n">
        <f aca="false">'Cleaned Data'!H397</f>
        <v>166</v>
      </c>
      <c r="I397" s="24" t="n">
        <f aca="false">'Cleaned Data'!I397</f>
        <v>0</v>
      </c>
      <c r="J397" s="1" t="str">
        <f aca="false">'Cleaned Data'!J397</f>
        <v>None</v>
      </c>
      <c r="K397" s="1" t="str">
        <f aca="false">'Cleaned Data'!K397</f>
        <v>Completed</v>
      </c>
      <c r="L397" s="1" t="str">
        <f aca="false">'Cleaned Data'!L397</f>
        <v>Free</v>
      </c>
      <c r="M397" s="1" t="n">
        <f aca="false">'Cleaned Data'!M397</f>
        <v>39</v>
      </c>
      <c r="N397" s="1" t="str">
        <f aca="false">'Cleaned Data'!N397</f>
        <v>Yes</v>
      </c>
      <c r="O397" s="1" t="str">
        <f aca="false">TEXT(G397,"yyyy-mm")</f>
        <v>2025-02</v>
      </c>
      <c r="P397" s="1" t="str">
        <f aca="false">IF(H397&lt;20,"Low",IF(H397&lt;=60,"Medium","High"))</f>
        <v>High</v>
      </c>
      <c r="Q397" s="1" t="str">
        <f aca="false">IF(I397&gt;0,"Yes","No")</f>
        <v>No</v>
      </c>
      <c r="R397" s="1" t="n">
        <f aca="false">IF(N397="Yes",1,0)</f>
        <v>1</v>
      </c>
    </row>
    <row r="398" customFormat="false" ht="15" hidden="false" customHeight="true" outlineLevel="0" collapsed="false">
      <c r="A398" s="1" t="str">
        <f aca="false">'Cleaned Data'!A398</f>
        <v>S00394</v>
      </c>
      <c r="B398" s="1" t="str">
        <f aca="false">'Cleaned Data'!B398</f>
        <v>P6548</v>
      </c>
      <c r="C398" s="1" t="str">
        <f aca="false">'Cleaned Data'!C398</f>
        <v>hillchristopher</v>
      </c>
      <c r="D398" s="1" t="str">
        <f aca="false">'Cleaned Data'!D398</f>
        <v>Zombie Rush</v>
      </c>
      <c r="E398" s="1" t="str">
        <f aca="false">'Cleaned Data'!E398</f>
        <v>PC</v>
      </c>
      <c r="F398" s="1" t="str">
        <f aca="false">'Cleaned Data'!F398</f>
        <v>North-East</v>
      </c>
      <c r="G398" s="23" t="n">
        <f aca="false">'Cleaned Data'!G398</f>
        <v>45806</v>
      </c>
      <c r="H398" s="1" t="n">
        <f aca="false">'Cleaned Data'!H398</f>
        <v>34</v>
      </c>
      <c r="I398" s="24" t="n">
        <f aca="false">'Cleaned Data'!I398</f>
        <v>0</v>
      </c>
      <c r="J398" s="1" t="str">
        <f aca="false">'Cleaned Data'!J398</f>
        <v>None</v>
      </c>
      <c r="K398" s="1" t="str">
        <f aca="false">'Cleaned Data'!K398</f>
        <v>Completed</v>
      </c>
      <c r="L398" s="1" t="str">
        <f aca="false">'Cleaned Data'!L398</f>
        <v>Free</v>
      </c>
      <c r="M398" s="1" t="n">
        <f aca="false">'Cleaned Data'!M398</f>
        <v>45</v>
      </c>
      <c r="N398" s="1" t="str">
        <f aca="false">'Cleaned Data'!N398</f>
        <v>No</v>
      </c>
      <c r="O398" s="1" t="str">
        <f aca="false">TEXT(G398,"yyyy-mm")</f>
        <v>2025-05</v>
      </c>
      <c r="P398" s="1" t="str">
        <f aca="false">IF(H398&lt;20,"Low",IF(H398&lt;=60,"Medium","High"))</f>
        <v>Medium</v>
      </c>
      <c r="Q398" s="1" t="str">
        <f aca="false">IF(I398&gt;0,"Yes","No")</f>
        <v>No</v>
      </c>
      <c r="R398" s="1" t="n">
        <f aca="false">IF(N398="Yes",1,0)</f>
        <v>0</v>
      </c>
    </row>
    <row r="399" customFormat="false" ht="15" hidden="false" customHeight="true" outlineLevel="0" collapsed="false">
      <c r="A399" s="1" t="str">
        <f aca="false">'Cleaned Data'!A399</f>
        <v>S00395</v>
      </c>
      <c r="B399" s="1" t="str">
        <f aca="false">'Cleaned Data'!B399</f>
        <v>P8926</v>
      </c>
      <c r="C399" s="1" t="str">
        <f aca="false">'Cleaned Data'!C399</f>
        <v>ftyler</v>
      </c>
      <c r="D399" s="1" t="str">
        <f aca="false">'Cleaned Data'!D399</f>
        <v>Empire Wars</v>
      </c>
      <c r="E399" s="1" t="str">
        <f aca="false">'Cleaned Data'!E399</f>
        <v>Console</v>
      </c>
      <c r="F399" s="1" t="str">
        <f aca="false">'Cleaned Data'!F399</f>
        <v>West</v>
      </c>
      <c r="G399" s="23" t="n">
        <f aca="false">'Cleaned Data'!G399</f>
        <v>45685</v>
      </c>
      <c r="H399" s="1" t="n">
        <f aca="false">'Cleaned Data'!H399</f>
        <v>57</v>
      </c>
      <c r="I399" s="24" t="n">
        <f aca="false">'Cleaned Data'!I399</f>
        <v>0</v>
      </c>
      <c r="J399" s="1" t="str">
        <f aca="false">'Cleaned Data'!J399</f>
        <v>None</v>
      </c>
      <c r="K399" s="1" t="str">
        <f aca="false">'Cleaned Data'!K399</f>
        <v>Completed</v>
      </c>
      <c r="L399" s="1" t="str">
        <f aca="false">'Cleaned Data'!L399</f>
        <v>Free</v>
      </c>
      <c r="M399" s="1" t="n">
        <f aca="false">'Cleaned Data'!M399</f>
        <v>1</v>
      </c>
      <c r="N399" s="1" t="str">
        <f aca="false">'Cleaned Data'!N399</f>
        <v>No</v>
      </c>
      <c r="O399" s="1" t="str">
        <f aca="false">TEXT(G399,"yyyy-mm")</f>
        <v>2025-01</v>
      </c>
      <c r="P399" s="1" t="str">
        <f aca="false">IF(H399&lt;20,"Low",IF(H399&lt;=60,"Medium","High"))</f>
        <v>Medium</v>
      </c>
      <c r="Q399" s="1" t="str">
        <f aca="false">IF(I399&gt;0,"Yes","No")</f>
        <v>No</v>
      </c>
      <c r="R399" s="1" t="n">
        <f aca="false">IF(N399="Yes",1,0)</f>
        <v>0</v>
      </c>
    </row>
    <row r="400" customFormat="false" ht="15" hidden="false" customHeight="true" outlineLevel="0" collapsed="false">
      <c r="A400" s="1" t="str">
        <f aca="false">'Cleaned Data'!A400</f>
        <v>S00396</v>
      </c>
      <c r="B400" s="1" t="str">
        <f aca="false">'Cleaned Data'!B400</f>
        <v>P2202</v>
      </c>
      <c r="C400" s="1" t="str">
        <f aca="false">'Cleaned Data'!C400</f>
        <v>soliskyle</v>
      </c>
      <c r="D400" s="1" t="str">
        <f aca="false">'Cleaned Data'!D400</f>
        <v>SpeedX</v>
      </c>
      <c r="E400" s="1" t="str">
        <f aca="false">'Cleaned Data'!E400</f>
        <v>Mobile</v>
      </c>
      <c r="F400" s="1" t="str">
        <f aca="false">'Cleaned Data'!F400</f>
        <v>East</v>
      </c>
      <c r="G400" s="23" t="n">
        <f aca="false">'Cleaned Data'!G400</f>
        <v>45739</v>
      </c>
      <c r="H400" s="1" t="n">
        <f aca="false">'Cleaned Data'!H400</f>
        <v>88</v>
      </c>
      <c r="I400" s="24" t="n">
        <f aca="false">'Cleaned Data'!I400</f>
        <v>0</v>
      </c>
      <c r="J400" s="1" t="str">
        <f aca="false">'Cleaned Data'!J400</f>
        <v>None</v>
      </c>
      <c r="K400" s="1" t="str">
        <f aca="false">'Cleaned Data'!K400</f>
        <v>Completed</v>
      </c>
      <c r="L400" s="1" t="str">
        <f aca="false">'Cleaned Data'!L400</f>
        <v>Free</v>
      </c>
      <c r="M400" s="1" t="n">
        <f aca="false">'Cleaned Data'!M400</f>
        <v>2</v>
      </c>
      <c r="N400" s="1" t="str">
        <f aca="false">'Cleaned Data'!N400</f>
        <v>No</v>
      </c>
      <c r="O400" s="1" t="str">
        <f aca="false">TEXT(G400,"yyyy-mm")</f>
        <v>2025-03</v>
      </c>
      <c r="P400" s="1" t="str">
        <f aca="false">IF(H400&lt;20,"Low",IF(H400&lt;=60,"Medium","High"))</f>
        <v>High</v>
      </c>
      <c r="Q400" s="1" t="str">
        <f aca="false">IF(I400&gt;0,"Yes","No")</f>
        <v>No</v>
      </c>
      <c r="R400" s="1" t="n">
        <f aca="false">IF(N400="Yes",1,0)</f>
        <v>0</v>
      </c>
    </row>
    <row r="401" customFormat="false" ht="15" hidden="false" customHeight="true" outlineLevel="0" collapsed="false">
      <c r="A401" s="1" t="str">
        <f aca="false">'Cleaned Data'!A401</f>
        <v>S00397</v>
      </c>
      <c r="B401" s="1" t="str">
        <f aca="false">'Cleaned Data'!B401</f>
        <v>P9321</v>
      </c>
      <c r="C401" s="1" t="str">
        <f aca="false">'Cleaned Data'!C401</f>
        <v>angelicawillis</v>
      </c>
      <c r="D401" s="1" t="str">
        <f aca="false">'Cleaned Data'!D401</f>
        <v>BattleZone</v>
      </c>
      <c r="E401" s="1" t="str">
        <f aca="false">'Cleaned Data'!E401</f>
        <v>Mobile</v>
      </c>
      <c r="F401" s="1" t="str">
        <f aca="false">'Cleaned Data'!F401</f>
        <v>North</v>
      </c>
      <c r="G401" s="23" t="n">
        <f aca="false">'Cleaned Data'!G401</f>
        <v>45784</v>
      </c>
      <c r="H401" s="1" t="n">
        <f aca="false">'Cleaned Data'!H401</f>
        <v>75</v>
      </c>
      <c r="I401" s="24" t="n">
        <f aca="false">'Cleaned Data'!I401</f>
        <v>0</v>
      </c>
      <c r="J401" s="1" t="str">
        <f aca="false">'Cleaned Data'!J401</f>
        <v>None</v>
      </c>
      <c r="K401" s="1" t="str">
        <f aca="false">'Cleaned Data'!K401</f>
        <v>Completed</v>
      </c>
      <c r="L401" s="1" t="str">
        <f aca="false">'Cleaned Data'!L401</f>
        <v>Free</v>
      </c>
      <c r="M401" s="1" t="n">
        <f aca="false">'Cleaned Data'!M401</f>
        <v>13</v>
      </c>
      <c r="N401" s="1" t="str">
        <f aca="false">'Cleaned Data'!N401</f>
        <v>No</v>
      </c>
      <c r="O401" s="1" t="str">
        <f aca="false">TEXT(G401,"yyyy-mm")</f>
        <v>2025-05</v>
      </c>
      <c r="P401" s="1" t="str">
        <f aca="false">IF(H401&lt;20,"Low",IF(H401&lt;=60,"Medium","High"))</f>
        <v>High</v>
      </c>
      <c r="Q401" s="1" t="str">
        <f aca="false">IF(I401&gt;0,"Yes","No")</f>
        <v>No</v>
      </c>
      <c r="R401" s="1" t="n">
        <f aca="false">IF(N401="Yes",1,0)</f>
        <v>0</v>
      </c>
    </row>
    <row r="402" customFormat="false" ht="15" hidden="false" customHeight="true" outlineLevel="0" collapsed="false">
      <c r="A402" s="1" t="str">
        <f aca="false">'Cleaned Data'!A402</f>
        <v>S00398</v>
      </c>
      <c r="B402" s="1" t="str">
        <f aca="false">'Cleaned Data'!B402</f>
        <v>P6922</v>
      </c>
      <c r="C402" s="1" t="str">
        <f aca="false">'Cleaned Data'!C402</f>
        <v>aprince</v>
      </c>
      <c r="D402" s="1" t="str">
        <f aca="false">'Cleaned Data'!D402</f>
        <v>SpeedX</v>
      </c>
      <c r="E402" s="1" t="str">
        <f aca="false">'Cleaned Data'!E402</f>
        <v>PC</v>
      </c>
      <c r="F402" s="1" t="str">
        <f aca="false">'Cleaned Data'!F402</f>
        <v>East</v>
      </c>
      <c r="G402" s="23" t="n">
        <f aca="false">'Cleaned Data'!G402</f>
        <v>45703</v>
      </c>
      <c r="H402" s="1" t="n">
        <f aca="false">'Cleaned Data'!H402</f>
        <v>129</v>
      </c>
      <c r="I402" s="24" t="n">
        <f aca="false">'Cleaned Data'!I402</f>
        <v>0</v>
      </c>
      <c r="J402" s="1" t="str">
        <f aca="false">'Cleaned Data'!J402</f>
        <v>None</v>
      </c>
      <c r="K402" s="1" t="str">
        <f aca="false">'Cleaned Data'!K402</f>
        <v>Incomplete</v>
      </c>
      <c r="L402" s="1" t="str">
        <f aca="false">'Cleaned Data'!L402</f>
        <v>Free</v>
      </c>
      <c r="M402" s="1" t="n">
        <f aca="false">'Cleaned Data'!M402</f>
        <v>37</v>
      </c>
      <c r="N402" s="1" t="str">
        <f aca="false">'Cleaned Data'!N402</f>
        <v>No</v>
      </c>
      <c r="O402" s="1" t="str">
        <f aca="false">TEXT(G402,"yyyy-mm")</f>
        <v>2025-02</v>
      </c>
      <c r="P402" s="1" t="str">
        <f aca="false">IF(H402&lt;20,"Low",IF(H402&lt;=60,"Medium","High"))</f>
        <v>High</v>
      </c>
      <c r="Q402" s="1" t="str">
        <f aca="false">IF(I402&gt;0,"Yes","No")</f>
        <v>No</v>
      </c>
      <c r="R402" s="1" t="n">
        <f aca="false">IF(N402="Yes",1,0)</f>
        <v>0</v>
      </c>
    </row>
    <row r="403" customFormat="false" ht="15" hidden="false" customHeight="true" outlineLevel="0" collapsed="false">
      <c r="A403" s="1" t="str">
        <f aca="false">'Cleaned Data'!A403</f>
        <v>S00399</v>
      </c>
      <c r="B403" s="1" t="str">
        <f aca="false">'Cleaned Data'!B403</f>
        <v>P6788</v>
      </c>
      <c r="C403" s="1" t="str">
        <f aca="false">'Cleaned Data'!C403</f>
        <v>dylanblack</v>
      </c>
      <c r="D403" s="1" t="str">
        <f aca="false">'Cleaned Data'!D403</f>
        <v>Zombie Rush</v>
      </c>
      <c r="E403" s="1" t="str">
        <f aca="false">'Cleaned Data'!E403</f>
        <v>Console</v>
      </c>
      <c r="F403" s="1" t="str">
        <f aca="false">'Cleaned Data'!F403</f>
        <v>East</v>
      </c>
      <c r="G403" s="23" t="n">
        <f aca="false">'Cleaned Data'!G403</f>
        <v>45753</v>
      </c>
      <c r="H403" s="1" t="n">
        <f aca="false">'Cleaned Data'!H403</f>
        <v>145</v>
      </c>
      <c r="I403" s="24" t="n">
        <f aca="false">'Cleaned Data'!I403</f>
        <v>0</v>
      </c>
      <c r="J403" s="1" t="str">
        <f aca="false">'Cleaned Data'!J403</f>
        <v>None</v>
      </c>
      <c r="K403" s="1" t="str">
        <f aca="false">'Cleaned Data'!K403</f>
        <v>Completed</v>
      </c>
      <c r="L403" s="1" t="str">
        <f aca="false">'Cleaned Data'!L403</f>
        <v>Free</v>
      </c>
      <c r="M403" s="1" t="n">
        <f aca="false">'Cleaned Data'!M403</f>
        <v>43</v>
      </c>
      <c r="N403" s="1" t="str">
        <f aca="false">'Cleaned Data'!N403</f>
        <v>No</v>
      </c>
      <c r="O403" s="1" t="str">
        <f aca="false">TEXT(G403,"yyyy-mm")</f>
        <v>2025-04</v>
      </c>
      <c r="P403" s="1" t="str">
        <f aca="false">IF(H403&lt;20,"Low",IF(H403&lt;=60,"Medium","High"))</f>
        <v>High</v>
      </c>
      <c r="Q403" s="1" t="str">
        <f aca="false">IF(I403&gt;0,"Yes","No")</f>
        <v>No</v>
      </c>
      <c r="R403" s="1" t="n">
        <f aca="false">IF(N403="Yes",1,0)</f>
        <v>0</v>
      </c>
    </row>
    <row r="404" customFormat="false" ht="15" hidden="false" customHeight="true" outlineLevel="0" collapsed="false">
      <c r="A404" s="1" t="str">
        <f aca="false">'Cleaned Data'!A404</f>
        <v>S00400</v>
      </c>
      <c r="B404" s="1" t="str">
        <f aca="false">'Cleaned Data'!B404</f>
        <v>P1936</v>
      </c>
      <c r="C404" s="1" t="str">
        <f aca="false">'Cleaned Data'!C404</f>
        <v>hoodchristopher</v>
      </c>
      <c r="D404" s="1" t="str">
        <f aca="false">'Cleaned Data'!D404</f>
        <v>Zombie Rush</v>
      </c>
      <c r="E404" s="1" t="str">
        <f aca="false">'Cleaned Data'!E404</f>
        <v>Console</v>
      </c>
      <c r="F404" s="1" t="str">
        <f aca="false">'Cleaned Data'!F404</f>
        <v>North</v>
      </c>
      <c r="G404" s="23" t="n">
        <f aca="false">'Cleaned Data'!G404</f>
        <v>45679</v>
      </c>
      <c r="H404" s="1" t="n">
        <f aca="false">'Cleaned Data'!H404</f>
        <v>23</v>
      </c>
      <c r="I404" s="24" t="n">
        <f aca="false">'Cleaned Data'!I404</f>
        <v>0</v>
      </c>
      <c r="J404" s="1" t="str">
        <f aca="false">'Cleaned Data'!J404</f>
        <v>None</v>
      </c>
      <c r="K404" s="1" t="str">
        <f aca="false">'Cleaned Data'!K404</f>
        <v>Completed</v>
      </c>
      <c r="L404" s="1" t="str">
        <f aca="false">'Cleaned Data'!L404</f>
        <v>Paid</v>
      </c>
      <c r="M404" s="1" t="n">
        <f aca="false">'Cleaned Data'!M404</f>
        <v>26</v>
      </c>
      <c r="N404" s="1" t="str">
        <f aca="false">'Cleaned Data'!N404</f>
        <v>No</v>
      </c>
      <c r="O404" s="1" t="str">
        <f aca="false">TEXT(G404,"yyyy-mm")</f>
        <v>2025-01</v>
      </c>
      <c r="P404" s="1" t="str">
        <f aca="false">IF(H404&lt;20,"Low",IF(H404&lt;=60,"Medium","High"))</f>
        <v>Medium</v>
      </c>
      <c r="Q404" s="1" t="str">
        <f aca="false">IF(I404&gt;0,"Yes","No")</f>
        <v>No</v>
      </c>
      <c r="R404" s="1" t="n">
        <f aca="false">IF(N404="Yes",1,0)</f>
        <v>0</v>
      </c>
    </row>
    <row r="405" customFormat="false" ht="15" hidden="false" customHeight="true" outlineLevel="0" collapsed="false">
      <c r="A405" s="1" t="str">
        <f aca="false">'Cleaned Data'!A405</f>
        <v>S00401</v>
      </c>
      <c r="B405" s="1" t="str">
        <f aca="false">'Cleaned Data'!B405</f>
        <v>P3613</v>
      </c>
      <c r="C405" s="1" t="str">
        <f aca="false">'Cleaned Data'!C405</f>
        <v>sandraclark</v>
      </c>
      <c r="D405" s="1" t="str">
        <f aca="false">'Cleaned Data'!D405</f>
        <v>SpeedX</v>
      </c>
      <c r="E405" s="1" t="str">
        <f aca="false">'Cleaned Data'!E405</f>
        <v>Mobile</v>
      </c>
      <c r="F405" s="1" t="str">
        <f aca="false">'Cleaned Data'!F405</f>
        <v>North</v>
      </c>
      <c r="G405" s="23" t="n">
        <f aca="false">'Cleaned Data'!G405</f>
        <v>45803</v>
      </c>
      <c r="H405" s="1" t="n">
        <f aca="false">'Cleaned Data'!H405</f>
        <v>105</v>
      </c>
      <c r="I405" s="24" t="n">
        <f aca="false">'Cleaned Data'!I405</f>
        <v>0</v>
      </c>
      <c r="J405" s="1" t="str">
        <f aca="false">'Cleaned Data'!J405</f>
        <v>None</v>
      </c>
      <c r="K405" s="1" t="str">
        <f aca="false">'Cleaned Data'!K405</f>
        <v>Completed</v>
      </c>
      <c r="L405" s="1" t="str">
        <f aca="false">'Cleaned Data'!L405</f>
        <v>Free</v>
      </c>
      <c r="M405" s="1" t="n">
        <f aca="false">'Cleaned Data'!M405</f>
        <v>24</v>
      </c>
      <c r="N405" s="1" t="str">
        <f aca="false">'Cleaned Data'!N405</f>
        <v>No</v>
      </c>
      <c r="O405" s="1" t="str">
        <f aca="false">TEXT(G405,"yyyy-mm")</f>
        <v>2025-05</v>
      </c>
      <c r="P405" s="1" t="str">
        <f aca="false">IF(H405&lt;20,"Low",IF(H405&lt;=60,"Medium","High"))</f>
        <v>High</v>
      </c>
      <c r="Q405" s="1" t="str">
        <f aca="false">IF(I405&gt;0,"Yes","No")</f>
        <v>No</v>
      </c>
      <c r="R405" s="1" t="n">
        <f aca="false">IF(N405="Yes",1,0)</f>
        <v>0</v>
      </c>
    </row>
    <row r="406" customFormat="false" ht="15" hidden="false" customHeight="true" outlineLevel="0" collapsed="false">
      <c r="A406" s="1" t="str">
        <f aca="false">'Cleaned Data'!A406</f>
        <v>S00402</v>
      </c>
      <c r="B406" s="1" t="str">
        <f aca="false">'Cleaned Data'!B406</f>
        <v>P1659</v>
      </c>
      <c r="C406" s="1" t="str">
        <f aca="false">'Cleaned Data'!C406</f>
        <v>ffitzpatrick</v>
      </c>
      <c r="D406" s="1" t="str">
        <f aca="false">'Cleaned Data'!D406</f>
        <v>Empire Wars</v>
      </c>
      <c r="E406" s="1" t="str">
        <f aca="false">'Cleaned Data'!E406</f>
        <v>Console</v>
      </c>
      <c r="F406" s="1" t="str">
        <f aca="false">'Cleaned Data'!F406</f>
        <v>North</v>
      </c>
      <c r="G406" s="23" t="n">
        <f aca="false">'Cleaned Data'!G406</f>
        <v>45804</v>
      </c>
      <c r="H406" s="1" t="n">
        <f aca="false">'Cleaned Data'!H406</f>
        <v>22</v>
      </c>
      <c r="I406" s="24" t="n">
        <f aca="false">'Cleaned Data'!I406</f>
        <v>42.28</v>
      </c>
      <c r="J406" s="1" t="str">
        <f aca="false">'Cleaned Data'!J406</f>
        <v>Subscriptions</v>
      </c>
      <c r="K406" s="1" t="str">
        <f aca="false">'Cleaned Data'!K406</f>
        <v>Incomplete</v>
      </c>
      <c r="L406" s="1" t="str">
        <f aca="false">'Cleaned Data'!L406</f>
        <v>Paid</v>
      </c>
      <c r="M406" s="1" t="n">
        <f aca="false">'Cleaned Data'!M406</f>
        <v>10</v>
      </c>
      <c r="N406" s="1" t="str">
        <f aca="false">'Cleaned Data'!N406</f>
        <v>Yes</v>
      </c>
      <c r="O406" s="1" t="str">
        <f aca="false">TEXT(G406,"yyyy-mm")</f>
        <v>2025-05</v>
      </c>
      <c r="P406" s="1" t="str">
        <f aca="false">IF(H406&lt;20,"Low",IF(H406&lt;=60,"Medium","High"))</f>
        <v>Medium</v>
      </c>
      <c r="Q406" s="1" t="str">
        <f aca="false">IF(I406&gt;0,"Yes","No")</f>
        <v>Yes</v>
      </c>
      <c r="R406" s="1" t="n">
        <f aca="false">IF(N406="Yes",1,0)</f>
        <v>1</v>
      </c>
    </row>
    <row r="407" customFormat="false" ht="15" hidden="false" customHeight="true" outlineLevel="0" collapsed="false">
      <c r="A407" s="1" t="str">
        <f aca="false">'Cleaned Data'!A407</f>
        <v>S00403</v>
      </c>
      <c r="B407" s="1" t="str">
        <f aca="false">'Cleaned Data'!B407</f>
        <v>P8982</v>
      </c>
      <c r="C407" s="1" t="str">
        <f aca="false">'Cleaned Data'!C407</f>
        <v>dominiquejohnson</v>
      </c>
      <c r="D407" s="1" t="str">
        <f aca="false">'Cleaned Data'!D407</f>
        <v>Empire Wars</v>
      </c>
      <c r="E407" s="1" t="str">
        <f aca="false">'Cleaned Data'!E407</f>
        <v>Mobile</v>
      </c>
      <c r="F407" s="1" t="str">
        <f aca="false">'Cleaned Data'!F407</f>
        <v>North-East</v>
      </c>
      <c r="G407" s="23" t="n">
        <f aca="false">'Cleaned Data'!G407</f>
        <v>45816</v>
      </c>
      <c r="H407" s="1" t="n">
        <f aca="false">'Cleaned Data'!H407</f>
        <v>41</v>
      </c>
      <c r="I407" s="24" t="n">
        <f aca="false">'Cleaned Data'!I407</f>
        <v>24.14</v>
      </c>
      <c r="J407" s="1" t="str">
        <f aca="false">'Cleaned Data'!J407</f>
        <v>Battle Pass</v>
      </c>
      <c r="K407" s="1" t="str">
        <f aca="false">'Cleaned Data'!K407</f>
        <v>Completed</v>
      </c>
      <c r="L407" s="1" t="str">
        <f aca="false">'Cleaned Data'!L407</f>
        <v>Paid</v>
      </c>
      <c r="M407" s="1" t="n">
        <f aca="false">'Cleaned Data'!M407</f>
        <v>28</v>
      </c>
      <c r="N407" s="1" t="str">
        <f aca="false">'Cleaned Data'!N407</f>
        <v>No</v>
      </c>
      <c r="O407" s="1" t="str">
        <f aca="false">TEXT(G407,"yyyy-mm")</f>
        <v>2025-06</v>
      </c>
      <c r="P407" s="1" t="str">
        <f aca="false">IF(H407&lt;20,"Low",IF(H407&lt;=60,"Medium","High"))</f>
        <v>Medium</v>
      </c>
      <c r="Q407" s="1" t="str">
        <f aca="false">IF(I407&gt;0,"Yes","No")</f>
        <v>Yes</v>
      </c>
      <c r="R407" s="1" t="n">
        <f aca="false">IF(N407="Yes",1,0)</f>
        <v>0</v>
      </c>
    </row>
    <row r="408" customFormat="false" ht="15" hidden="false" customHeight="true" outlineLevel="0" collapsed="false">
      <c r="A408" s="1" t="str">
        <f aca="false">'Cleaned Data'!A408</f>
        <v>S00404</v>
      </c>
      <c r="B408" s="1" t="str">
        <f aca="false">'Cleaned Data'!B408</f>
        <v>P4516</v>
      </c>
      <c r="C408" s="1" t="str">
        <f aca="false">'Cleaned Data'!C408</f>
        <v>sellersgregory</v>
      </c>
      <c r="D408" s="1" t="str">
        <f aca="false">'Cleaned Data'!D408</f>
        <v>SpeedX</v>
      </c>
      <c r="E408" s="1" t="str">
        <f aca="false">'Cleaned Data'!E408</f>
        <v>Console</v>
      </c>
      <c r="F408" s="1" t="str">
        <f aca="false">'Cleaned Data'!F408</f>
        <v>North-East</v>
      </c>
      <c r="G408" s="23" t="n">
        <f aca="false">'Cleaned Data'!G408</f>
        <v>45798</v>
      </c>
      <c r="H408" s="1" t="n">
        <f aca="false">'Cleaned Data'!H408</f>
        <v>9</v>
      </c>
      <c r="I408" s="24" t="n">
        <f aca="false">'Cleaned Data'!I408</f>
        <v>0</v>
      </c>
      <c r="J408" s="1" t="str">
        <f aca="false">'Cleaned Data'!J408</f>
        <v>None</v>
      </c>
      <c r="K408" s="1" t="str">
        <f aca="false">'Cleaned Data'!K408</f>
        <v>Exited Early</v>
      </c>
      <c r="L408" s="1" t="str">
        <f aca="false">'Cleaned Data'!L408</f>
        <v>Free</v>
      </c>
      <c r="M408" s="1" t="n">
        <f aca="false">'Cleaned Data'!M408</f>
        <v>40</v>
      </c>
      <c r="N408" s="1" t="str">
        <f aca="false">'Cleaned Data'!N408</f>
        <v>No</v>
      </c>
      <c r="O408" s="1" t="str">
        <f aca="false">TEXT(G408,"yyyy-mm")</f>
        <v>2025-05</v>
      </c>
      <c r="P408" s="1" t="str">
        <f aca="false">IF(H408&lt;20,"Low",IF(H408&lt;=60,"Medium","High"))</f>
        <v>Low</v>
      </c>
      <c r="Q408" s="1" t="str">
        <f aca="false">IF(I408&gt;0,"Yes","No")</f>
        <v>No</v>
      </c>
      <c r="R408" s="1" t="n">
        <f aca="false">IF(N408="Yes",1,0)</f>
        <v>0</v>
      </c>
    </row>
    <row r="409" customFormat="false" ht="15" hidden="false" customHeight="true" outlineLevel="0" collapsed="false">
      <c r="A409" s="1" t="str">
        <f aca="false">'Cleaned Data'!A409</f>
        <v>S00405</v>
      </c>
      <c r="B409" s="1" t="str">
        <f aca="false">'Cleaned Data'!B409</f>
        <v>P6700</v>
      </c>
      <c r="C409" s="1" t="str">
        <f aca="false">'Cleaned Data'!C409</f>
        <v>armstrongmary</v>
      </c>
      <c r="D409" s="1" t="str">
        <f aca="false">'Cleaned Data'!D409</f>
        <v>Clash of Realms</v>
      </c>
      <c r="E409" s="1" t="str">
        <f aca="false">'Cleaned Data'!E409</f>
        <v>Console</v>
      </c>
      <c r="F409" s="1" t="str">
        <f aca="false">'Cleaned Data'!F409</f>
        <v>North</v>
      </c>
      <c r="G409" s="23" t="n">
        <f aca="false">'Cleaned Data'!G409</f>
        <v>45700</v>
      </c>
      <c r="H409" s="1" t="n">
        <f aca="false">'Cleaned Data'!H409</f>
        <v>111</v>
      </c>
      <c r="I409" s="24" t="n">
        <f aca="false">'Cleaned Data'!I409</f>
        <v>0</v>
      </c>
      <c r="J409" s="1" t="str">
        <f aca="false">'Cleaned Data'!J409</f>
        <v>None</v>
      </c>
      <c r="K409" s="1" t="str">
        <f aca="false">'Cleaned Data'!K409</f>
        <v>Completed</v>
      </c>
      <c r="L409" s="1" t="str">
        <f aca="false">'Cleaned Data'!L409</f>
        <v>Free</v>
      </c>
      <c r="M409" s="1" t="n">
        <f aca="false">'Cleaned Data'!M409</f>
        <v>26</v>
      </c>
      <c r="N409" s="1" t="str">
        <f aca="false">'Cleaned Data'!N409</f>
        <v>No</v>
      </c>
      <c r="O409" s="1" t="str">
        <f aca="false">TEXT(G409,"yyyy-mm")</f>
        <v>2025-02</v>
      </c>
      <c r="P409" s="1" t="str">
        <f aca="false">IF(H409&lt;20,"Low",IF(H409&lt;=60,"Medium","High"))</f>
        <v>High</v>
      </c>
      <c r="Q409" s="1" t="str">
        <f aca="false">IF(I409&gt;0,"Yes","No")</f>
        <v>No</v>
      </c>
      <c r="R409" s="1" t="n">
        <f aca="false">IF(N409="Yes",1,0)</f>
        <v>0</v>
      </c>
    </row>
    <row r="410" customFormat="false" ht="15" hidden="false" customHeight="true" outlineLevel="0" collapsed="false">
      <c r="A410" s="1" t="str">
        <f aca="false">'Cleaned Data'!A410</f>
        <v>S00406</v>
      </c>
      <c r="B410" s="1" t="str">
        <f aca="false">'Cleaned Data'!B410</f>
        <v>P3545</v>
      </c>
      <c r="C410" s="1" t="str">
        <f aca="false">'Cleaned Data'!C410</f>
        <v>barnettdonna</v>
      </c>
      <c r="D410" s="1" t="str">
        <f aca="false">'Cleaned Data'!D410</f>
        <v>Empire Wars</v>
      </c>
      <c r="E410" s="1" t="str">
        <f aca="false">'Cleaned Data'!E410</f>
        <v>PC</v>
      </c>
      <c r="F410" s="1" t="str">
        <f aca="false">'Cleaned Data'!F410</f>
        <v>Central</v>
      </c>
      <c r="G410" s="23" t="n">
        <f aca="false">'Cleaned Data'!G410</f>
        <v>45801</v>
      </c>
      <c r="H410" s="1" t="n">
        <f aca="false">'Cleaned Data'!H410</f>
        <v>25</v>
      </c>
      <c r="I410" s="24" t="n">
        <f aca="false">'Cleaned Data'!I410</f>
        <v>0</v>
      </c>
      <c r="J410" s="1" t="str">
        <f aca="false">'Cleaned Data'!J410</f>
        <v>None</v>
      </c>
      <c r="K410" s="1" t="str">
        <f aca="false">'Cleaned Data'!K410</f>
        <v>Completed</v>
      </c>
      <c r="L410" s="1" t="str">
        <f aca="false">'Cleaned Data'!L410</f>
        <v>Free</v>
      </c>
      <c r="M410" s="1" t="n">
        <f aca="false">'Cleaned Data'!M410</f>
        <v>12</v>
      </c>
      <c r="N410" s="1" t="str">
        <f aca="false">'Cleaned Data'!N410</f>
        <v>No</v>
      </c>
      <c r="O410" s="1" t="str">
        <f aca="false">TEXT(G410,"yyyy-mm")</f>
        <v>2025-05</v>
      </c>
      <c r="P410" s="1" t="str">
        <f aca="false">IF(H410&lt;20,"Low",IF(H410&lt;=60,"Medium","High"))</f>
        <v>Medium</v>
      </c>
      <c r="Q410" s="1" t="str">
        <f aca="false">IF(I410&gt;0,"Yes","No")</f>
        <v>No</v>
      </c>
      <c r="R410" s="1" t="n">
        <f aca="false">IF(N410="Yes",1,0)</f>
        <v>0</v>
      </c>
    </row>
    <row r="411" customFormat="false" ht="15" hidden="false" customHeight="true" outlineLevel="0" collapsed="false">
      <c r="A411" s="1" t="str">
        <f aca="false">'Cleaned Data'!A411</f>
        <v>S00407</v>
      </c>
      <c r="B411" s="1" t="str">
        <f aca="false">'Cleaned Data'!B411</f>
        <v>P8156</v>
      </c>
      <c r="C411" s="1" t="str">
        <f aca="false">'Cleaned Data'!C411</f>
        <v>melissaphillips</v>
      </c>
      <c r="D411" s="1" t="str">
        <f aca="false">'Cleaned Data'!D411</f>
        <v>BattleZone</v>
      </c>
      <c r="E411" s="1" t="str">
        <f aca="false">'Cleaned Data'!E411</f>
        <v>Mobile</v>
      </c>
      <c r="F411" s="1" t="str">
        <f aca="false">'Cleaned Data'!F411</f>
        <v>North-East</v>
      </c>
      <c r="G411" s="23" t="n">
        <f aca="false">'Cleaned Data'!G411</f>
        <v>45701</v>
      </c>
      <c r="H411" s="1" t="n">
        <f aca="false">'Cleaned Data'!H411</f>
        <v>111</v>
      </c>
      <c r="I411" s="24" t="n">
        <f aca="false">'Cleaned Data'!I411</f>
        <v>46.08</v>
      </c>
      <c r="J411" s="1" t="str">
        <f aca="false">'Cleaned Data'!J411</f>
        <v>Boosters</v>
      </c>
      <c r="K411" s="1" t="str">
        <f aca="false">'Cleaned Data'!K411</f>
        <v>Crashed</v>
      </c>
      <c r="L411" s="1" t="str">
        <f aca="false">'Cleaned Data'!L411</f>
        <v>Paid</v>
      </c>
      <c r="M411" s="1" t="n">
        <f aca="false">'Cleaned Data'!M411</f>
        <v>15</v>
      </c>
      <c r="N411" s="1" t="str">
        <f aca="false">'Cleaned Data'!N411</f>
        <v>Yes</v>
      </c>
      <c r="O411" s="1" t="str">
        <f aca="false">TEXT(G411,"yyyy-mm")</f>
        <v>2025-02</v>
      </c>
      <c r="P411" s="1" t="str">
        <f aca="false">IF(H411&lt;20,"Low",IF(H411&lt;=60,"Medium","High"))</f>
        <v>High</v>
      </c>
      <c r="Q411" s="1" t="str">
        <f aca="false">IF(I411&gt;0,"Yes","No")</f>
        <v>Yes</v>
      </c>
      <c r="R411" s="1" t="n">
        <f aca="false">IF(N411="Yes",1,0)</f>
        <v>1</v>
      </c>
    </row>
    <row r="412" customFormat="false" ht="15" hidden="false" customHeight="true" outlineLevel="0" collapsed="false">
      <c r="A412" s="1" t="str">
        <f aca="false">'Cleaned Data'!A412</f>
        <v>S00408</v>
      </c>
      <c r="B412" s="1" t="str">
        <f aca="false">'Cleaned Data'!B412</f>
        <v>P9402</v>
      </c>
      <c r="C412" s="1" t="str">
        <f aca="false">'Cleaned Data'!C412</f>
        <v>hoffmandaniel</v>
      </c>
      <c r="D412" s="1" t="str">
        <f aca="false">'Cleaned Data'!D412</f>
        <v>SpeedX</v>
      </c>
      <c r="E412" s="1" t="str">
        <f aca="false">'Cleaned Data'!E412</f>
        <v>Console</v>
      </c>
      <c r="F412" s="1" t="str">
        <f aca="false">'Cleaned Data'!F412</f>
        <v>East</v>
      </c>
      <c r="G412" s="23" t="n">
        <f aca="false">'Cleaned Data'!G412</f>
        <v>45696</v>
      </c>
      <c r="H412" s="1" t="n">
        <f aca="false">'Cleaned Data'!H412</f>
        <v>144</v>
      </c>
      <c r="I412" s="24" t="n">
        <f aca="false">'Cleaned Data'!I412</f>
        <v>0</v>
      </c>
      <c r="J412" s="1" t="str">
        <f aca="false">'Cleaned Data'!J412</f>
        <v>None</v>
      </c>
      <c r="K412" s="1" t="str">
        <f aca="false">'Cleaned Data'!K412</f>
        <v>Incomplete</v>
      </c>
      <c r="L412" s="1" t="str">
        <f aca="false">'Cleaned Data'!L412</f>
        <v>Free</v>
      </c>
      <c r="M412" s="1" t="n">
        <f aca="false">'Cleaned Data'!M412</f>
        <v>36</v>
      </c>
      <c r="N412" s="1" t="str">
        <f aca="false">'Cleaned Data'!N412</f>
        <v>No</v>
      </c>
      <c r="O412" s="1" t="str">
        <f aca="false">TEXT(G412,"yyyy-mm")</f>
        <v>2025-02</v>
      </c>
      <c r="P412" s="1" t="str">
        <f aca="false">IF(H412&lt;20,"Low",IF(H412&lt;=60,"Medium","High"))</f>
        <v>High</v>
      </c>
      <c r="Q412" s="1" t="str">
        <f aca="false">IF(I412&gt;0,"Yes","No")</f>
        <v>No</v>
      </c>
      <c r="R412" s="1" t="n">
        <f aca="false">IF(N412="Yes",1,0)</f>
        <v>0</v>
      </c>
    </row>
    <row r="413" customFormat="false" ht="15" hidden="false" customHeight="true" outlineLevel="0" collapsed="false">
      <c r="A413" s="1" t="str">
        <f aca="false">'Cleaned Data'!A413</f>
        <v>S00409</v>
      </c>
      <c r="B413" s="1" t="str">
        <f aca="false">'Cleaned Data'!B413</f>
        <v>P2227</v>
      </c>
      <c r="C413" s="1" t="str">
        <f aca="false">'Cleaned Data'!C413</f>
        <v>thomascorey</v>
      </c>
      <c r="D413" s="1" t="str">
        <f aca="false">'Cleaned Data'!D413</f>
        <v>SpeedX</v>
      </c>
      <c r="E413" s="1" t="str">
        <f aca="false">'Cleaned Data'!E413</f>
        <v>Mobile</v>
      </c>
      <c r="F413" s="1" t="str">
        <f aca="false">'Cleaned Data'!F413</f>
        <v>West</v>
      </c>
      <c r="G413" s="23" t="n">
        <f aca="false">'Cleaned Data'!G413</f>
        <v>45667</v>
      </c>
      <c r="H413" s="1" t="n">
        <f aca="false">'Cleaned Data'!H413</f>
        <v>22</v>
      </c>
      <c r="I413" s="24" t="n">
        <f aca="false">'Cleaned Data'!I413</f>
        <v>17.35</v>
      </c>
      <c r="J413" s="1" t="str">
        <f aca="false">'Cleaned Data'!J413</f>
        <v>Battle Pass</v>
      </c>
      <c r="K413" s="1" t="str">
        <f aca="false">'Cleaned Data'!K413</f>
        <v>Crashed</v>
      </c>
      <c r="L413" s="1" t="str">
        <f aca="false">'Cleaned Data'!L413</f>
        <v>Paid</v>
      </c>
      <c r="M413" s="1" t="n">
        <f aca="false">'Cleaned Data'!M413</f>
        <v>49</v>
      </c>
      <c r="N413" s="1" t="str">
        <f aca="false">'Cleaned Data'!N413</f>
        <v>No</v>
      </c>
      <c r="O413" s="1" t="str">
        <f aca="false">TEXT(G413,"yyyy-mm")</f>
        <v>2025-01</v>
      </c>
      <c r="P413" s="1" t="str">
        <f aca="false">IF(H413&lt;20,"Low",IF(H413&lt;=60,"Medium","High"))</f>
        <v>Medium</v>
      </c>
      <c r="Q413" s="1" t="str">
        <f aca="false">IF(I413&gt;0,"Yes","No")</f>
        <v>Yes</v>
      </c>
      <c r="R413" s="1" t="n">
        <f aca="false">IF(N413="Yes",1,0)</f>
        <v>0</v>
      </c>
    </row>
    <row r="414" customFormat="false" ht="15" hidden="false" customHeight="true" outlineLevel="0" collapsed="false">
      <c r="A414" s="1" t="str">
        <f aca="false">'Cleaned Data'!A414</f>
        <v>S00410</v>
      </c>
      <c r="B414" s="1" t="str">
        <f aca="false">'Cleaned Data'!B414</f>
        <v>P2497</v>
      </c>
      <c r="C414" s="1" t="str">
        <f aca="false">'Cleaned Data'!C414</f>
        <v>thomas01</v>
      </c>
      <c r="D414" s="1" t="str">
        <f aca="false">'Cleaned Data'!D414</f>
        <v>Empire Wars</v>
      </c>
      <c r="E414" s="1" t="str">
        <f aca="false">'Cleaned Data'!E414</f>
        <v>Console</v>
      </c>
      <c r="F414" s="1" t="str">
        <f aca="false">'Cleaned Data'!F414</f>
        <v>North-East</v>
      </c>
      <c r="G414" s="23" t="n">
        <f aca="false">'Cleaned Data'!G414</f>
        <v>45701</v>
      </c>
      <c r="H414" s="1" t="n">
        <f aca="false">'Cleaned Data'!H414</f>
        <v>154</v>
      </c>
      <c r="I414" s="24" t="n">
        <f aca="false">'Cleaned Data'!I414</f>
        <v>0</v>
      </c>
      <c r="J414" s="1" t="str">
        <f aca="false">'Cleaned Data'!J414</f>
        <v>None</v>
      </c>
      <c r="K414" s="1" t="str">
        <f aca="false">'Cleaned Data'!K414</f>
        <v>Completed</v>
      </c>
      <c r="L414" s="1" t="str">
        <f aca="false">'Cleaned Data'!L414</f>
        <v>Free</v>
      </c>
      <c r="M414" s="1" t="n">
        <f aca="false">'Cleaned Data'!M414</f>
        <v>27</v>
      </c>
      <c r="N414" s="1" t="str">
        <f aca="false">'Cleaned Data'!N414</f>
        <v>Yes</v>
      </c>
      <c r="O414" s="1" t="str">
        <f aca="false">TEXT(G414,"yyyy-mm")</f>
        <v>2025-02</v>
      </c>
      <c r="P414" s="1" t="str">
        <f aca="false">IF(H414&lt;20,"Low",IF(H414&lt;=60,"Medium","High"))</f>
        <v>High</v>
      </c>
      <c r="Q414" s="1" t="str">
        <f aca="false">IF(I414&gt;0,"Yes","No")</f>
        <v>No</v>
      </c>
      <c r="R414" s="1" t="n">
        <f aca="false">IF(N414="Yes",1,0)</f>
        <v>1</v>
      </c>
    </row>
    <row r="415" customFormat="false" ht="15" hidden="false" customHeight="true" outlineLevel="0" collapsed="false">
      <c r="A415" s="1" t="str">
        <f aca="false">'Cleaned Data'!A415</f>
        <v>S00411</v>
      </c>
      <c r="B415" s="1" t="str">
        <f aca="false">'Cleaned Data'!B415</f>
        <v>P3311</v>
      </c>
      <c r="C415" s="1" t="str">
        <f aca="false">'Cleaned Data'!C415</f>
        <v>riddleaaron</v>
      </c>
      <c r="D415" s="1" t="str">
        <f aca="false">'Cleaned Data'!D415</f>
        <v>Clash of Realms</v>
      </c>
      <c r="E415" s="1" t="str">
        <f aca="false">'Cleaned Data'!E415</f>
        <v>Console</v>
      </c>
      <c r="F415" s="1" t="str">
        <f aca="false">'Cleaned Data'!F415</f>
        <v>East</v>
      </c>
      <c r="G415" s="23" t="n">
        <f aca="false">'Cleaned Data'!G415</f>
        <v>45673</v>
      </c>
      <c r="H415" s="1" t="n">
        <f aca="false">'Cleaned Data'!H415</f>
        <v>166</v>
      </c>
      <c r="I415" s="24" t="n">
        <f aca="false">'Cleaned Data'!I415</f>
        <v>0</v>
      </c>
      <c r="J415" s="1" t="str">
        <f aca="false">'Cleaned Data'!J415</f>
        <v>None</v>
      </c>
      <c r="K415" s="1" t="str">
        <f aca="false">'Cleaned Data'!K415</f>
        <v>Incomplete</v>
      </c>
      <c r="L415" s="1" t="str">
        <f aca="false">'Cleaned Data'!L415</f>
        <v>Free</v>
      </c>
      <c r="M415" s="1" t="n">
        <f aca="false">'Cleaned Data'!M415</f>
        <v>5</v>
      </c>
      <c r="N415" s="1" t="str">
        <f aca="false">'Cleaned Data'!N415</f>
        <v>Yes</v>
      </c>
      <c r="O415" s="1" t="str">
        <f aca="false">TEXT(G415,"yyyy-mm")</f>
        <v>2025-01</v>
      </c>
      <c r="P415" s="1" t="str">
        <f aca="false">IF(H415&lt;20,"Low",IF(H415&lt;=60,"Medium","High"))</f>
        <v>High</v>
      </c>
      <c r="Q415" s="1" t="str">
        <f aca="false">IF(I415&gt;0,"Yes","No")</f>
        <v>No</v>
      </c>
      <c r="R415" s="1" t="n">
        <f aca="false">IF(N415="Yes",1,0)</f>
        <v>1</v>
      </c>
    </row>
    <row r="416" customFormat="false" ht="15" hidden="false" customHeight="true" outlineLevel="0" collapsed="false">
      <c r="A416" s="1" t="str">
        <f aca="false">'Cleaned Data'!A416</f>
        <v>S00412</v>
      </c>
      <c r="B416" s="1" t="str">
        <f aca="false">'Cleaned Data'!B416</f>
        <v>P4171</v>
      </c>
      <c r="C416" s="1" t="str">
        <f aca="false">'Cleaned Data'!C416</f>
        <v>tdean</v>
      </c>
      <c r="D416" s="1" t="str">
        <f aca="false">'Cleaned Data'!D416</f>
        <v>SpeedX</v>
      </c>
      <c r="E416" s="1" t="str">
        <f aca="false">'Cleaned Data'!E416</f>
        <v>Console</v>
      </c>
      <c r="F416" s="1" t="str">
        <f aca="false">'Cleaned Data'!F416</f>
        <v>East</v>
      </c>
      <c r="G416" s="23" t="n">
        <f aca="false">'Cleaned Data'!G416</f>
        <v>45779</v>
      </c>
      <c r="H416" s="1" t="n">
        <f aca="false">'Cleaned Data'!H416</f>
        <v>16</v>
      </c>
      <c r="I416" s="24" t="n">
        <f aca="false">'Cleaned Data'!I416</f>
        <v>0</v>
      </c>
      <c r="J416" s="1" t="str">
        <f aca="false">'Cleaned Data'!J416</f>
        <v>None</v>
      </c>
      <c r="K416" s="1" t="str">
        <f aca="false">'Cleaned Data'!K416</f>
        <v>Completed</v>
      </c>
      <c r="L416" s="1" t="str">
        <f aca="false">'Cleaned Data'!L416</f>
        <v>Paid</v>
      </c>
      <c r="M416" s="1" t="n">
        <f aca="false">'Cleaned Data'!M416</f>
        <v>16</v>
      </c>
      <c r="N416" s="1" t="str">
        <f aca="false">'Cleaned Data'!N416</f>
        <v>No</v>
      </c>
      <c r="O416" s="1" t="str">
        <f aca="false">TEXT(G416,"yyyy-mm")</f>
        <v>2025-05</v>
      </c>
      <c r="P416" s="1" t="str">
        <f aca="false">IF(H416&lt;20,"Low",IF(H416&lt;=60,"Medium","High"))</f>
        <v>Low</v>
      </c>
      <c r="Q416" s="1" t="str">
        <f aca="false">IF(I416&gt;0,"Yes","No")</f>
        <v>No</v>
      </c>
      <c r="R416" s="1" t="n">
        <f aca="false">IF(N416="Yes",1,0)</f>
        <v>0</v>
      </c>
    </row>
    <row r="417" customFormat="false" ht="15" hidden="false" customHeight="true" outlineLevel="0" collapsed="false">
      <c r="A417" s="1" t="str">
        <f aca="false">'Cleaned Data'!A417</f>
        <v>S00413</v>
      </c>
      <c r="B417" s="1" t="str">
        <f aca="false">'Cleaned Data'!B417</f>
        <v>P5355</v>
      </c>
      <c r="C417" s="1" t="str">
        <f aca="false">'Cleaned Data'!C417</f>
        <v>bruce10</v>
      </c>
      <c r="D417" s="1" t="str">
        <f aca="false">'Cleaned Data'!D417</f>
        <v>Empire Wars</v>
      </c>
      <c r="E417" s="1" t="str">
        <f aca="false">'Cleaned Data'!E417</f>
        <v>Console</v>
      </c>
      <c r="F417" s="1" t="str">
        <f aca="false">'Cleaned Data'!F417</f>
        <v>North-East</v>
      </c>
      <c r="G417" s="23" t="n">
        <f aca="false">'Cleaned Data'!G417</f>
        <v>45677</v>
      </c>
      <c r="H417" s="1" t="n">
        <f aca="false">'Cleaned Data'!H417</f>
        <v>144</v>
      </c>
      <c r="I417" s="24" t="n">
        <f aca="false">'Cleaned Data'!I417</f>
        <v>0</v>
      </c>
      <c r="J417" s="1" t="str">
        <f aca="false">'Cleaned Data'!J417</f>
        <v>None</v>
      </c>
      <c r="K417" s="1" t="str">
        <f aca="false">'Cleaned Data'!K417</f>
        <v>Completed</v>
      </c>
      <c r="L417" s="1" t="str">
        <f aca="false">'Cleaned Data'!L417</f>
        <v>Free</v>
      </c>
      <c r="M417" s="1" t="n">
        <f aca="false">'Cleaned Data'!M417</f>
        <v>3</v>
      </c>
      <c r="N417" s="1" t="str">
        <f aca="false">'Cleaned Data'!N417</f>
        <v>No</v>
      </c>
      <c r="O417" s="1" t="str">
        <f aca="false">TEXT(G417,"yyyy-mm")</f>
        <v>2025-01</v>
      </c>
      <c r="P417" s="1" t="str">
        <f aca="false">IF(H417&lt;20,"Low",IF(H417&lt;=60,"Medium","High"))</f>
        <v>High</v>
      </c>
      <c r="Q417" s="1" t="str">
        <f aca="false">IF(I417&gt;0,"Yes","No")</f>
        <v>No</v>
      </c>
      <c r="R417" s="1" t="n">
        <f aca="false">IF(N417="Yes",1,0)</f>
        <v>0</v>
      </c>
    </row>
    <row r="418" customFormat="false" ht="15" hidden="false" customHeight="true" outlineLevel="0" collapsed="false">
      <c r="A418" s="1" t="str">
        <f aca="false">'Cleaned Data'!A418</f>
        <v>S00414</v>
      </c>
      <c r="B418" s="1" t="str">
        <f aca="false">'Cleaned Data'!B418</f>
        <v>P4285</v>
      </c>
      <c r="C418" s="1" t="str">
        <f aca="false">'Cleaned Data'!C418</f>
        <v>annettejackson</v>
      </c>
      <c r="D418" s="1" t="str">
        <f aca="false">'Cleaned Data'!D418</f>
        <v>Zombie Rush</v>
      </c>
      <c r="E418" s="1" t="str">
        <f aca="false">'Cleaned Data'!E418</f>
        <v>Mobile</v>
      </c>
      <c r="F418" s="1" t="str">
        <f aca="false">'Cleaned Data'!F418</f>
        <v>Central</v>
      </c>
      <c r="G418" s="23" t="n">
        <f aca="false">'Cleaned Data'!G418</f>
        <v>45796</v>
      </c>
      <c r="H418" s="1" t="n">
        <f aca="false">'Cleaned Data'!H418</f>
        <v>58</v>
      </c>
      <c r="I418" s="24" t="n">
        <f aca="false">'Cleaned Data'!I418</f>
        <v>0</v>
      </c>
      <c r="J418" s="1" t="str">
        <f aca="false">'Cleaned Data'!J418</f>
        <v>None</v>
      </c>
      <c r="K418" s="1" t="str">
        <f aca="false">'Cleaned Data'!K418</f>
        <v>Completed</v>
      </c>
      <c r="L418" s="1" t="str">
        <f aca="false">'Cleaned Data'!L418</f>
        <v>Free</v>
      </c>
      <c r="M418" s="1" t="n">
        <f aca="false">'Cleaned Data'!M418</f>
        <v>43</v>
      </c>
      <c r="N418" s="1" t="str">
        <f aca="false">'Cleaned Data'!N418</f>
        <v>No</v>
      </c>
      <c r="O418" s="1" t="str">
        <f aca="false">TEXT(G418,"yyyy-mm")</f>
        <v>2025-05</v>
      </c>
      <c r="P418" s="1" t="str">
        <f aca="false">IF(H418&lt;20,"Low",IF(H418&lt;=60,"Medium","High"))</f>
        <v>Medium</v>
      </c>
      <c r="Q418" s="1" t="str">
        <f aca="false">IF(I418&gt;0,"Yes","No")</f>
        <v>No</v>
      </c>
      <c r="R418" s="1" t="n">
        <f aca="false">IF(N418="Yes",1,0)</f>
        <v>0</v>
      </c>
    </row>
    <row r="419" customFormat="false" ht="15" hidden="false" customHeight="true" outlineLevel="0" collapsed="false">
      <c r="A419" s="1" t="str">
        <f aca="false">'Cleaned Data'!A419</f>
        <v>S00415</v>
      </c>
      <c r="B419" s="1" t="str">
        <f aca="false">'Cleaned Data'!B419</f>
        <v>P6369</v>
      </c>
      <c r="C419" s="1" t="str">
        <f aca="false">'Cleaned Data'!C419</f>
        <v>kingtroy</v>
      </c>
      <c r="D419" s="1" t="str">
        <f aca="false">'Cleaned Data'!D419</f>
        <v>Clash of Realms</v>
      </c>
      <c r="E419" s="1" t="str">
        <f aca="false">'Cleaned Data'!E419</f>
        <v>Console</v>
      </c>
      <c r="F419" s="1" t="str">
        <f aca="false">'Cleaned Data'!F419</f>
        <v>West</v>
      </c>
      <c r="G419" s="23" t="n">
        <f aca="false">'Cleaned Data'!G419</f>
        <v>45780</v>
      </c>
      <c r="H419" s="1" t="n">
        <f aca="false">'Cleaned Data'!H419</f>
        <v>95</v>
      </c>
      <c r="I419" s="24" t="n">
        <f aca="false">'Cleaned Data'!I419</f>
        <v>35.92</v>
      </c>
      <c r="J419" s="1" t="str">
        <f aca="false">'Cleaned Data'!J419</f>
        <v>Skins</v>
      </c>
      <c r="K419" s="1" t="str">
        <f aca="false">'Cleaned Data'!K419</f>
        <v>Exited Early</v>
      </c>
      <c r="L419" s="1" t="str">
        <f aca="false">'Cleaned Data'!L419</f>
        <v>Paid</v>
      </c>
      <c r="M419" s="1" t="n">
        <f aca="false">'Cleaned Data'!M419</f>
        <v>6</v>
      </c>
      <c r="N419" s="1" t="str">
        <f aca="false">'Cleaned Data'!N419</f>
        <v>No</v>
      </c>
      <c r="O419" s="1" t="str">
        <f aca="false">TEXT(G419,"yyyy-mm")</f>
        <v>2025-05</v>
      </c>
      <c r="P419" s="1" t="str">
        <f aca="false">IF(H419&lt;20,"Low",IF(H419&lt;=60,"Medium","High"))</f>
        <v>High</v>
      </c>
      <c r="Q419" s="1" t="str">
        <f aca="false">IF(I419&gt;0,"Yes","No")</f>
        <v>Yes</v>
      </c>
      <c r="R419" s="1" t="n">
        <f aca="false">IF(N419="Yes",1,0)</f>
        <v>0</v>
      </c>
    </row>
    <row r="420" customFormat="false" ht="15" hidden="false" customHeight="true" outlineLevel="0" collapsed="false">
      <c r="A420" s="1" t="str">
        <f aca="false">'Cleaned Data'!A420</f>
        <v>S00416</v>
      </c>
      <c r="B420" s="1" t="str">
        <f aca="false">'Cleaned Data'!B420</f>
        <v>P1436</v>
      </c>
      <c r="C420" s="1" t="str">
        <f aca="false">'Cleaned Data'!C420</f>
        <v>coxanthony</v>
      </c>
      <c r="D420" s="1" t="str">
        <f aca="false">'Cleaned Data'!D420</f>
        <v>Empire Wars</v>
      </c>
      <c r="E420" s="1" t="str">
        <f aca="false">'Cleaned Data'!E420</f>
        <v>PC</v>
      </c>
      <c r="F420" s="1" t="str">
        <f aca="false">'Cleaned Data'!F420</f>
        <v>North-East</v>
      </c>
      <c r="G420" s="23" t="n">
        <f aca="false">'Cleaned Data'!G420</f>
        <v>45657</v>
      </c>
      <c r="H420" s="1" t="n">
        <f aca="false">'Cleaned Data'!H420</f>
        <v>86</v>
      </c>
      <c r="I420" s="24" t="n">
        <f aca="false">'Cleaned Data'!I420</f>
        <v>0</v>
      </c>
      <c r="J420" s="1" t="str">
        <f aca="false">'Cleaned Data'!J420</f>
        <v>None</v>
      </c>
      <c r="K420" s="1" t="str">
        <f aca="false">'Cleaned Data'!K420</f>
        <v>Incomplete</v>
      </c>
      <c r="L420" s="1" t="str">
        <f aca="false">'Cleaned Data'!L420</f>
        <v>Paid</v>
      </c>
      <c r="M420" s="1" t="n">
        <f aca="false">'Cleaned Data'!M420</f>
        <v>17</v>
      </c>
      <c r="N420" s="1" t="str">
        <f aca="false">'Cleaned Data'!N420</f>
        <v>No</v>
      </c>
      <c r="O420" s="1" t="str">
        <f aca="false">TEXT(G420,"yyyy-mm")</f>
        <v>2024-12</v>
      </c>
      <c r="P420" s="1" t="str">
        <f aca="false">IF(H420&lt;20,"Low",IF(H420&lt;=60,"Medium","High"))</f>
        <v>High</v>
      </c>
      <c r="Q420" s="1" t="str">
        <f aca="false">IF(I420&gt;0,"Yes","No")</f>
        <v>No</v>
      </c>
      <c r="R420" s="1" t="n">
        <f aca="false">IF(N420="Yes",1,0)</f>
        <v>0</v>
      </c>
    </row>
    <row r="421" customFormat="false" ht="15" hidden="false" customHeight="true" outlineLevel="0" collapsed="false">
      <c r="A421" s="1" t="str">
        <f aca="false">'Cleaned Data'!A421</f>
        <v>S00417</v>
      </c>
      <c r="B421" s="1" t="str">
        <f aca="false">'Cleaned Data'!B421</f>
        <v>P5233</v>
      </c>
      <c r="C421" s="1" t="str">
        <f aca="false">'Cleaned Data'!C421</f>
        <v>paige96</v>
      </c>
      <c r="D421" s="1" t="str">
        <f aca="false">'Cleaned Data'!D421</f>
        <v>Empire Wars</v>
      </c>
      <c r="E421" s="1" t="str">
        <f aca="false">'Cleaned Data'!E421</f>
        <v>Console</v>
      </c>
      <c r="F421" s="1" t="str">
        <f aca="false">'Cleaned Data'!F421</f>
        <v>West</v>
      </c>
      <c r="G421" s="23" t="n">
        <f aca="false">'Cleaned Data'!G421</f>
        <v>45663</v>
      </c>
      <c r="H421" s="1" t="n">
        <f aca="false">'Cleaned Data'!H421</f>
        <v>12</v>
      </c>
      <c r="I421" s="24" t="n">
        <f aca="false">'Cleaned Data'!I421</f>
        <v>1.44</v>
      </c>
      <c r="J421" s="1" t="str">
        <f aca="false">'Cleaned Data'!J421</f>
        <v>Boosters</v>
      </c>
      <c r="K421" s="1" t="str">
        <f aca="false">'Cleaned Data'!K421</f>
        <v>Completed</v>
      </c>
      <c r="L421" s="1" t="str">
        <f aca="false">'Cleaned Data'!L421</f>
        <v>Paid</v>
      </c>
      <c r="M421" s="1" t="n">
        <f aca="false">'Cleaned Data'!M421</f>
        <v>15</v>
      </c>
      <c r="N421" s="1" t="str">
        <f aca="false">'Cleaned Data'!N421</f>
        <v>No</v>
      </c>
      <c r="O421" s="1" t="str">
        <f aca="false">TEXT(G421,"yyyy-mm")</f>
        <v>2025-01</v>
      </c>
      <c r="P421" s="1" t="str">
        <f aca="false">IF(H421&lt;20,"Low",IF(H421&lt;=60,"Medium","High"))</f>
        <v>Low</v>
      </c>
      <c r="Q421" s="1" t="str">
        <f aca="false">IF(I421&gt;0,"Yes","No")</f>
        <v>Yes</v>
      </c>
      <c r="R421" s="1" t="n">
        <f aca="false">IF(N421="Yes",1,0)</f>
        <v>0</v>
      </c>
    </row>
    <row r="422" customFormat="false" ht="15" hidden="false" customHeight="true" outlineLevel="0" collapsed="false">
      <c r="A422" s="1" t="str">
        <f aca="false">'Cleaned Data'!A422</f>
        <v>S00418</v>
      </c>
      <c r="B422" s="1" t="str">
        <f aca="false">'Cleaned Data'!B422</f>
        <v>P5382</v>
      </c>
      <c r="C422" s="1" t="str">
        <f aca="false">'Cleaned Data'!C422</f>
        <v>sabrina44</v>
      </c>
      <c r="D422" s="1" t="str">
        <f aca="false">'Cleaned Data'!D422</f>
        <v>Clash of Realms</v>
      </c>
      <c r="E422" s="1" t="str">
        <f aca="false">'Cleaned Data'!E422</f>
        <v>PC</v>
      </c>
      <c r="F422" s="1" t="str">
        <f aca="false">'Cleaned Data'!F422</f>
        <v>South</v>
      </c>
      <c r="G422" s="23" t="n">
        <f aca="false">'Cleaned Data'!G422</f>
        <v>45811</v>
      </c>
      <c r="H422" s="1" t="n">
        <f aca="false">'Cleaned Data'!H422</f>
        <v>8</v>
      </c>
      <c r="I422" s="24" t="n">
        <f aca="false">'Cleaned Data'!I422</f>
        <v>2.1</v>
      </c>
      <c r="J422" s="1" t="str">
        <f aca="false">'Cleaned Data'!J422</f>
        <v>Boosters</v>
      </c>
      <c r="K422" s="1" t="str">
        <f aca="false">'Cleaned Data'!K422</f>
        <v>Exited Early</v>
      </c>
      <c r="L422" s="1" t="str">
        <f aca="false">'Cleaned Data'!L422</f>
        <v>Paid</v>
      </c>
      <c r="M422" s="1" t="n">
        <f aca="false">'Cleaned Data'!M422</f>
        <v>44</v>
      </c>
      <c r="N422" s="1" t="str">
        <f aca="false">'Cleaned Data'!N422</f>
        <v>No</v>
      </c>
      <c r="O422" s="1" t="str">
        <f aca="false">TEXT(G422,"yyyy-mm")</f>
        <v>2025-06</v>
      </c>
      <c r="P422" s="1" t="str">
        <f aca="false">IF(H422&lt;20,"Low",IF(H422&lt;=60,"Medium","High"))</f>
        <v>Low</v>
      </c>
      <c r="Q422" s="1" t="str">
        <f aca="false">IF(I422&gt;0,"Yes","No")</f>
        <v>Yes</v>
      </c>
      <c r="R422" s="1" t="n">
        <f aca="false">IF(N422="Yes",1,0)</f>
        <v>0</v>
      </c>
    </row>
    <row r="423" customFormat="false" ht="15" hidden="false" customHeight="true" outlineLevel="0" collapsed="false">
      <c r="A423" s="1" t="str">
        <f aca="false">'Cleaned Data'!A423</f>
        <v>S00419</v>
      </c>
      <c r="B423" s="1" t="str">
        <f aca="false">'Cleaned Data'!B423</f>
        <v>P1065</v>
      </c>
      <c r="C423" s="1" t="str">
        <f aca="false">'Cleaned Data'!C423</f>
        <v>neilmorrison</v>
      </c>
      <c r="D423" s="1" t="str">
        <f aca="false">'Cleaned Data'!D423</f>
        <v>BattleZone</v>
      </c>
      <c r="E423" s="1" t="str">
        <f aca="false">'Cleaned Data'!E423</f>
        <v>Mobile</v>
      </c>
      <c r="F423" s="1" t="str">
        <f aca="false">'Cleaned Data'!F423</f>
        <v>Central</v>
      </c>
      <c r="G423" s="23" t="n">
        <f aca="false">'Cleaned Data'!G423</f>
        <v>45755</v>
      </c>
      <c r="H423" s="1" t="n">
        <f aca="false">'Cleaned Data'!H423</f>
        <v>180</v>
      </c>
      <c r="I423" s="24" t="n">
        <f aca="false">'Cleaned Data'!I423</f>
        <v>0</v>
      </c>
      <c r="J423" s="1" t="str">
        <f aca="false">'Cleaned Data'!J423</f>
        <v>None</v>
      </c>
      <c r="K423" s="1" t="str">
        <f aca="false">'Cleaned Data'!K423</f>
        <v>Completed</v>
      </c>
      <c r="L423" s="1" t="str">
        <f aca="false">'Cleaned Data'!L423</f>
        <v>Free</v>
      </c>
      <c r="M423" s="1" t="n">
        <f aca="false">'Cleaned Data'!M423</f>
        <v>8</v>
      </c>
      <c r="N423" s="1" t="str">
        <f aca="false">'Cleaned Data'!N423</f>
        <v>Yes</v>
      </c>
      <c r="O423" s="1" t="str">
        <f aca="false">TEXT(G423,"yyyy-mm")</f>
        <v>2025-04</v>
      </c>
      <c r="P423" s="1" t="str">
        <f aca="false">IF(H423&lt;20,"Low",IF(H423&lt;=60,"Medium","High"))</f>
        <v>High</v>
      </c>
      <c r="Q423" s="1" t="str">
        <f aca="false">IF(I423&gt;0,"Yes","No")</f>
        <v>No</v>
      </c>
      <c r="R423" s="1" t="n">
        <f aca="false">IF(N423="Yes",1,0)</f>
        <v>1</v>
      </c>
    </row>
    <row r="424" customFormat="false" ht="15" hidden="false" customHeight="true" outlineLevel="0" collapsed="false">
      <c r="A424" s="1" t="str">
        <f aca="false">'Cleaned Data'!A424</f>
        <v>S00420</v>
      </c>
      <c r="B424" s="1" t="str">
        <f aca="false">'Cleaned Data'!B424</f>
        <v>P8628</v>
      </c>
      <c r="C424" s="1" t="str">
        <f aca="false">'Cleaned Data'!C424</f>
        <v>russochelsey</v>
      </c>
      <c r="D424" s="1" t="str">
        <f aca="false">'Cleaned Data'!D424</f>
        <v>Clash of Realms</v>
      </c>
      <c r="E424" s="1" t="str">
        <f aca="false">'Cleaned Data'!E424</f>
        <v>Mobile</v>
      </c>
      <c r="F424" s="1" t="str">
        <f aca="false">'Cleaned Data'!F424</f>
        <v>Central</v>
      </c>
      <c r="G424" s="23" t="n">
        <f aca="false">'Cleaned Data'!G424</f>
        <v>45804</v>
      </c>
      <c r="H424" s="1" t="n">
        <f aca="false">'Cleaned Data'!H424</f>
        <v>35</v>
      </c>
      <c r="I424" s="24" t="n">
        <f aca="false">'Cleaned Data'!I424</f>
        <v>13.33</v>
      </c>
      <c r="J424" s="1" t="str">
        <f aca="false">'Cleaned Data'!J424</f>
        <v>Skins</v>
      </c>
      <c r="K424" s="1" t="str">
        <f aca="false">'Cleaned Data'!K424</f>
        <v>Completed</v>
      </c>
      <c r="L424" s="1" t="str">
        <f aca="false">'Cleaned Data'!L424</f>
        <v>Paid</v>
      </c>
      <c r="M424" s="1" t="n">
        <f aca="false">'Cleaned Data'!M424</f>
        <v>42</v>
      </c>
      <c r="N424" s="1" t="str">
        <f aca="false">'Cleaned Data'!N424</f>
        <v>No</v>
      </c>
      <c r="O424" s="1" t="str">
        <f aca="false">TEXT(G424,"yyyy-mm")</f>
        <v>2025-05</v>
      </c>
      <c r="P424" s="1" t="str">
        <f aca="false">IF(H424&lt;20,"Low",IF(H424&lt;=60,"Medium","High"))</f>
        <v>Medium</v>
      </c>
      <c r="Q424" s="1" t="str">
        <f aca="false">IF(I424&gt;0,"Yes","No")</f>
        <v>Yes</v>
      </c>
      <c r="R424" s="1" t="n">
        <f aca="false">IF(N424="Yes",1,0)</f>
        <v>0</v>
      </c>
    </row>
    <row r="425" customFormat="false" ht="15" hidden="false" customHeight="true" outlineLevel="0" collapsed="false">
      <c r="A425" s="1" t="str">
        <f aca="false">'Cleaned Data'!A425</f>
        <v>S00421</v>
      </c>
      <c r="B425" s="1" t="str">
        <f aca="false">'Cleaned Data'!B425</f>
        <v>P9217</v>
      </c>
      <c r="C425" s="1" t="str">
        <f aca="false">'Cleaned Data'!C425</f>
        <v>pwright</v>
      </c>
      <c r="D425" s="1" t="str">
        <f aca="false">'Cleaned Data'!D425</f>
        <v>BattleZone</v>
      </c>
      <c r="E425" s="1" t="str">
        <f aca="false">'Cleaned Data'!E425</f>
        <v>Console</v>
      </c>
      <c r="F425" s="1" t="str">
        <f aca="false">'Cleaned Data'!F425</f>
        <v>South</v>
      </c>
      <c r="G425" s="23" t="n">
        <f aca="false">'Cleaned Data'!G425</f>
        <v>45767</v>
      </c>
      <c r="H425" s="1" t="n">
        <f aca="false">'Cleaned Data'!H425</f>
        <v>97</v>
      </c>
      <c r="I425" s="24" t="n">
        <f aca="false">'Cleaned Data'!I425</f>
        <v>3.6</v>
      </c>
      <c r="J425" s="1" t="str">
        <f aca="false">'Cleaned Data'!J425</f>
        <v>Subscriptions</v>
      </c>
      <c r="K425" s="1" t="str">
        <f aca="false">'Cleaned Data'!K425</f>
        <v>Incomplete</v>
      </c>
      <c r="L425" s="1" t="str">
        <f aca="false">'Cleaned Data'!L425</f>
        <v>Paid</v>
      </c>
      <c r="M425" s="1" t="n">
        <f aca="false">'Cleaned Data'!M425</f>
        <v>14</v>
      </c>
      <c r="N425" s="1" t="str">
        <f aca="false">'Cleaned Data'!N425</f>
        <v>No</v>
      </c>
      <c r="O425" s="1" t="str">
        <f aca="false">TEXT(G425,"yyyy-mm")</f>
        <v>2025-04</v>
      </c>
      <c r="P425" s="1" t="str">
        <f aca="false">IF(H425&lt;20,"Low",IF(H425&lt;=60,"Medium","High"))</f>
        <v>High</v>
      </c>
      <c r="Q425" s="1" t="str">
        <f aca="false">IF(I425&gt;0,"Yes","No")</f>
        <v>Yes</v>
      </c>
      <c r="R425" s="1" t="n">
        <f aca="false">IF(N425="Yes",1,0)</f>
        <v>0</v>
      </c>
    </row>
    <row r="426" customFormat="false" ht="15" hidden="false" customHeight="true" outlineLevel="0" collapsed="false">
      <c r="A426" s="1" t="str">
        <f aca="false">'Cleaned Data'!A426</f>
        <v>S00422</v>
      </c>
      <c r="B426" s="1" t="str">
        <f aca="false">'Cleaned Data'!B426</f>
        <v>P9334</v>
      </c>
      <c r="C426" s="1" t="str">
        <f aca="false">'Cleaned Data'!C426</f>
        <v>samantha20</v>
      </c>
      <c r="D426" s="1" t="str">
        <f aca="false">'Cleaned Data'!D426</f>
        <v>Empire Wars</v>
      </c>
      <c r="E426" s="1" t="str">
        <f aca="false">'Cleaned Data'!E426</f>
        <v>Mobile</v>
      </c>
      <c r="F426" s="1" t="str">
        <f aca="false">'Cleaned Data'!F426</f>
        <v>South</v>
      </c>
      <c r="G426" s="23" t="n">
        <f aca="false">'Cleaned Data'!G426</f>
        <v>45643</v>
      </c>
      <c r="H426" s="1" t="n">
        <f aca="false">'Cleaned Data'!H426</f>
        <v>92</v>
      </c>
      <c r="I426" s="24" t="n">
        <f aca="false">'Cleaned Data'!I426</f>
        <v>0</v>
      </c>
      <c r="J426" s="1" t="str">
        <f aca="false">'Cleaned Data'!J426</f>
        <v>None</v>
      </c>
      <c r="K426" s="1" t="str">
        <f aca="false">'Cleaned Data'!K426</f>
        <v>Completed</v>
      </c>
      <c r="L426" s="1" t="str">
        <f aca="false">'Cleaned Data'!L426</f>
        <v>Paid</v>
      </c>
      <c r="M426" s="1" t="n">
        <f aca="false">'Cleaned Data'!M426</f>
        <v>31</v>
      </c>
      <c r="N426" s="1" t="str">
        <f aca="false">'Cleaned Data'!N426</f>
        <v>No</v>
      </c>
      <c r="O426" s="1" t="str">
        <f aca="false">TEXT(G426,"yyyy-mm")</f>
        <v>2024-12</v>
      </c>
      <c r="P426" s="1" t="str">
        <f aca="false">IF(H426&lt;20,"Low",IF(H426&lt;=60,"Medium","High"))</f>
        <v>High</v>
      </c>
      <c r="Q426" s="1" t="str">
        <f aca="false">IF(I426&gt;0,"Yes","No")</f>
        <v>No</v>
      </c>
      <c r="R426" s="1" t="n">
        <f aca="false">IF(N426="Yes",1,0)</f>
        <v>0</v>
      </c>
    </row>
    <row r="427" customFormat="false" ht="15" hidden="false" customHeight="true" outlineLevel="0" collapsed="false">
      <c r="A427" s="1" t="str">
        <f aca="false">'Cleaned Data'!A427</f>
        <v>S00423</v>
      </c>
      <c r="B427" s="1" t="str">
        <f aca="false">'Cleaned Data'!B427</f>
        <v>P8641</v>
      </c>
      <c r="C427" s="1" t="str">
        <f aca="false">'Cleaned Data'!C427</f>
        <v>johnsonandrea</v>
      </c>
      <c r="D427" s="1" t="str">
        <f aca="false">'Cleaned Data'!D427</f>
        <v>SpeedX</v>
      </c>
      <c r="E427" s="1" t="str">
        <f aca="false">'Cleaned Data'!E427</f>
        <v>Console</v>
      </c>
      <c r="F427" s="1" t="str">
        <f aca="false">'Cleaned Data'!F427</f>
        <v>South</v>
      </c>
      <c r="G427" s="23" t="n">
        <f aca="false">'Cleaned Data'!G427</f>
        <v>45700</v>
      </c>
      <c r="H427" s="1" t="n">
        <f aca="false">'Cleaned Data'!H427</f>
        <v>166</v>
      </c>
      <c r="I427" s="24" t="n">
        <f aca="false">'Cleaned Data'!I427</f>
        <v>0</v>
      </c>
      <c r="J427" s="1" t="str">
        <f aca="false">'Cleaned Data'!J427</f>
        <v>None</v>
      </c>
      <c r="K427" s="1" t="str">
        <f aca="false">'Cleaned Data'!K427</f>
        <v>Completed</v>
      </c>
      <c r="L427" s="1" t="str">
        <f aca="false">'Cleaned Data'!L427</f>
        <v>Free</v>
      </c>
      <c r="M427" s="1" t="n">
        <f aca="false">'Cleaned Data'!M427</f>
        <v>43</v>
      </c>
      <c r="N427" s="1" t="str">
        <f aca="false">'Cleaned Data'!N427</f>
        <v>Yes</v>
      </c>
      <c r="O427" s="1" t="str">
        <f aca="false">TEXT(G427,"yyyy-mm")</f>
        <v>2025-02</v>
      </c>
      <c r="P427" s="1" t="str">
        <f aca="false">IF(H427&lt;20,"Low",IF(H427&lt;=60,"Medium","High"))</f>
        <v>High</v>
      </c>
      <c r="Q427" s="1" t="str">
        <f aca="false">IF(I427&gt;0,"Yes","No")</f>
        <v>No</v>
      </c>
      <c r="R427" s="1" t="n">
        <f aca="false">IF(N427="Yes",1,0)</f>
        <v>1</v>
      </c>
    </row>
    <row r="428" customFormat="false" ht="15" hidden="false" customHeight="true" outlineLevel="0" collapsed="false">
      <c r="A428" s="1" t="str">
        <f aca="false">'Cleaned Data'!A428</f>
        <v>S00424</v>
      </c>
      <c r="B428" s="1" t="str">
        <f aca="false">'Cleaned Data'!B428</f>
        <v>P8632</v>
      </c>
      <c r="C428" s="1" t="str">
        <f aca="false">'Cleaned Data'!C428</f>
        <v>nramos</v>
      </c>
      <c r="D428" s="1" t="str">
        <f aca="false">'Cleaned Data'!D428</f>
        <v>Zombie Rush</v>
      </c>
      <c r="E428" s="1" t="str">
        <f aca="false">'Cleaned Data'!E428</f>
        <v>Console</v>
      </c>
      <c r="F428" s="1" t="str">
        <f aca="false">'Cleaned Data'!F428</f>
        <v>South</v>
      </c>
      <c r="G428" s="23" t="n">
        <f aca="false">'Cleaned Data'!G428</f>
        <v>45676</v>
      </c>
      <c r="H428" s="1" t="n">
        <f aca="false">'Cleaned Data'!H428</f>
        <v>146</v>
      </c>
      <c r="I428" s="24" t="n">
        <f aca="false">'Cleaned Data'!I428</f>
        <v>22.51</v>
      </c>
      <c r="J428" s="1" t="str">
        <f aca="false">'Cleaned Data'!J428</f>
        <v>Battle Pass</v>
      </c>
      <c r="K428" s="1" t="str">
        <f aca="false">'Cleaned Data'!K428</f>
        <v>Exited Early</v>
      </c>
      <c r="L428" s="1" t="str">
        <f aca="false">'Cleaned Data'!L428</f>
        <v>Paid</v>
      </c>
      <c r="M428" s="1" t="n">
        <f aca="false">'Cleaned Data'!M428</f>
        <v>25</v>
      </c>
      <c r="N428" s="1" t="str">
        <f aca="false">'Cleaned Data'!N428</f>
        <v>No</v>
      </c>
      <c r="O428" s="1" t="str">
        <f aca="false">TEXT(G428,"yyyy-mm")</f>
        <v>2025-01</v>
      </c>
      <c r="P428" s="1" t="str">
        <f aca="false">IF(H428&lt;20,"Low",IF(H428&lt;=60,"Medium","High"))</f>
        <v>High</v>
      </c>
      <c r="Q428" s="1" t="str">
        <f aca="false">IF(I428&gt;0,"Yes","No")</f>
        <v>Yes</v>
      </c>
      <c r="R428" s="1" t="n">
        <f aca="false">IF(N428="Yes",1,0)</f>
        <v>0</v>
      </c>
    </row>
    <row r="429" customFormat="false" ht="15" hidden="false" customHeight="true" outlineLevel="0" collapsed="false">
      <c r="A429" s="1" t="str">
        <f aca="false">'Cleaned Data'!A429</f>
        <v>S00425</v>
      </c>
      <c r="B429" s="1" t="str">
        <f aca="false">'Cleaned Data'!B429</f>
        <v>P6749</v>
      </c>
      <c r="C429" s="1" t="str">
        <f aca="false">'Cleaned Data'!C429</f>
        <v>pmoore</v>
      </c>
      <c r="D429" s="1" t="str">
        <f aca="false">'Cleaned Data'!D429</f>
        <v>BattleZone</v>
      </c>
      <c r="E429" s="1" t="str">
        <f aca="false">'Cleaned Data'!E429</f>
        <v>Console</v>
      </c>
      <c r="F429" s="1" t="str">
        <f aca="false">'Cleaned Data'!F429</f>
        <v>East</v>
      </c>
      <c r="G429" s="23" t="n">
        <f aca="false">'Cleaned Data'!G429</f>
        <v>45722</v>
      </c>
      <c r="H429" s="1" t="n">
        <f aca="false">'Cleaned Data'!H429</f>
        <v>7</v>
      </c>
      <c r="I429" s="24" t="n">
        <f aca="false">'Cleaned Data'!I429</f>
        <v>29.06</v>
      </c>
      <c r="J429" s="1" t="str">
        <f aca="false">'Cleaned Data'!J429</f>
        <v>Battle Pass</v>
      </c>
      <c r="K429" s="1" t="str">
        <f aca="false">'Cleaned Data'!K429</f>
        <v>Completed</v>
      </c>
      <c r="L429" s="1" t="str">
        <f aca="false">'Cleaned Data'!L429</f>
        <v>Paid</v>
      </c>
      <c r="M429" s="1" t="n">
        <f aca="false">'Cleaned Data'!M429</f>
        <v>12</v>
      </c>
      <c r="N429" s="1" t="str">
        <f aca="false">'Cleaned Data'!N429</f>
        <v>No</v>
      </c>
      <c r="O429" s="1" t="str">
        <f aca="false">TEXT(G429,"yyyy-mm")</f>
        <v>2025-03</v>
      </c>
      <c r="P429" s="1" t="str">
        <f aca="false">IF(H429&lt;20,"Low",IF(H429&lt;=60,"Medium","High"))</f>
        <v>Low</v>
      </c>
      <c r="Q429" s="1" t="str">
        <f aca="false">IF(I429&gt;0,"Yes","No")</f>
        <v>Yes</v>
      </c>
      <c r="R429" s="1" t="n">
        <f aca="false">IF(N429="Yes",1,0)</f>
        <v>0</v>
      </c>
    </row>
    <row r="430" customFormat="false" ht="15" hidden="false" customHeight="true" outlineLevel="0" collapsed="false">
      <c r="A430" s="1" t="str">
        <f aca="false">'Cleaned Data'!A430</f>
        <v>S00426</v>
      </c>
      <c r="B430" s="1" t="str">
        <f aca="false">'Cleaned Data'!B430</f>
        <v>P8176</v>
      </c>
      <c r="C430" s="1" t="str">
        <f aca="false">'Cleaned Data'!C430</f>
        <v>enielsen</v>
      </c>
      <c r="D430" s="1" t="str">
        <f aca="false">'Cleaned Data'!D430</f>
        <v>BattleZone</v>
      </c>
      <c r="E430" s="1" t="str">
        <f aca="false">'Cleaned Data'!E430</f>
        <v>Mobile</v>
      </c>
      <c r="F430" s="1" t="str">
        <f aca="false">'Cleaned Data'!F430</f>
        <v>North</v>
      </c>
      <c r="G430" s="23" t="n">
        <f aca="false">'Cleaned Data'!G430</f>
        <v>45669</v>
      </c>
      <c r="H430" s="1" t="n">
        <f aca="false">'Cleaned Data'!H430</f>
        <v>79</v>
      </c>
      <c r="I430" s="24" t="n">
        <f aca="false">'Cleaned Data'!I430</f>
        <v>0</v>
      </c>
      <c r="J430" s="1" t="str">
        <f aca="false">'Cleaned Data'!J430</f>
        <v>None</v>
      </c>
      <c r="K430" s="1" t="str">
        <f aca="false">'Cleaned Data'!K430</f>
        <v>Completed</v>
      </c>
      <c r="L430" s="1" t="str">
        <f aca="false">'Cleaned Data'!L430</f>
        <v>Free</v>
      </c>
      <c r="M430" s="1" t="n">
        <f aca="false">'Cleaned Data'!M430</f>
        <v>30</v>
      </c>
      <c r="N430" s="1" t="str">
        <f aca="false">'Cleaned Data'!N430</f>
        <v>No</v>
      </c>
      <c r="O430" s="1" t="str">
        <f aca="false">TEXT(G430,"yyyy-mm")</f>
        <v>2025-01</v>
      </c>
      <c r="P430" s="1" t="str">
        <f aca="false">IF(H430&lt;20,"Low",IF(H430&lt;=60,"Medium","High"))</f>
        <v>High</v>
      </c>
      <c r="Q430" s="1" t="str">
        <f aca="false">IF(I430&gt;0,"Yes","No")</f>
        <v>No</v>
      </c>
      <c r="R430" s="1" t="n">
        <f aca="false">IF(N430="Yes",1,0)</f>
        <v>0</v>
      </c>
    </row>
    <row r="431" customFormat="false" ht="15" hidden="false" customHeight="true" outlineLevel="0" collapsed="false">
      <c r="A431" s="1" t="str">
        <f aca="false">'Cleaned Data'!A431</f>
        <v>S00427</v>
      </c>
      <c r="B431" s="1" t="str">
        <f aca="false">'Cleaned Data'!B431</f>
        <v>P9104</v>
      </c>
      <c r="C431" s="1" t="str">
        <f aca="false">'Cleaned Data'!C431</f>
        <v>melissa17</v>
      </c>
      <c r="D431" s="1" t="str">
        <f aca="false">'Cleaned Data'!D431</f>
        <v>Zombie Rush</v>
      </c>
      <c r="E431" s="1" t="str">
        <f aca="false">'Cleaned Data'!E431</f>
        <v>PC</v>
      </c>
      <c r="F431" s="1" t="str">
        <f aca="false">'Cleaned Data'!F431</f>
        <v>Central</v>
      </c>
      <c r="G431" s="23" t="n">
        <f aca="false">'Cleaned Data'!G431</f>
        <v>45695</v>
      </c>
      <c r="H431" s="1" t="n">
        <f aca="false">'Cleaned Data'!H431</f>
        <v>39</v>
      </c>
      <c r="I431" s="24" t="n">
        <f aca="false">'Cleaned Data'!I431</f>
        <v>0</v>
      </c>
      <c r="J431" s="1" t="str">
        <f aca="false">'Cleaned Data'!J431</f>
        <v>None</v>
      </c>
      <c r="K431" s="1" t="str">
        <f aca="false">'Cleaned Data'!K431</f>
        <v>Completed</v>
      </c>
      <c r="L431" s="1" t="str">
        <f aca="false">'Cleaned Data'!L431</f>
        <v>Free</v>
      </c>
      <c r="M431" s="1" t="n">
        <f aca="false">'Cleaned Data'!M431</f>
        <v>12</v>
      </c>
      <c r="N431" s="1" t="str">
        <f aca="false">'Cleaned Data'!N431</f>
        <v>No</v>
      </c>
      <c r="O431" s="1" t="str">
        <f aca="false">TEXT(G431,"yyyy-mm")</f>
        <v>2025-02</v>
      </c>
      <c r="P431" s="1" t="str">
        <f aca="false">IF(H431&lt;20,"Low",IF(H431&lt;=60,"Medium","High"))</f>
        <v>Medium</v>
      </c>
      <c r="Q431" s="1" t="str">
        <f aca="false">IF(I431&gt;0,"Yes","No")</f>
        <v>No</v>
      </c>
      <c r="R431" s="1" t="n">
        <f aca="false">IF(N431="Yes",1,0)</f>
        <v>0</v>
      </c>
    </row>
    <row r="432" customFormat="false" ht="15" hidden="false" customHeight="true" outlineLevel="0" collapsed="false">
      <c r="A432" s="1" t="str">
        <f aca="false">'Cleaned Data'!A432</f>
        <v>S00428</v>
      </c>
      <c r="B432" s="1" t="str">
        <f aca="false">'Cleaned Data'!B432</f>
        <v>P5582</v>
      </c>
      <c r="C432" s="1" t="str">
        <f aca="false">'Cleaned Data'!C432</f>
        <v>jennifer94</v>
      </c>
      <c r="D432" s="1" t="str">
        <f aca="false">'Cleaned Data'!D432</f>
        <v>Zombie Rush</v>
      </c>
      <c r="E432" s="1" t="str">
        <f aca="false">'Cleaned Data'!E432</f>
        <v>Console</v>
      </c>
      <c r="F432" s="1" t="str">
        <f aca="false">'Cleaned Data'!F432</f>
        <v>West</v>
      </c>
      <c r="G432" s="23" t="n">
        <f aca="false">'Cleaned Data'!G432</f>
        <v>45645</v>
      </c>
      <c r="H432" s="1" t="n">
        <f aca="false">'Cleaned Data'!H432</f>
        <v>9</v>
      </c>
      <c r="I432" s="24" t="n">
        <f aca="false">'Cleaned Data'!I432</f>
        <v>0</v>
      </c>
      <c r="J432" s="1" t="str">
        <f aca="false">'Cleaned Data'!J432</f>
        <v>None</v>
      </c>
      <c r="K432" s="1" t="str">
        <f aca="false">'Cleaned Data'!K432</f>
        <v>Incomplete</v>
      </c>
      <c r="L432" s="1" t="str">
        <f aca="false">'Cleaned Data'!L432</f>
        <v>Free</v>
      </c>
      <c r="M432" s="1" t="n">
        <f aca="false">'Cleaned Data'!M432</f>
        <v>23</v>
      </c>
      <c r="N432" s="1" t="str">
        <f aca="false">'Cleaned Data'!N432</f>
        <v>No</v>
      </c>
      <c r="O432" s="1" t="str">
        <f aca="false">TEXT(G432,"yyyy-mm")</f>
        <v>2024-12</v>
      </c>
      <c r="P432" s="1" t="str">
        <f aca="false">IF(H432&lt;20,"Low",IF(H432&lt;=60,"Medium","High"))</f>
        <v>Low</v>
      </c>
      <c r="Q432" s="1" t="str">
        <f aca="false">IF(I432&gt;0,"Yes","No")</f>
        <v>No</v>
      </c>
      <c r="R432" s="1" t="n">
        <f aca="false">IF(N432="Yes",1,0)</f>
        <v>0</v>
      </c>
    </row>
    <row r="433" customFormat="false" ht="15" hidden="false" customHeight="true" outlineLevel="0" collapsed="false">
      <c r="A433" s="1" t="str">
        <f aca="false">'Cleaned Data'!A433</f>
        <v>S00429</v>
      </c>
      <c r="B433" s="1" t="str">
        <f aca="false">'Cleaned Data'!B433</f>
        <v>P4908</v>
      </c>
      <c r="C433" s="1" t="str">
        <f aca="false">'Cleaned Data'!C433</f>
        <v>twashington</v>
      </c>
      <c r="D433" s="1" t="str">
        <f aca="false">'Cleaned Data'!D433</f>
        <v>Empire Wars</v>
      </c>
      <c r="E433" s="1" t="str">
        <f aca="false">'Cleaned Data'!E433</f>
        <v>PC</v>
      </c>
      <c r="F433" s="1" t="str">
        <f aca="false">'Cleaned Data'!F433</f>
        <v>East</v>
      </c>
      <c r="G433" s="23" t="n">
        <f aca="false">'Cleaned Data'!G433</f>
        <v>45821</v>
      </c>
      <c r="H433" s="1" t="n">
        <f aca="false">'Cleaned Data'!H433</f>
        <v>70</v>
      </c>
      <c r="I433" s="24" t="n">
        <f aca="false">'Cleaned Data'!I433</f>
        <v>11.82</v>
      </c>
      <c r="J433" s="1" t="str">
        <f aca="false">'Cleaned Data'!J433</f>
        <v>Battle Pass</v>
      </c>
      <c r="K433" s="1" t="str">
        <f aca="false">'Cleaned Data'!K433</f>
        <v>Completed</v>
      </c>
      <c r="L433" s="1" t="str">
        <f aca="false">'Cleaned Data'!L433</f>
        <v>Paid</v>
      </c>
      <c r="M433" s="1" t="n">
        <f aca="false">'Cleaned Data'!M433</f>
        <v>5</v>
      </c>
      <c r="N433" s="1" t="str">
        <f aca="false">'Cleaned Data'!N433</f>
        <v>No</v>
      </c>
      <c r="O433" s="1" t="str">
        <f aca="false">TEXT(G433,"yyyy-mm")</f>
        <v>2025-06</v>
      </c>
      <c r="P433" s="1" t="str">
        <f aca="false">IF(H433&lt;20,"Low",IF(H433&lt;=60,"Medium","High"))</f>
        <v>High</v>
      </c>
      <c r="Q433" s="1" t="str">
        <f aca="false">IF(I433&gt;0,"Yes","No")</f>
        <v>Yes</v>
      </c>
      <c r="R433" s="1" t="n">
        <f aca="false">IF(N433="Yes",1,0)</f>
        <v>0</v>
      </c>
    </row>
    <row r="434" customFormat="false" ht="15" hidden="false" customHeight="true" outlineLevel="0" collapsed="false">
      <c r="A434" s="1" t="str">
        <f aca="false">'Cleaned Data'!A434</f>
        <v>S00430</v>
      </c>
      <c r="B434" s="1" t="str">
        <f aca="false">'Cleaned Data'!B434</f>
        <v>P8542</v>
      </c>
      <c r="C434" s="1" t="str">
        <f aca="false">'Cleaned Data'!C434</f>
        <v>brian05</v>
      </c>
      <c r="D434" s="1" t="str">
        <f aca="false">'Cleaned Data'!D434</f>
        <v>Empire Wars</v>
      </c>
      <c r="E434" s="1" t="str">
        <f aca="false">'Cleaned Data'!E434</f>
        <v>Mobile</v>
      </c>
      <c r="F434" s="1" t="str">
        <f aca="false">'Cleaned Data'!F434</f>
        <v>East</v>
      </c>
      <c r="G434" s="23" t="n">
        <f aca="false">'Cleaned Data'!G434</f>
        <v>45684</v>
      </c>
      <c r="H434" s="1" t="n">
        <f aca="false">'Cleaned Data'!H434</f>
        <v>156</v>
      </c>
      <c r="I434" s="24" t="n">
        <f aca="false">'Cleaned Data'!I434</f>
        <v>0</v>
      </c>
      <c r="J434" s="1" t="str">
        <f aca="false">'Cleaned Data'!J434</f>
        <v>None</v>
      </c>
      <c r="K434" s="1" t="str">
        <f aca="false">'Cleaned Data'!K434</f>
        <v>Completed</v>
      </c>
      <c r="L434" s="1" t="str">
        <f aca="false">'Cleaned Data'!L434</f>
        <v>Free</v>
      </c>
      <c r="M434" s="1" t="n">
        <f aca="false">'Cleaned Data'!M434</f>
        <v>6</v>
      </c>
      <c r="N434" s="1" t="str">
        <f aca="false">'Cleaned Data'!N434</f>
        <v>Yes</v>
      </c>
      <c r="O434" s="1" t="str">
        <f aca="false">TEXT(G434,"yyyy-mm")</f>
        <v>2025-01</v>
      </c>
      <c r="P434" s="1" t="str">
        <f aca="false">IF(H434&lt;20,"Low",IF(H434&lt;=60,"Medium","High"))</f>
        <v>High</v>
      </c>
      <c r="Q434" s="1" t="str">
        <f aca="false">IF(I434&gt;0,"Yes","No")</f>
        <v>No</v>
      </c>
      <c r="R434" s="1" t="n">
        <f aca="false">IF(N434="Yes",1,0)</f>
        <v>1</v>
      </c>
    </row>
    <row r="435" customFormat="false" ht="15" hidden="false" customHeight="true" outlineLevel="0" collapsed="false">
      <c r="A435" s="1" t="str">
        <f aca="false">'Cleaned Data'!A435</f>
        <v>S00431</v>
      </c>
      <c r="B435" s="1" t="str">
        <f aca="false">'Cleaned Data'!B435</f>
        <v>P7163</v>
      </c>
      <c r="C435" s="1" t="str">
        <f aca="false">'Cleaned Data'!C435</f>
        <v>emilynelson</v>
      </c>
      <c r="D435" s="1" t="str">
        <f aca="false">'Cleaned Data'!D435</f>
        <v>Zombie Rush</v>
      </c>
      <c r="E435" s="1" t="str">
        <f aca="false">'Cleaned Data'!E435</f>
        <v>Console</v>
      </c>
      <c r="F435" s="1" t="str">
        <f aca="false">'Cleaned Data'!F435</f>
        <v>South</v>
      </c>
      <c r="G435" s="23" t="n">
        <f aca="false">'Cleaned Data'!G435</f>
        <v>45641</v>
      </c>
      <c r="H435" s="1" t="n">
        <f aca="false">'Cleaned Data'!H435</f>
        <v>159</v>
      </c>
      <c r="I435" s="24" t="n">
        <f aca="false">'Cleaned Data'!I435</f>
        <v>0</v>
      </c>
      <c r="J435" s="1" t="str">
        <f aca="false">'Cleaned Data'!J435</f>
        <v>None</v>
      </c>
      <c r="K435" s="1" t="str">
        <f aca="false">'Cleaned Data'!K435</f>
        <v>Completed</v>
      </c>
      <c r="L435" s="1" t="str">
        <f aca="false">'Cleaned Data'!L435</f>
        <v>Free</v>
      </c>
      <c r="M435" s="1" t="n">
        <f aca="false">'Cleaned Data'!M435</f>
        <v>14</v>
      </c>
      <c r="N435" s="1" t="str">
        <f aca="false">'Cleaned Data'!N435</f>
        <v>Yes</v>
      </c>
      <c r="O435" s="1" t="str">
        <f aca="false">TEXT(G435,"yyyy-mm")</f>
        <v>2024-12</v>
      </c>
      <c r="P435" s="1" t="str">
        <f aca="false">IF(H435&lt;20,"Low",IF(H435&lt;=60,"Medium","High"))</f>
        <v>High</v>
      </c>
      <c r="Q435" s="1" t="str">
        <f aca="false">IF(I435&gt;0,"Yes","No")</f>
        <v>No</v>
      </c>
      <c r="R435" s="1" t="n">
        <f aca="false">IF(N435="Yes",1,0)</f>
        <v>1</v>
      </c>
    </row>
    <row r="436" customFormat="false" ht="15" hidden="false" customHeight="true" outlineLevel="0" collapsed="false">
      <c r="A436" s="1" t="str">
        <f aca="false">'Cleaned Data'!A436</f>
        <v>S00432</v>
      </c>
      <c r="B436" s="1" t="str">
        <f aca="false">'Cleaned Data'!B436</f>
        <v>P2427</v>
      </c>
      <c r="C436" s="1" t="str">
        <f aca="false">'Cleaned Data'!C436</f>
        <v>kacosta</v>
      </c>
      <c r="D436" s="1" t="str">
        <f aca="false">'Cleaned Data'!D436</f>
        <v>Zombie Rush</v>
      </c>
      <c r="E436" s="1" t="str">
        <f aca="false">'Cleaned Data'!E436</f>
        <v>PC</v>
      </c>
      <c r="F436" s="1" t="str">
        <f aca="false">'Cleaned Data'!F436</f>
        <v>Central</v>
      </c>
      <c r="G436" s="23" t="n">
        <f aca="false">'Cleaned Data'!G436</f>
        <v>45680</v>
      </c>
      <c r="H436" s="1" t="n">
        <f aca="false">'Cleaned Data'!H436</f>
        <v>139</v>
      </c>
      <c r="I436" s="24" t="n">
        <f aca="false">'Cleaned Data'!I436</f>
        <v>0</v>
      </c>
      <c r="J436" s="1" t="str">
        <f aca="false">'Cleaned Data'!J436</f>
        <v>None</v>
      </c>
      <c r="K436" s="1" t="str">
        <f aca="false">'Cleaned Data'!K436</f>
        <v>Completed</v>
      </c>
      <c r="L436" s="1" t="str">
        <f aca="false">'Cleaned Data'!L436</f>
        <v>Free</v>
      </c>
      <c r="M436" s="1" t="n">
        <f aca="false">'Cleaned Data'!M436</f>
        <v>37</v>
      </c>
      <c r="N436" s="1" t="str">
        <f aca="false">'Cleaned Data'!N436</f>
        <v>No</v>
      </c>
      <c r="O436" s="1" t="str">
        <f aca="false">TEXT(G436,"yyyy-mm")</f>
        <v>2025-01</v>
      </c>
      <c r="P436" s="1" t="str">
        <f aca="false">IF(H436&lt;20,"Low",IF(H436&lt;=60,"Medium","High"))</f>
        <v>High</v>
      </c>
      <c r="Q436" s="1" t="str">
        <f aca="false">IF(I436&gt;0,"Yes","No")</f>
        <v>No</v>
      </c>
      <c r="R436" s="1" t="n">
        <f aca="false">IF(N436="Yes",1,0)</f>
        <v>0</v>
      </c>
    </row>
    <row r="437" customFormat="false" ht="15" hidden="false" customHeight="true" outlineLevel="0" collapsed="false">
      <c r="A437" s="1" t="str">
        <f aca="false">'Cleaned Data'!A437</f>
        <v>S00433</v>
      </c>
      <c r="B437" s="1" t="str">
        <f aca="false">'Cleaned Data'!B437</f>
        <v>P1911</v>
      </c>
      <c r="C437" s="1" t="str">
        <f aca="false">'Cleaned Data'!C437</f>
        <v>yvette50</v>
      </c>
      <c r="D437" s="1" t="str">
        <f aca="false">'Cleaned Data'!D437</f>
        <v>BattleZone</v>
      </c>
      <c r="E437" s="1" t="str">
        <f aca="false">'Cleaned Data'!E437</f>
        <v>Mobile</v>
      </c>
      <c r="F437" s="1" t="str">
        <f aca="false">'Cleaned Data'!F437</f>
        <v>Central</v>
      </c>
      <c r="G437" s="23" t="n">
        <f aca="false">'Cleaned Data'!G437</f>
        <v>45778</v>
      </c>
      <c r="H437" s="1" t="n">
        <f aca="false">'Cleaned Data'!H437</f>
        <v>25</v>
      </c>
      <c r="I437" s="24" t="n">
        <f aca="false">'Cleaned Data'!I437</f>
        <v>0</v>
      </c>
      <c r="J437" s="1" t="str">
        <f aca="false">'Cleaned Data'!J437</f>
        <v>None</v>
      </c>
      <c r="K437" s="1" t="str">
        <f aca="false">'Cleaned Data'!K437</f>
        <v>Completed</v>
      </c>
      <c r="L437" s="1" t="str">
        <f aca="false">'Cleaned Data'!L437</f>
        <v>Paid</v>
      </c>
      <c r="M437" s="1" t="n">
        <f aca="false">'Cleaned Data'!M437</f>
        <v>20</v>
      </c>
      <c r="N437" s="1" t="str">
        <f aca="false">'Cleaned Data'!N437</f>
        <v>No</v>
      </c>
      <c r="O437" s="1" t="str">
        <f aca="false">TEXT(G437,"yyyy-mm")</f>
        <v>2025-05</v>
      </c>
      <c r="P437" s="1" t="str">
        <f aca="false">IF(H437&lt;20,"Low",IF(H437&lt;=60,"Medium","High"))</f>
        <v>Medium</v>
      </c>
      <c r="Q437" s="1" t="str">
        <f aca="false">IF(I437&gt;0,"Yes","No")</f>
        <v>No</v>
      </c>
      <c r="R437" s="1" t="n">
        <f aca="false">IF(N437="Yes",1,0)</f>
        <v>0</v>
      </c>
    </row>
    <row r="438" customFormat="false" ht="15" hidden="false" customHeight="true" outlineLevel="0" collapsed="false">
      <c r="A438" s="1" t="str">
        <f aca="false">'Cleaned Data'!A438</f>
        <v>S00434</v>
      </c>
      <c r="B438" s="1" t="str">
        <f aca="false">'Cleaned Data'!B438</f>
        <v>P2246</v>
      </c>
      <c r="C438" s="1" t="str">
        <f aca="false">'Cleaned Data'!C438</f>
        <v>lisajames</v>
      </c>
      <c r="D438" s="1" t="str">
        <f aca="false">'Cleaned Data'!D438</f>
        <v>Empire Wars</v>
      </c>
      <c r="E438" s="1" t="str">
        <f aca="false">'Cleaned Data'!E438</f>
        <v>Mobile</v>
      </c>
      <c r="F438" s="1" t="str">
        <f aca="false">'Cleaned Data'!F438</f>
        <v>South</v>
      </c>
      <c r="G438" s="23" t="n">
        <f aca="false">'Cleaned Data'!G438</f>
        <v>45739</v>
      </c>
      <c r="H438" s="1" t="n">
        <f aca="false">'Cleaned Data'!H438</f>
        <v>80</v>
      </c>
      <c r="I438" s="24" t="n">
        <f aca="false">'Cleaned Data'!I438</f>
        <v>0</v>
      </c>
      <c r="J438" s="1" t="str">
        <f aca="false">'Cleaned Data'!J438</f>
        <v>None</v>
      </c>
      <c r="K438" s="1" t="str">
        <f aca="false">'Cleaned Data'!K438</f>
        <v>Incomplete</v>
      </c>
      <c r="L438" s="1" t="str">
        <f aca="false">'Cleaned Data'!L438</f>
        <v>Free</v>
      </c>
      <c r="M438" s="1" t="n">
        <f aca="false">'Cleaned Data'!M438</f>
        <v>3</v>
      </c>
      <c r="N438" s="1" t="str">
        <f aca="false">'Cleaned Data'!N438</f>
        <v>No</v>
      </c>
      <c r="O438" s="1" t="str">
        <f aca="false">TEXT(G438,"yyyy-mm")</f>
        <v>2025-03</v>
      </c>
      <c r="P438" s="1" t="str">
        <f aca="false">IF(H438&lt;20,"Low",IF(H438&lt;=60,"Medium","High"))</f>
        <v>High</v>
      </c>
      <c r="Q438" s="1" t="str">
        <f aca="false">IF(I438&gt;0,"Yes","No")</f>
        <v>No</v>
      </c>
      <c r="R438" s="1" t="n">
        <f aca="false">IF(N438="Yes",1,0)</f>
        <v>0</v>
      </c>
    </row>
    <row r="439" customFormat="false" ht="15" hidden="false" customHeight="true" outlineLevel="0" collapsed="false">
      <c r="A439" s="1" t="str">
        <f aca="false">'Cleaned Data'!A439</f>
        <v>S00435</v>
      </c>
      <c r="B439" s="1" t="str">
        <f aca="false">'Cleaned Data'!B439</f>
        <v>P2996</v>
      </c>
      <c r="C439" s="1" t="str">
        <f aca="false">'Cleaned Data'!C439</f>
        <v>linda22</v>
      </c>
      <c r="D439" s="1" t="str">
        <f aca="false">'Cleaned Data'!D439</f>
        <v>Zombie Rush</v>
      </c>
      <c r="E439" s="1" t="str">
        <f aca="false">'Cleaned Data'!E439</f>
        <v>Console</v>
      </c>
      <c r="F439" s="1" t="str">
        <f aca="false">'Cleaned Data'!F439</f>
        <v>South</v>
      </c>
      <c r="G439" s="23" t="n">
        <f aca="false">'Cleaned Data'!G439</f>
        <v>45773</v>
      </c>
      <c r="H439" s="1" t="n">
        <f aca="false">'Cleaned Data'!H439</f>
        <v>101</v>
      </c>
      <c r="I439" s="24" t="n">
        <f aca="false">'Cleaned Data'!I439</f>
        <v>0</v>
      </c>
      <c r="J439" s="1" t="str">
        <f aca="false">'Cleaned Data'!J439</f>
        <v>None</v>
      </c>
      <c r="K439" s="1" t="str">
        <f aca="false">'Cleaned Data'!K439</f>
        <v>Completed</v>
      </c>
      <c r="L439" s="1" t="str">
        <f aca="false">'Cleaned Data'!L439</f>
        <v>Free</v>
      </c>
      <c r="M439" s="1" t="n">
        <f aca="false">'Cleaned Data'!M439</f>
        <v>15</v>
      </c>
      <c r="N439" s="1" t="str">
        <f aca="false">'Cleaned Data'!N439</f>
        <v>No</v>
      </c>
      <c r="O439" s="1" t="str">
        <f aca="false">TEXT(G439,"yyyy-mm")</f>
        <v>2025-04</v>
      </c>
      <c r="P439" s="1" t="str">
        <f aca="false">IF(H439&lt;20,"Low",IF(H439&lt;=60,"Medium","High"))</f>
        <v>High</v>
      </c>
      <c r="Q439" s="1" t="str">
        <f aca="false">IF(I439&gt;0,"Yes","No")</f>
        <v>No</v>
      </c>
      <c r="R439" s="1" t="n">
        <f aca="false">IF(N439="Yes",1,0)</f>
        <v>0</v>
      </c>
    </row>
    <row r="440" customFormat="false" ht="15" hidden="false" customHeight="true" outlineLevel="0" collapsed="false">
      <c r="A440" s="1" t="str">
        <f aca="false">'Cleaned Data'!A440</f>
        <v>S00436</v>
      </c>
      <c r="B440" s="1" t="str">
        <f aca="false">'Cleaned Data'!B440</f>
        <v>P9175</v>
      </c>
      <c r="C440" s="1" t="str">
        <f aca="false">'Cleaned Data'!C440</f>
        <v>gregbaker</v>
      </c>
      <c r="D440" s="1" t="str">
        <f aca="false">'Cleaned Data'!D440</f>
        <v>Zombie Rush</v>
      </c>
      <c r="E440" s="1" t="str">
        <f aca="false">'Cleaned Data'!E440</f>
        <v>Console</v>
      </c>
      <c r="F440" s="1" t="str">
        <f aca="false">'Cleaned Data'!F440</f>
        <v>West</v>
      </c>
      <c r="G440" s="23" t="n">
        <f aca="false">'Cleaned Data'!G440</f>
        <v>45645</v>
      </c>
      <c r="H440" s="1" t="n">
        <f aca="false">'Cleaned Data'!H440</f>
        <v>176</v>
      </c>
      <c r="I440" s="24" t="n">
        <f aca="false">'Cleaned Data'!I440</f>
        <v>0</v>
      </c>
      <c r="J440" s="1" t="str">
        <f aca="false">'Cleaned Data'!J440</f>
        <v>None</v>
      </c>
      <c r="K440" s="1" t="str">
        <f aca="false">'Cleaned Data'!K440</f>
        <v>Completed</v>
      </c>
      <c r="L440" s="1" t="str">
        <f aca="false">'Cleaned Data'!L440</f>
        <v>Free</v>
      </c>
      <c r="M440" s="1" t="n">
        <f aca="false">'Cleaned Data'!M440</f>
        <v>18</v>
      </c>
      <c r="N440" s="1" t="str">
        <f aca="false">'Cleaned Data'!N440</f>
        <v>Yes</v>
      </c>
      <c r="O440" s="1" t="str">
        <f aca="false">TEXT(G440,"yyyy-mm")</f>
        <v>2024-12</v>
      </c>
      <c r="P440" s="1" t="str">
        <f aca="false">IF(H440&lt;20,"Low",IF(H440&lt;=60,"Medium","High"))</f>
        <v>High</v>
      </c>
      <c r="Q440" s="1" t="str">
        <f aca="false">IF(I440&gt;0,"Yes","No")</f>
        <v>No</v>
      </c>
      <c r="R440" s="1" t="n">
        <f aca="false">IF(N440="Yes",1,0)</f>
        <v>1</v>
      </c>
    </row>
    <row r="441" customFormat="false" ht="15" hidden="false" customHeight="true" outlineLevel="0" collapsed="false">
      <c r="A441" s="1" t="str">
        <f aca="false">'Cleaned Data'!A441</f>
        <v>S00437</v>
      </c>
      <c r="B441" s="1" t="str">
        <f aca="false">'Cleaned Data'!B441</f>
        <v>P1726</v>
      </c>
      <c r="C441" s="1" t="str">
        <f aca="false">'Cleaned Data'!C441</f>
        <v>sheila89</v>
      </c>
      <c r="D441" s="1" t="str">
        <f aca="false">'Cleaned Data'!D441</f>
        <v>BattleZone</v>
      </c>
      <c r="E441" s="1" t="str">
        <f aca="false">'Cleaned Data'!E441</f>
        <v>PC</v>
      </c>
      <c r="F441" s="1" t="str">
        <f aca="false">'Cleaned Data'!F441</f>
        <v>Central</v>
      </c>
      <c r="G441" s="23" t="n">
        <f aca="false">'Cleaned Data'!G441</f>
        <v>45708</v>
      </c>
      <c r="H441" s="1" t="n">
        <f aca="false">'Cleaned Data'!H441</f>
        <v>101</v>
      </c>
      <c r="I441" s="24" t="n">
        <f aca="false">'Cleaned Data'!I441</f>
        <v>0</v>
      </c>
      <c r="J441" s="1" t="str">
        <f aca="false">'Cleaned Data'!J441</f>
        <v>None</v>
      </c>
      <c r="K441" s="1" t="str">
        <f aca="false">'Cleaned Data'!K441</f>
        <v>Incomplete</v>
      </c>
      <c r="L441" s="1" t="str">
        <f aca="false">'Cleaned Data'!L441</f>
        <v>Free</v>
      </c>
      <c r="M441" s="1" t="n">
        <f aca="false">'Cleaned Data'!M441</f>
        <v>5</v>
      </c>
      <c r="N441" s="1" t="str">
        <f aca="false">'Cleaned Data'!N441</f>
        <v>No</v>
      </c>
      <c r="O441" s="1" t="str">
        <f aca="false">TEXT(G441,"yyyy-mm")</f>
        <v>2025-02</v>
      </c>
      <c r="P441" s="1" t="str">
        <f aca="false">IF(H441&lt;20,"Low",IF(H441&lt;=60,"Medium","High"))</f>
        <v>High</v>
      </c>
      <c r="Q441" s="1" t="str">
        <f aca="false">IF(I441&gt;0,"Yes","No")</f>
        <v>No</v>
      </c>
      <c r="R441" s="1" t="n">
        <f aca="false">IF(N441="Yes",1,0)</f>
        <v>0</v>
      </c>
    </row>
    <row r="442" customFormat="false" ht="15" hidden="false" customHeight="true" outlineLevel="0" collapsed="false">
      <c r="A442" s="1" t="str">
        <f aca="false">'Cleaned Data'!A442</f>
        <v>S00438</v>
      </c>
      <c r="B442" s="1" t="str">
        <f aca="false">'Cleaned Data'!B442</f>
        <v>P1604</v>
      </c>
      <c r="C442" s="1" t="str">
        <f aca="false">'Cleaned Data'!C442</f>
        <v>pweaver</v>
      </c>
      <c r="D442" s="1" t="str">
        <f aca="false">'Cleaned Data'!D442</f>
        <v>Clash of Realms</v>
      </c>
      <c r="E442" s="1" t="str">
        <f aca="false">'Cleaned Data'!E442</f>
        <v>Console</v>
      </c>
      <c r="F442" s="1" t="str">
        <f aca="false">'Cleaned Data'!F442</f>
        <v>North-East</v>
      </c>
      <c r="G442" s="23" t="n">
        <f aca="false">'Cleaned Data'!G442</f>
        <v>45797</v>
      </c>
      <c r="H442" s="1" t="n">
        <f aca="false">'Cleaned Data'!H442</f>
        <v>147</v>
      </c>
      <c r="I442" s="24" t="n">
        <f aca="false">'Cleaned Data'!I442</f>
        <v>32.05</v>
      </c>
      <c r="J442" s="1" t="str">
        <f aca="false">'Cleaned Data'!J442</f>
        <v>Subscriptions</v>
      </c>
      <c r="K442" s="1" t="str">
        <f aca="false">'Cleaned Data'!K442</f>
        <v>Incomplete</v>
      </c>
      <c r="L442" s="1" t="str">
        <f aca="false">'Cleaned Data'!L442</f>
        <v>Paid</v>
      </c>
      <c r="M442" s="1" t="n">
        <f aca="false">'Cleaned Data'!M442</f>
        <v>11</v>
      </c>
      <c r="N442" s="1" t="str">
        <f aca="false">'Cleaned Data'!N442</f>
        <v>No</v>
      </c>
      <c r="O442" s="1" t="str">
        <f aca="false">TEXT(G442,"yyyy-mm")</f>
        <v>2025-05</v>
      </c>
      <c r="P442" s="1" t="str">
        <f aca="false">IF(H442&lt;20,"Low",IF(H442&lt;=60,"Medium","High"))</f>
        <v>High</v>
      </c>
      <c r="Q442" s="1" t="str">
        <f aca="false">IF(I442&gt;0,"Yes","No")</f>
        <v>Yes</v>
      </c>
      <c r="R442" s="1" t="n">
        <f aca="false">IF(N442="Yes",1,0)</f>
        <v>0</v>
      </c>
    </row>
    <row r="443" customFormat="false" ht="15" hidden="false" customHeight="true" outlineLevel="0" collapsed="false">
      <c r="A443" s="1" t="str">
        <f aca="false">'Cleaned Data'!A443</f>
        <v>S00439</v>
      </c>
      <c r="B443" s="1" t="str">
        <f aca="false">'Cleaned Data'!B443</f>
        <v>P4812</v>
      </c>
      <c r="C443" s="1" t="str">
        <f aca="false">'Cleaned Data'!C443</f>
        <v>thomas99</v>
      </c>
      <c r="D443" s="1" t="str">
        <f aca="false">'Cleaned Data'!D443</f>
        <v>Zombie Rush</v>
      </c>
      <c r="E443" s="1" t="str">
        <f aca="false">'Cleaned Data'!E443</f>
        <v>Mobile</v>
      </c>
      <c r="F443" s="1" t="str">
        <f aca="false">'Cleaned Data'!F443</f>
        <v>North</v>
      </c>
      <c r="G443" s="23" t="n">
        <f aca="false">'Cleaned Data'!G443</f>
        <v>45667</v>
      </c>
      <c r="H443" s="1" t="n">
        <f aca="false">'Cleaned Data'!H443</f>
        <v>46</v>
      </c>
      <c r="I443" s="24" t="n">
        <f aca="false">'Cleaned Data'!I443</f>
        <v>0</v>
      </c>
      <c r="J443" s="1" t="str">
        <f aca="false">'Cleaned Data'!J443</f>
        <v>None</v>
      </c>
      <c r="K443" s="1" t="str">
        <f aca="false">'Cleaned Data'!K443</f>
        <v>Completed</v>
      </c>
      <c r="L443" s="1" t="str">
        <f aca="false">'Cleaned Data'!L443</f>
        <v>Free</v>
      </c>
      <c r="M443" s="1" t="n">
        <f aca="false">'Cleaned Data'!M443</f>
        <v>4</v>
      </c>
      <c r="N443" s="1" t="str">
        <f aca="false">'Cleaned Data'!N443</f>
        <v>No</v>
      </c>
      <c r="O443" s="1" t="str">
        <f aca="false">TEXT(G443,"yyyy-mm")</f>
        <v>2025-01</v>
      </c>
      <c r="P443" s="1" t="str">
        <f aca="false">IF(H443&lt;20,"Low",IF(H443&lt;=60,"Medium","High"))</f>
        <v>Medium</v>
      </c>
      <c r="Q443" s="1" t="str">
        <f aca="false">IF(I443&gt;0,"Yes","No")</f>
        <v>No</v>
      </c>
      <c r="R443" s="1" t="n">
        <f aca="false">IF(N443="Yes",1,0)</f>
        <v>0</v>
      </c>
    </row>
    <row r="444" customFormat="false" ht="15" hidden="false" customHeight="true" outlineLevel="0" collapsed="false">
      <c r="A444" s="1" t="str">
        <f aca="false">'Cleaned Data'!A444</f>
        <v>S00440</v>
      </c>
      <c r="B444" s="1" t="str">
        <f aca="false">'Cleaned Data'!B444</f>
        <v>P5667</v>
      </c>
      <c r="C444" s="1" t="str">
        <f aca="false">'Cleaned Data'!C444</f>
        <v>victoria39</v>
      </c>
      <c r="D444" s="1" t="str">
        <f aca="false">'Cleaned Data'!D444</f>
        <v>Clash of Realms</v>
      </c>
      <c r="E444" s="1" t="str">
        <f aca="false">'Cleaned Data'!E444</f>
        <v>PC</v>
      </c>
      <c r="F444" s="1" t="str">
        <f aca="false">'Cleaned Data'!F444</f>
        <v>West</v>
      </c>
      <c r="G444" s="23" t="n">
        <f aca="false">'Cleaned Data'!G444</f>
        <v>45810</v>
      </c>
      <c r="H444" s="1" t="n">
        <f aca="false">'Cleaned Data'!H444</f>
        <v>33</v>
      </c>
      <c r="I444" s="24" t="n">
        <f aca="false">'Cleaned Data'!I444</f>
        <v>0</v>
      </c>
      <c r="J444" s="1" t="str">
        <f aca="false">'Cleaned Data'!J444</f>
        <v>None</v>
      </c>
      <c r="K444" s="1" t="str">
        <f aca="false">'Cleaned Data'!K444</f>
        <v>Exited Early</v>
      </c>
      <c r="L444" s="1" t="str">
        <f aca="false">'Cleaned Data'!L444</f>
        <v>Free</v>
      </c>
      <c r="M444" s="1" t="n">
        <f aca="false">'Cleaned Data'!M444</f>
        <v>20</v>
      </c>
      <c r="N444" s="1" t="str">
        <f aca="false">'Cleaned Data'!N444</f>
        <v>No</v>
      </c>
      <c r="O444" s="1" t="str">
        <f aca="false">TEXT(G444,"yyyy-mm")</f>
        <v>2025-06</v>
      </c>
      <c r="P444" s="1" t="str">
        <f aca="false">IF(H444&lt;20,"Low",IF(H444&lt;=60,"Medium","High"))</f>
        <v>Medium</v>
      </c>
      <c r="Q444" s="1" t="str">
        <f aca="false">IF(I444&gt;0,"Yes","No")</f>
        <v>No</v>
      </c>
      <c r="R444" s="1" t="n">
        <f aca="false">IF(N444="Yes",1,0)</f>
        <v>0</v>
      </c>
    </row>
    <row r="445" customFormat="false" ht="15" hidden="false" customHeight="true" outlineLevel="0" collapsed="false">
      <c r="A445" s="1" t="str">
        <f aca="false">'Cleaned Data'!A445</f>
        <v>S00441</v>
      </c>
      <c r="B445" s="1" t="str">
        <f aca="false">'Cleaned Data'!B445</f>
        <v>P4138</v>
      </c>
      <c r="C445" s="1" t="str">
        <f aca="false">'Cleaned Data'!C445</f>
        <v>ecooley</v>
      </c>
      <c r="D445" s="1" t="str">
        <f aca="false">'Cleaned Data'!D445</f>
        <v>BattleZone</v>
      </c>
      <c r="E445" s="1" t="str">
        <f aca="false">'Cleaned Data'!E445</f>
        <v>Mobile</v>
      </c>
      <c r="F445" s="1" t="str">
        <f aca="false">'Cleaned Data'!F445</f>
        <v>East</v>
      </c>
      <c r="G445" s="23" t="n">
        <f aca="false">'Cleaned Data'!G445</f>
        <v>45713</v>
      </c>
      <c r="H445" s="1" t="n">
        <f aca="false">'Cleaned Data'!H445</f>
        <v>150</v>
      </c>
      <c r="I445" s="24" t="n">
        <f aca="false">'Cleaned Data'!I445</f>
        <v>0</v>
      </c>
      <c r="J445" s="1" t="str">
        <f aca="false">'Cleaned Data'!J445</f>
        <v>None</v>
      </c>
      <c r="K445" s="1" t="str">
        <f aca="false">'Cleaned Data'!K445</f>
        <v>Completed</v>
      </c>
      <c r="L445" s="1" t="str">
        <f aca="false">'Cleaned Data'!L445</f>
        <v>Free</v>
      </c>
      <c r="M445" s="1" t="n">
        <f aca="false">'Cleaned Data'!M445</f>
        <v>46</v>
      </c>
      <c r="N445" s="1" t="str">
        <f aca="false">'Cleaned Data'!N445</f>
        <v>No</v>
      </c>
      <c r="O445" s="1" t="str">
        <f aca="false">TEXT(G445,"yyyy-mm")</f>
        <v>2025-02</v>
      </c>
      <c r="P445" s="1" t="str">
        <f aca="false">IF(H445&lt;20,"Low",IF(H445&lt;=60,"Medium","High"))</f>
        <v>High</v>
      </c>
      <c r="Q445" s="1" t="str">
        <f aca="false">IF(I445&gt;0,"Yes","No")</f>
        <v>No</v>
      </c>
      <c r="R445" s="1" t="n">
        <f aca="false">IF(N445="Yes",1,0)</f>
        <v>0</v>
      </c>
    </row>
    <row r="446" customFormat="false" ht="15" hidden="false" customHeight="true" outlineLevel="0" collapsed="false">
      <c r="A446" s="1" t="str">
        <f aca="false">'Cleaned Data'!A446</f>
        <v>S00442</v>
      </c>
      <c r="B446" s="1" t="str">
        <f aca="false">'Cleaned Data'!B446</f>
        <v>P9949</v>
      </c>
      <c r="C446" s="1" t="str">
        <f aca="false">'Cleaned Data'!C446</f>
        <v>brenda52</v>
      </c>
      <c r="D446" s="1" t="str">
        <f aca="false">'Cleaned Data'!D446</f>
        <v>BattleZone</v>
      </c>
      <c r="E446" s="1" t="str">
        <f aca="false">'Cleaned Data'!E446</f>
        <v>Console</v>
      </c>
      <c r="F446" s="1" t="str">
        <f aca="false">'Cleaned Data'!F446</f>
        <v>North-East</v>
      </c>
      <c r="G446" s="23" t="n">
        <f aca="false">'Cleaned Data'!G446</f>
        <v>45793</v>
      </c>
      <c r="H446" s="1" t="n">
        <f aca="false">'Cleaned Data'!H446</f>
        <v>166</v>
      </c>
      <c r="I446" s="24" t="n">
        <f aca="false">'Cleaned Data'!I446</f>
        <v>0</v>
      </c>
      <c r="J446" s="1" t="str">
        <f aca="false">'Cleaned Data'!J446</f>
        <v>None</v>
      </c>
      <c r="K446" s="1" t="str">
        <f aca="false">'Cleaned Data'!K446</f>
        <v>Completed</v>
      </c>
      <c r="L446" s="1" t="str">
        <f aca="false">'Cleaned Data'!L446</f>
        <v>Free</v>
      </c>
      <c r="M446" s="1" t="n">
        <f aca="false">'Cleaned Data'!M446</f>
        <v>27</v>
      </c>
      <c r="N446" s="1" t="str">
        <f aca="false">'Cleaned Data'!N446</f>
        <v>Yes</v>
      </c>
      <c r="O446" s="1" t="str">
        <f aca="false">TEXT(G446,"yyyy-mm")</f>
        <v>2025-05</v>
      </c>
      <c r="P446" s="1" t="str">
        <f aca="false">IF(H446&lt;20,"Low",IF(H446&lt;=60,"Medium","High"))</f>
        <v>High</v>
      </c>
      <c r="Q446" s="1" t="str">
        <f aca="false">IF(I446&gt;0,"Yes","No")</f>
        <v>No</v>
      </c>
      <c r="R446" s="1" t="n">
        <f aca="false">IF(N446="Yes",1,0)</f>
        <v>1</v>
      </c>
    </row>
    <row r="447" customFormat="false" ht="15" hidden="false" customHeight="true" outlineLevel="0" collapsed="false">
      <c r="A447" s="1" t="str">
        <f aca="false">'Cleaned Data'!A447</f>
        <v>S00443</v>
      </c>
      <c r="B447" s="1" t="str">
        <f aca="false">'Cleaned Data'!B447</f>
        <v>P9493</v>
      </c>
      <c r="C447" s="1" t="str">
        <f aca="false">'Cleaned Data'!C447</f>
        <v>zmendoza</v>
      </c>
      <c r="D447" s="1" t="str">
        <f aca="false">'Cleaned Data'!D447</f>
        <v>Clash of Realms</v>
      </c>
      <c r="E447" s="1" t="str">
        <f aca="false">'Cleaned Data'!E447</f>
        <v>Mobile</v>
      </c>
      <c r="F447" s="1" t="str">
        <f aca="false">'Cleaned Data'!F447</f>
        <v>North-East</v>
      </c>
      <c r="G447" s="23" t="n">
        <f aca="false">'Cleaned Data'!G447</f>
        <v>45678</v>
      </c>
      <c r="H447" s="1" t="n">
        <f aca="false">'Cleaned Data'!H447</f>
        <v>96</v>
      </c>
      <c r="I447" s="24" t="n">
        <f aca="false">'Cleaned Data'!I447</f>
        <v>0</v>
      </c>
      <c r="J447" s="1" t="str">
        <f aca="false">'Cleaned Data'!J447</f>
        <v>None</v>
      </c>
      <c r="K447" s="1" t="str">
        <f aca="false">'Cleaned Data'!K447</f>
        <v>Completed</v>
      </c>
      <c r="L447" s="1" t="str">
        <f aca="false">'Cleaned Data'!L447</f>
        <v>Paid</v>
      </c>
      <c r="M447" s="1" t="n">
        <f aca="false">'Cleaned Data'!M447</f>
        <v>38</v>
      </c>
      <c r="N447" s="1" t="str">
        <f aca="false">'Cleaned Data'!N447</f>
        <v>No</v>
      </c>
      <c r="O447" s="1" t="str">
        <f aca="false">TEXT(G447,"yyyy-mm")</f>
        <v>2025-01</v>
      </c>
      <c r="P447" s="1" t="str">
        <f aca="false">IF(H447&lt;20,"Low",IF(H447&lt;=60,"Medium","High"))</f>
        <v>High</v>
      </c>
      <c r="Q447" s="1" t="str">
        <f aca="false">IF(I447&gt;0,"Yes","No")</f>
        <v>No</v>
      </c>
      <c r="R447" s="1" t="n">
        <f aca="false">IF(N447="Yes",1,0)</f>
        <v>0</v>
      </c>
    </row>
    <row r="448" customFormat="false" ht="15" hidden="false" customHeight="true" outlineLevel="0" collapsed="false">
      <c r="A448" s="1" t="str">
        <f aca="false">'Cleaned Data'!A448</f>
        <v>S00444</v>
      </c>
      <c r="B448" s="1" t="str">
        <f aca="false">'Cleaned Data'!B448</f>
        <v>P8787</v>
      </c>
      <c r="C448" s="1" t="str">
        <f aca="false">'Cleaned Data'!C448</f>
        <v>jamesbarber</v>
      </c>
      <c r="D448" s="1" t="str">
        <f aca="false">'Cleaned Data'!D448</f>
        <v>SpeedX</v>
      </c>
      <c r="E448" s="1" t="str">
        <f aca="false">'Cleaned Data'!E448</f>
        <v>Console</v>
      </c>
      <c r="F448" s="1" t="str">
        <f aca="false">'Cleaned Data'!F448</f>
        <v>South</v>
      </c>
      <c r="G448" s="23" t="n">
        <f aca="false">'Cleaned Data'!G448</f>
        <v>45795</v>
      </c>
      <c r="H448" s="1" t="n">
        <f aca="false">'Cleaned Data'!H448</f>
        <v>51</v>
      </c>
      <c r="I448" s="24" t="n">
        <f aca="false">'Cleaned Data'!I448</f>
        <v>0</v>
      </c>
      <c r="J448" s="1" t="str">
        <f aca="false">'Cleaned Data'!J448</f>
        <v>None</v>
      </c>
      <c r="K448" s="1" t="str">
        <f aca="false">'Cleaned Data'!K448</f>
        <v>Completed</v>
      </c>
      <c r="L448" s="1" t="str">
        <f aca="false">'Cleaned Data'!L448</f>
        <v>Free</v>
      </c>
      <c r="M448" s="1" t="n">
        <f aca="false">'Cleaned Data'!M448</f>
        <v>9</v>
      </c>
      <c r="N448" s="1" t="str">
        <f aca="false">'Cleaned Data'!N448</f>
        <v>No</v>
      </c>
      <c r="O448" s="1" t="str">
        <f aca="false">TEXT(G448,"yyyy-mm")</f>
        <v>2025-05</v>
      </c>
      <c r="P448" s="1" t="str">
        <f aca="false">IF(H448&lt;20,"Low",IF(H448&lt;=60,"Medium","High"))</f>
        <v>Medium</v>
      </c>
      <c r="Q448" s="1" t="str">
        <f aca="false">IF(I448&gt;0,"Yes","No")</f>
        <v>No</v>
      </c>
      <c r="R448" s="1" t="n">
        <f aca="false">IF(N448="Yes",1,0)</f>
        <v>0</v>
      </c>
    </row>
    <row r="449" customFormat="false" ht="15" hidden="false" customHeight="true" outlineLevel="0" collapsed="false">
      <c r="A449" s="1" t="str">
        <f aca="false">'Cleaned Data'!A449</f>
        <v>S00445</v>
      </c>
      <c r="B449" s="1" t="str">
        <f aca="false">'Cleaned Data'!B449</f>
        <v>P6434</v>
      </c>
      <c r="C449" s="1" t="str">
        <f aca="false">'Cleaned Data'!C449</f>
        <v>caitlinmiller</v>
      </c>
      <c r="D449" s="1" t="str">
        <f aca="false">'Cleaned Data'!D449</f>
        <v>Clash of Realms</v>
      </c>
      <c r="E449" s="1" t="str">
        <f aca="false">'Cleaned Data'!E449</f>
        <v>Console</v>
      </c>
      <c r="F449" s="1" t="str">
        <f aca="false">'Cleaned Data'!F449</f>
        <v>West</v>
      </c>
      <c r="G449" s="23" t="n">
        <f aca="false">'Cleaned Data'!G449</f>
        <v>45652</v>
      </c>
      <c r="H449" s="1" t="n">
        <f aca="false">'Cleaned Data'!H449</f>
        <v>96</v>
      </c>
      <c r="I449" s="24" t="n">
        <f aca="false">'Cleaned Data'!I449</f>
        <v>0</v>
      </c>
      <c r="J449" s="1" t="str">
        <f aca="false">'Cleaned Data'!J449</f>
        <v>None</v>
      </c>
      <c r="K449" s="1" t="str">
        <f aca="false">'Cleaned Data'!K449</f>
        <v>Completed</v>
      </c>
      <c r="L449" s="1" t="str">
        <f aca="false">'Cleaned Data'!L449</f>
        <v>Free</v>
      </c>
      <c r="M449" s="1" t="n">
        <f aca="false">'Cleaned Data'!M449</f>
        <v>49</v>
      </c>
      <c r="N449" s="1" t="str">
        <f aca="false">'Cleaned Data'!N449</f>
        <v>No</v>
      </c>
      <c r="O449" s="1" t="str">
        <f aca="false">TEXT(G449,"yyyy-mm")</f>
        <v>2024-12</v>
      </c>
      <c r="P449" s="1" t="str">
        <f aca="false">IF(H449&lt;20,"Low",IF(H449&lt;=60,"Medium","High"))</f>
        <v>High</v>
      </c>
      <c r="Q449" s="1" t="str">
        <f aca="false">IF(I449&gt;0,"Yes","No")</f>
        <v>No</v>
      </c>
      <c r="R449" s="1" t="n">
        <f aca="false">IF(N449="Yes",1,0)</f>
        <v>0</v>
      </c>
    </row>
    <row r="450" customFormat="false" ht="15" hidden="false" customHeight="true" outlineLevel="0" collapsed="false">
      <c r="A450" s="1" t="str">
        <f aca="false">'Cleaned Data'!A450</f>
        <v>S00446</v>
      </c>
      <c r="B450" s="1" t="str">
        <f aca="false">'Cleaned Data'!B450</f>
        <v>P7453</v>
      </c>
      <c r="C450" s="1" t="str">
        <f aca="false">'Cleaned Data'!C450</f>
        <v>davidhunt</v>
      </c>
      <c r="D450" s="1" t="str">
        <f aca="false">'Cleaned Data'!D450</f>
        <v>BattleZone</v>
      </c>
      <c r="E450" s="1" t="str">
        <f aca="false">'Cleaned Data'!E450</f>
        <v>Console</v>
      </c>
      <c r="F450" s="1" t="str">
        <f aca="false">'Cleaned Data'!F450</f>
        <v>West</v>
      </c>
      <c r="G450" s="23" t="n">
        <f aca="false">'Cleaned Data'!G450</f>
        <v>45787</v>
      </c>
      <c r="H450" s="1" t="n">
        <f aca="false">'Cleaned Data'!H450</f>
        <v>114</v>
      </c>
      <c r="I450" s="24" t="n">
        <f aca="false">'Cleaned Data'!I450</f>
        <v>0</v>
      </c>
      <c r="J450" s="1" t="str">
        <f aca="false">'Cleaned Data'!J450</f>
        <v>None</v>
      </c>
      <c r="K450" s="1" t="str">
        <f aca="false">'Cleaned Data'!K450</f>
        <v>Incomplete</v>
      </c>
      <c r="L450" s="1" t="str">
        <f aca="false">'Cleaned Data'!L450</f>
        <v>Free</v>
      </c>
      <c r="M450" s="1" t="n">
        <f aca="false">'Cleaned Data'!M450</f>
        <v>22</v>
      </c>
      <c r="N450" s="1" t="str">
        <f aca="false">'Cleaned Data'!N450</f>
        <v>No</v>
      </c>
      <c r="O450" s="1" t="str">
        <f aca="false">TEXT(G450,"yyyy-mm")</f>
        <v>2025-05</v>
      </c>
      <c r="P450" s="1" t="str">
        <f aca="false">IF(H450&lt;20,"Low",IF(H450&lt;=60,"Medium","High"))</f>
        <v>High</v>
      </c>
      <c r="Q450" s="1" t="str">
        <f aca="false">IF(I450&gt;0,"Yes","No")</f>
        <v>No</v>
      </c>
      <c r="R450" s="1" t="n">
        <f aca="false">IF(N450="Yes",1,0)</f>
        <v>0</v>
      </c>
    </row>
    <row r="451" customFormat="false" ht="15" hidden="false" customHeight="true" outlineLevel="0" collapsed="false">
      <c r="A451" s="1" t="str">
        <f aca="false">'Cleaned Data'!A451</f>
        <v>S00447</v>
      </c>
      <c r="B451" s="1" t="str">
        <f aca="false">'Cleaned Data'!B451</f>
        <v>P1920</v>
      </c>
      <c r="C451" s="1" t="str">
        <f aca="false">'Cleaned Data'!C451</f>
        <v>fsteele</v>
      </c>
      <c r="D451" s="1" t="str">
        <f aca="false">'Cleaned Data'!D451</f>
        <v>Empire Wars</v>
      </c>
      <c r="E451" s="1" t="str">
        <f aca="false">'Cleaned Data'!E451</f>
        <v>Mobile</v>
      </c>
      <c r="F451" s="1" t="str">
        <f aca="false">'Cleaned Data'!F451</f>
        <v>Central</v>
      </c>
      <c r="G451" s="23" t="n">
        <f aca="false">'Cleaned Data'!G451</f>
        <v>45654</v>
      </c>
      <c r="H451" s="1" t="n">
        <f aca="false">'Cleaned Data'!H451</f>
        <v>133</v>
      </c>
      <c r="I451" s="24" t="n">
        <f aca="false">'Cleaned Data'!I451</f>
        <v>0</v>
      </c>
      <c r="J451" s="1" t="str">
        <f aca="false">'Cleaned Data'!J451</f>
        <v>None</v>
      </c>
      <c r="K451" s="1" t="str">
        <f aca="false">'Cleaned Data'!K451</f>
        <v>Exited Early</v>
      </c>
      <c r="L451" s="1" t="str">
        <f aca="false">'Cleaned Data'!L451</f>
        <v>Free</v>
      </c>
      <c r="M451" s="1" t="n">
        <f aca="false">'Cleaned Data'!M451</f>
        <v>10</v>
      </c>
      <c r="N451" s="1" t="str">
        <f aca="false">'Cleaned Data'!N451</f>
        <v>No</v>
      </c>
      <c r="O451" s="1" t="str">
        <f aca="false">TEXT(G451,"yyyy-mm")</f>
        <v>2024-12</v>
      </c>
      <c r="P451" s="1" t="str">
        <f aca="false">IF(H451&lt;20,"Low",IF(H451&lt;=60,"Medium","High"))</f>
        <v>High</v>
      </c>
      <c r="Q451" s="1" t="str">
        <f aca="false">IF(I451&gt;0,"Yes","No")</f>
        <v>No</v>
      </c>
      <c r="R451" s="1" t="n">
        <f aca="false">IF(N451="Yes",1,0)</f>
        <v>0</v>
      </c>
    </row>
    <row r="452" customFormat="false" ht="15" hidden="false" customHeight="true" outlineLevel="0" collapsed="false">
      <c r="A452" s="1" t="str">
        <f aca="false">'Cleaned Data'!A452</f>
        <v>S00448</v>
      </c>
      <c r="B452" s="1" t="str">
        <f aca="false">'Cleaned Data'!B452</f>
        <v>P1344</v>
      </c>
      <c r="C452" s="1" t="str">
        <f aca="false">'Cleaned Data'!C452</f>
        <v>keithunderwood</v>
      </c>
      <c r="D452" s="1" t="str">
        <f aca="false">'Cleaned Data'!D452</f>
        <v>Zombie Rush</v>
      </c>
      <c r="E452" s="1" t="str">
        <f aca="false">'Cleaned Data'!E452</f>
        <v>Console</v>
      </c>
      <c r="F452" s="1" t="str">
        <f aca="false">'Cleaned Data'!F452</f>
        <v>North</v>
      </c>
      <c r="G452" s="23" t="n">
        <f aca="false">'Cleaned Data'!G452</f>
        <v>45755</v>
      </c>
      <c r="H452" s="1" t="n">
        <f aca="false">'Cleaned Data'!H452</f>
        <v>104</v>
      </c>
      <c r="I452" s="24" t="n">
        <f aca="false">'Cleaned Data'!I452</f>
        <v>9.94</v>
      </c>
      <c r="J452" s="1" t="str">
        <f aca="false">'Cleaned Data'!J452</f>
        <v>Subscriptions</v>
      </c>
      <c r="K452" s="1" t="str">
        <f aca="false">'Cleaned Data'!K452</f>
        <v>Exited Early</v>
      </c>
      <c r="L452" s="1" t="str">
        <f aca="false">'Cleaned Data'!L452</f>
        <v>Paid</v>
      </c>
      <c r="M452" s="1" t="n">
        <f aca="false">'Cleaned Data'!M452</f>
        <v>21</v>
      </c>
      <c r="N452" s="1" t="str">
        <f aca="false">'Cleaned Data'!N452</f>
        <v>No</v>
      </c>
      <c r="O452" s="1" t="str">
        <f aca="false">TEXT(G452,"yyyy-mm")</f>
        <v>2025-04</v>
      </c>
      <c r="P452" s="1" t="str">
        <f aca="false">IF(H452&lt;20,"Low",IF(H452&lt;=60,"Medium","High"))</f>
        <v>High</v>
      </c>
      <c r="Q452" s="1" t="str">
        <f aca="false">IF(I452&gt;0,"Yes","No")</f>
        <v>Yes</v>
      </c>
      <c r="R452" s="1" t="n">
        <f aca="false">IF(N452="Yes",1,0)</f>
        <v>0</v>
      </c>
    </row>
    <row r="453" customFormat="false" ht="15" hidden="false" customHeight="true" outlineLevel="0" collapsed="false">
      <c r="A453" s="1" t="str">
        <f aca="false">'Cleaned Data'!A453</f>
        <v>S00449</v>
      </c>
      <c r="B453" s="1" t="str">
        <f aca="false">'Cleaned Data'!B453</f>
        <v>P5705</v>
      </c>
      <c r="C453" s="1" t="str">
        <f aca="false">'Cleaned Data'!C453</f>
        <v>hernandezcatherine</v>
      </c>
      <c r="D453" s="1" t="str">
        <f aca="false">'Cleaned Data'!D453</f>
        <v>BattleZone</v>
      </c>
      <c r="E453" s="1" t="str">
        <f aca="false">'Cleaned Data'!E453</f>
        <v>Console</v>
      </c>
      <c r="F453" s="1" t="str">
        <f aca="false">'Cleaned Data'!F453</f>
        <v>North</v>
      </c>
      <c r="G453" s="23" t="n">
        <f aca="false">'Cleaned Data'!G453</f>
        <v>45758</v>
      </c>
      <c r="H453" s="1" t="n">
        <f aca="false">'Cleaned Data'!H453</f>
        <v>108</v>
      </c>
      <c r="I453" s="24" t="n">
        <f aca="false">'Cleaned Data'!I453</f>
        <v>0</v>
      </c>
      <c r="J453" s="1" t="str">
        <f aca="false">'Cleaned Data'!J453</f>
        <v>None</v>
      </c>
      <c r="K453" s="1" t="str">
        <f aca="false">'Cleaned Data'!K453</f>
        <v>Crashed</v>
      </c>
      <c r="L453" s="1" t="str">
        <f aca="false">'Cleaned Data'!L453</f>
        <v>Free</v>
      </c>
      <c r="M453" s="1" t="n">
        <f aca="false">'Cleaned Data'!M453</f>
        <v>22</v>
      </c>
      <c r="N453" s="1" t="str">
        <f aca="false">'Cleaned Data'!N453</f>
        <v>No</v>
      </c>
      <c r="O453" s="1" t="str">
        <f aca="false">TEXT(G453,"yyyy-mm")</f>
        <v>2025-04</v>
      </c>
      <c r="P453" s="1" t="str">
        <f aca="false">IF(H453&lt;20,"Low",IF(H453&lt;=60,"Medium","High"))</f>
        <v>High</v>
      </c>
      <c r="Q453" s="1" t="str">
        <f aca="false">IF(I453&gt;0,"Yes","No")</f>
        <v>No</v>
      </c>
      <c r="R453" s="1" t="n">
        <f aca="false">IF(N453="Yes",1,0)</f>
        <v>0</v>
      </c>
    </row>
    <row r="454" customFormat="false" ht="15" hidden="false" customHeight="true" outlineLevel="0" collapsed="false">
      <c r="A454" s="1" t="str">
        <f aca="false">'Cleaned Data'!A454</f>
        <v>S00450</v>
      </c>
      <c r="B454" s="1" t="str">
        <f aca="false">'Cleaned Data'!B454</f>
        <v>P3198</v>
      </c>
      <c r="C454" s="1" t="str">
        <f aca="false">'Cleaned Data'!C454</f>
        <v>bherrera</v>
      </c>
      <c r="D454" s="1" t="str">
        <f aca="false">'Cleaned Data'!D454</f>
        <v>Zombie Rush</v>
      </c>
      <c r="E454" s="1" t="str">
        <f aca="false">'Cleaned Data'!E454</f>
        <v>Mobile</v>
      </c>
      <c r="F454" s="1" t="str">
        <f aca="false">'Cleaned Data'!F454</f>
        <v>East</v>
      </c>
      <c r="G454" s="23" t="n">
        <f aca="false">'Cleaned Data'!G454</f>
        <v>45724</v>
      </c>
      <c r="H454" s="1" t="n">
        <f aca="false">'Cleaned Data'!H454</f>
        <v>63</v>
      </c>
      <c r="I454" s="24" t="n">
        <f aca="false">'Cleaned Data'!I454</f>
        <v>0</v>
      </c>
      <c r="J454" s="1" t="str">
        <f aca="false">'Cleaned Data'!J454</f>
        <v>None</v>
      </c>
      <c r="K454" s="1" t="str">
        <f aca="false">'Cleaned Data'!K454</f>
        <v>Completed</v>
      </c>
      <c r="L454" s="1" t="str">
        <f aca="false">'Cleaned Data'!L454</f>
        <v>Free</v>
      </c>
      <c r="M454" s="1" t="n">
        <f aca="false">'Cleaned Data'!M454</f>
        <v>25</v>
      </c>
      <c r="N454" s="1" t="str">
        <f aca="false">'Cleaned Data'!N454</f>
        <v>No</v>
      </c>
      <c r="O454" s="1" t="str">
        <f aca="false">TEXT(G454,"yyyy-mm")</f>
        <v>2025-03</v>
      </c>
      <c r="P454" s="1" t="str">
        <f aca="false">IF(H454&lt;20,"Low",IF(H454&lt;=60,"Medium","High"))</f>
        <v>High</v>
      </c>
      <c r="Q454" s="1" t="str">
        <f aca="false">IF(I454&gt;0,"Yes","No")</f>
        <v>No</v>
      </c>
      <c r="R454" s="1" t="n">
        <f aca="false">IF(N454="Yes",1,0)</f>
        <v>0</v>
      </c>
    </row>
    <row r="455" customFormat="false" ht="15" hidden="false" customHeight="true" outlineLevel="0" collapsed="false">
      <c r="A455" s="1" t="str">
        <f aca="false">'Cleaned Data'!A455</f>
        <v>S00451</v>
      </c>
      <c r="B455" s="1" t="str">
        <f aca="false">'Cleaned Data'!B455</f>
        <v>P5894</v>
      </c>
      <c r="C455" s="1" t="str">
        <f aca="false">'Cleaned Data'!C455</f>
        <v>chendavid</v>
      </c>
      <c r="D455" s="1" t="str">
        <f aca="false">'Cleaned Data'!D455</f>
        <v>Empire Wars</v>
      </c>
      <c r="E455" s="1" t="str">
        <f aca="false">'Cleaned Data'!E455</f>
        <v>Mobile</v>
      </c>
      <c r="F455" s="1" t="str">
        <f aca="false">'Cleaned Data'!F455</f>
        <v>North</v>
      </c>
      <c r="G455" s="23" t="n">
        <f aca="false">'Cleaned Data'!G455</f>
        <v>45660</v>
      </c>
      <c r="H455" s="1" t="n">
        <f aca="false">'Cleaned Data'!H455</f>
        <v>33</v>
      </c>
      <c r="I455" s="24" t="n">
        <f aca="false">'Cleaned Data'!I455</f>
        <v>0</v>
      </c>
      <c r="J455" s="1" t="str">
        <f aca="false">'Cleaned Data'!J455</f>
        <v>None</v>
      </c>
      <c r="K455" s="1" t="str">
        <f aca="false">'Cleaned Data'!K455</f>
        <v>Completed</v>
      </c>
      <c r="L455" s="1" t="str">
        <f aca="false">'Cleaned Data'!L455</f>
        <v>Free</v>
      </c>
      <c r="M455" s="1" t="n">
        <f aca="false">'Cleaned Data'!M455</f>
        <v>32</v>
      </c>
      <c r="N455" s="1" t="str">
        <f aca="false">'Cleaned Data'!N455</f>
        <v>No</v>
      </c>
      <c r="O455" s="1" t="str">
        <f aca="false">TEXT(G455,"yyyy-mm")</f>
        <v>2025-01</v>
      </c>
      <c r="P455" s="1" t="str">
        <f aca="false">IF(H455&lt;20,"Low",IF(H455&lt;=60,"Medium","High"))</f>
        <v>Medium</v>
      </c>
      <c r="Q455" s="1" t="str">
        <f aca="false">IF(I455&gt;0,"Yes","No")</f>
        <v>No</v>
      </c>
      <c r="R455" s="1" t="n">
        <f aca="false">IF(N455="Yes",1,0)</f>
        <v>0</v>
      </c>
    </row>
    <row r="456" customFormat="false" ht="15" hidden="false" customHeight="true" outlineLevel="0" collapsed="false">
      <c r="A456" s="1" t="str">
        <f aca="false">'Cleaned Data'!A456</f>
        <v>S00452</v>
      </c>
      <c r="B456" s="1" t="str">
        <f aca="false">'Cleaned Data'!B456</f>
        <v>P9365</v>
      </c>
      <c r="C456" s="1" t="str">
        <f aca="false">'Cleaned Data'!C456</f>
        <v>rware</v>
      </c>
      <c r="D456" s="1" t="str">
        <f aca="false">'Cleaned Data'!D456</f>
        <v>SpeedX</v>
      </c>
      <c r="E456" s="1" t="str">
        <f aca="false">'Cleaned Data'!E456</f>
        <v>Mobile</v>
      </c>
      <c r="F456" s="1" t="str">
        <f aca="false">'Cleaned Data'!F456</f>
        <v>North-East</v>
      </c>
      <c r="G456" s="23" t="n">
        <f aca="false">'Cleaned Data'!G456</f>
        <v>45791</v>
      </c>
      <c r="H456" s="1" t="n">
        <f aca="false">'Cleaned Data'!H456</f>
        <v>39</v>
      </c>
      <c r="I456" s="24" t="n">
        <f aca="false">'Cleaned Data'!I456</f>
        <v>0</v>
      </c>
      <c r="J456" s="1" t="str">
        <f aca="false">'Cleaned Data'!J456</f>
        <v>None</v>
      </c>
      <c r="K456" s="1" t="str">
        <f aca="false">'Cleaned Data'!K456</f>
        <v>Completed</v>
      </c>
      <c r="L456" s="1" t="str">
        <f aca="false">'Cleaned Data'!L456</f>
        <v>Free</v>
      </c>
      <c r="M456" s="1" t="n">
        <f aca="false">'Cleaned Data'!M456</f>
        <v>42</v>
      </c>
      <c r="N456" s="1" t="str">
        <f aca="false">'Cleaned Data'!N456</f>
        <v>No</v>
      </c>
      <c r="O456" s="1" t="str">
        <f aca="false">TEXT(G456,"yyyy-mm")</f>
        <v>2025-05</v>
      </c>
      <c r="P456" s="1" t="str">
        <f aca="false">IF(H456&lt;20,"Low",IF(H456&lt;=60,"Medium","High"))</f>
        <v>Medium</v>
      </c>
      <c r="Q456" s="1" t="str">
        <f aca="false">IF(I456&gt;0,"Yes","No")</f>
        <v>No</v>
      </c>
      <c r="R456" s="1" t="n">
        <f aca="false">IF(N456="Yes",1,0)</f>
        <v>0</v>
      </c>
    </row>
    <row r="457" customFormat="false" ht="15" hidden="false" customHeight="true" outlineLevel="0" collapsed="false">
      <c r="A457" s="1" t="str">
        <f aca="false">'Cleaned Data'!A457</f>
        <v>S00453</v>
      </c>
      <c r="B457" s="1" t="str">
        <f aca="false">'Cleaned Data'!B457</f>
        <v>P7874</v>
      </c>
      <c r="C457" s="1" t="str">
        <f aca="false">'Cleaned Data'!C457</f>
        <v>gloriajohnson</v>
      </c>
      <c r="D457" s="1" t="str">
        <f aca="false">'Cleaned Data'!D457</f>
        <v>Empire Wars</v>
      </c>
      <c r="E457" s="1" t="str">
        <f aca="false">'Cleaned Data'!E457</f>
        <v>PC</v>
      </c>
      <c r="F457" s="1" t="str">
        <f aca="false">'Cleaned Data'!F457</f>
        <v>West</v>
      </c>
      <c r="G457" s="23" t="n">
        <f aca="false">'Cleaned Data'!G457</f>
        <v>45714</v>
      </c>
      <c r="H457" s="1" t="n">
        <f aca="false">'Cleaned Data'!H457</f>
        <v>11</v>
      </c>
      <c r="I457" s="24" t="n">
        <f aca="false">'Cleaned Data'!I457</f>
        <v>0</v>
      </c>
      <c r="J457" s="1" t="str">
        <f aca="false">'Cleaned Data'!J457</f>
        <v>None</v>
      </c>
      <c r="K457" s="1" t="str">
        <f aca="false">'Cleaned Data'!K457</f>
        <v>Exited Early</v>
      </c>
      <c r="L457" s="1" t="str">
        <f aca="false">'Cleaned Data'!L457</f>
        <v>Free</v>
      </c>
      <c r="M457" s="1" t="n">
        <f aca="false">'Cleaned Data'!M457</f>
        <v>12</v>
      </c>
      <c r="N457" s="1" t="str">
        <f aca="false">'Cleaned Data'!N457</f>
        <v>No</v>
      </c>
      <c r="O457" s="1" t="str">
        <f aca="false">TEXT(G457,"yyyy-mm")</f>
        <v>2025-02</v>
      </c>
      <c r="P457" s="1" t="str">
        <f aca="false">IF(H457&lt;20,"Low",IF(H457&lt;=60,"Medium","High"))</f>
        <v>Low</v>
      </c>
      <c r="Q457" s="1" t="str">
        <f aca="false">IF(I457&gt;0,"Yes","No")</f>
        <v>No</v>
      </c>
      <c r="R457" s="1" t="n">
        <f aca="false">IF(N457="Yes",1,0)</f>
        <v>0</v>
      </c>
    </row>
    <row r="458" customFormat="false" ht="15" hidden="false" customHeight="true" outlineLevel="0" collapsed="false">
      <c r="A458" s="1" t="str">
        <f aca="false">'Cleaned Data'!A458</f>
        <v>S00454</v>
      </c>
      <c r="B458" s="1" t="str">
        <f aca="false">'Cleaned Data'!B458</f>
        <v>P4547</v>
      </c>
      <c r="C458" s="1" t="str">
        <f aca="false">'Cleaned Data'!C458</f>
        <v>allenvictor</v>
      </c>
      <c r="D458" s="1" t="str">
        <f aca="false">'Cleaned Data'!D458</f>
        <v>SpeedX</v>
      </c>
      <c r="E458" s="1" t="str">
        <f aca="false">'Cleaned Data'!E458</f>
        <v>Mobile</v>
      </c>
      <c r="F458" s="1" t="str">
        <f aca="false">'Cleaned Data'!F458</f>
        <v>North</v>
      </c>
      <c r="G458" s="23" t="n">
        <f aca="false">'Cleaned Data'!G458</f>
        <v>45708</v>
      </c>
      <c r="H458" s="1" t="n">
        <f aca="false">'Cleaned Data'!H458</f>
        <v>142</v>
      </c>
      <c r="I458" s="24" t="n">
        <f aca="false">'Cleaned Data'!I458</f>
        <v>0</v>
      </c>
      <c r="J458" s="1" t="str">
        <f aca="false">'Cleaned Data'!J458</f>
        <v>None</v>
      </c>
      <c r="K458" s="1" t="str">
        <f aca="false">'Cleaned Data'!K458</f>
        <v>Completed</v>
      </c>
      <c r="L458" s="1" t="str">
        <f aca="false">'Cleaned Data'!L458</f>
        <v>Free</v>
      </c>
      <c r="M458" s="1" t="n">
        <f aca="false">'Cleaned Data'!M458</f>
        <v>32</v>
      </c>
      <c r="N458" s="1" t="str">
        <f aca="false">'Cleaned Data'!N458</f>
        <v>No</v>
      </c>
      <c r="O458" s="1" t="str">
        <f aca="false">TEXT(G458,"yyyy-mm")</f>
        <v>2025-02</v>
      </c>
      <c r="P458" s="1" t="str">
        <f aca="false">IF(H458&lt;20,"Low",IF(H458&lt;=60,"Medium","High"))</f>
        <v>High</v>
      </c>
      <c r="Q458" s="1" t="str">
        <f aca="false">IF(I458&gt;0,"Yes","No")</f>
        <v>No</v>
      </c>
      <c r="R458" s="1" t="n">
        <f aca="false">IF(N458="Yes",1,0)</f>
        <v>0</v>
      </c>
    </row>
    <row r="459" customFormat="false" ht="15" hidden="false" customHeight="true" outlineLevel="0" collapsed="false">
      <c r="A459" s="1" t="str">
        <f aca="false">'Cleaned Data'!A459</f>
        <v>S00455</v>
      </c>
      <c r="B459" s="1" t="str">
        <f aca="false">'Cleaned Data'!B459</f>
        <v>P4283</v>
      </c>
      <c r="C459" s="1" t="str">
        <f aca="false">'Cleaned Data'!C459</f>
        <v>sheiladavis</v>
      </c>
      <c r="D459" s="1" t="str">
        <f aca="false">'Cleaned Data'!D459</f>
        <v>Clash of Realms</v>
      </c>
      <c r="E459" s="1" t="str">
        <f aca="false">'Cleaned Data'!E459</f>
        <v>PC</v>
      </c>
      <c r="F459" s="1" t="str">
        <f aca="false">'Cleaned Data'!F459</f>
        <v>Central</v>
      </c>
      <c r="G459" s="23" t="n">
        <f aca="false">'Cleaned Data'!G459</f>
        <v>45669</v>
      </c>
      <c r="H459" s="1" t="n">
        <f aca="false">'Cleaned Data'!H459</f>
        <v>123</v>
      </c>
      <c r="I459" s="24" t="n">
        <f aca="false">'Cleaned Data'!I459</f>
        <v>22.4</v>
      </c>
      <c r="J459" s="1" t="str">
        <f aca="false">'Cleaned Data'!J459</f>
        <v>Skins</v>
      </c>
      <c r="K459" s="1" t="str">
        <f aca="false">'Cleaned Data'!K459</f>
        <v>Completed</v>
      </c>
      <c r="L459" s="1" t="str">
        <f aca="false">'Cleaned Data'!L459</f>
        <v>Paid</v>
      </c>
      <c r="M459" s="1" t="n">
        <f aca="false">'Cleaned Data'!M459</f>
        <v>33</v>
      </c>
      <c r="N459" s="1" t="str">
        <f aca="false">'Cleaned Data'!N459</f>
        <v>No</v>
      </c>
      <c r="O459" s="1" t="str">
        <f aca="false">TEXT(G459,"yyyy-mm")</f>
        <v>2025-01</v>
      </c>
      <c r="P459" s="1" t="str">
        <f aca="false">IF(H459&lt;20,"Low",IF(H459&lt;=60,"Medium","High"))</f>
        <v>High</v>
      </c>
      <c r="Q459" s="1" t="str">
        <f aca="false">IF(I459&gt;0,"Yes","No")</f>
        <v>Yes</v>
      </c>
      <c r="R459" s="1" t="n">
        <f aca="false">IF(N459="Yes",1,0)</f>
        <v>0</v>
      </c>
    </row>
    <row r="460" customFormat="false" ht="15" hidden="false" customHeight="true" outlineLevel="0" collapsed="false">
      <c r="A460" s="1" t="str">
        <f aca="false">'Cleaned Data'!A460</f>
        <v>S00456</v>
      </c>
      <c r="B460" s="1" t="str">
        <f aca="false">'Cleaned Data'!B460</f>
        <v>P8176</v>
      </c>
      <c r="C460" s="1" t="str">
        <f aca="false">'Cleaned Data'!C460</f>
        <v>tgill</v>
      </c>
      <c r="D460" s="1" t="str">
        <f aca="false">'Cleaned Data'!D460</f>
        <v>BattleZone</v>
      </c>
      <c r="E460" s="1" t="str">
        <f aca="false">'Cleaned Data'!E460</f>
        <v>Console</v>
      </c>
      <c r="F460" s="1" t="str">
        <f aca="false">'Cleaned Data'!F460</f>
        <v>South</v>
      </c>
      <c r="G460" s="23" t="n">
        <f aca="false">'Cleaned Data'!G460</f>
        <v>45735</v>
      </c>
      <c r="H460" s="1" t="n">
        <f aca="false">'Cleaned Data'!H460</f>
        <v>132</v>
      </c>
      <c r="I460" s="24" t="n">
        <f aca="false">'Cleaned Data'!I460</f>
        <v>28.89</v>
      </c>
      <c r="J460" s="1" t="str">
        <f aca="false">'Cleaned Data'!J460</f>
        <v>Battle Pass</v>
      </c>
      <c r="K460" s="1" t="str">
        <f aca="false">'Cleaned Data'!K460</f>
        <v>Completed</v>
      </c>
      <c r="L460" s="1" t="str">
        <f aca="false">'Cleaned Data'!L460</f>
        <v>Paid</v>
      </c>
      <c r="M460" s="1" t="n">
        <f aca="false">'Cleaned Data'!M460</f>
        <v>26</v>
      </c>
      <c r="N460" s="1" t="str">
        <f aca="false">'Cleaned Data'!N460</f>
        <v>No</v>
      </c>
      <c r="O460" s="1" t="str">
        <f aca="false">TEXT(G460,"yyyy-mm")</f>
        <v>2025-03</v>
      </c>
      <c r="P460" s="1" t="str">
        <f aca="false">IF(H460&lt;20,"Low",IF(H460&lt;=60,"Medium","High"))</f>
        <v>High</v>
      </c>
      <c r="Q460" s="1" t="str">
        <f aca="false">IF(I460&gt;0,"Yes","No")</f>
        <v>Yes</v>
      </c>
      <c r="R460" s="1" t="n">
        <f aca="false">IF(N460="Yes",1,0)</f>
        <v>0</v>
      </c>
    </row>
    <row r="461" customFormat="false" ht="15" hidden="false" customHeight="true" outlineLevel="0" collapsed="false">
      <c r="A461" s="1" t="str">
        <f aca="false">'Cleaned Data'!A461</f>
        <v>S00457</v>
      </c>
      <c r="B461" s="1" t="str">
        <f aca="false">'Cleaned Data'!B461</f>
        <v>P5820</v>
      </c>
      <c r="C461" s="1" t="str">
        <f aca="false">'Cleaned Data'!C461</f>
        <v>lindagalloway</v>
      </c>
      <c r="D461" s="1" t="str">
        <f aca="false">'Cleaned Data'!D461</f>
        <v>Empire Wars</v>
      </c>
      <c r="E461" s="1" t="str">
        <f aca="false">'Cleaned Data'!E461</f>
        <v>Mobile</v>
      </c>
      <c r="F461" s="1" t="str">
        <f aca="false">'Cleaned Data'!F461</f>
        <v>North-East</v>
      </c>
      <c r="G461" s="23" t="n">
        <f aca="false">'Cleaned Data'!G461</f>
        <v>45655</v>
      </c>
      <c r="H461" s="1" t="n">
        <f aca="false">'Cleaned Data'!H461</f>
        <v>113</v>
      </c>
      <c r="I461" s="24" t="n">
        <f aca="false">'Cleaned Data'!I461</f>
        <v>0</v>
      </c>
      <c r="J461" s="1" t="str">
        <f aca="false">'Cleaned Data'!J461</f>
        <v>None</v>
      </c>
      <c r="K461" s="1" t="str">
        <f aca="false">'Cleaned Data'!K461</f>
        <v>Completed</v>
      </c>
      <c r="L461" s="1" t="str">
        <f aca="false">'Cleaned Data'!L461</f>
        <v>Free</v>
      </c>
      <c r="M461" s="1" t="n">
        <f aca="false">'Cleaned Data'!M461</f>
        <v>17</v>
      </c>
      <c r="N461" s="1" t="str">
        <f aca="false">'Cleaned Data'!N461</f>
        <v>No</v>
      </c>
      <c r="O461" s="1" t="str">
        <f aca="false">TEXT(G461,"yyyy-mm")</f>
        <v>2024-12</v>
      </c>
      <c r="P461" s="1" t="str">
        <f aca="false">IF(H461&lt;20,"Low",IF(H461&lt;=60,"Medium","High"))</f>
        <v>High</v>
      </c>
      <c r="Q461" s="1" t="str">
        <f aca="false">IF(I461&gt;0,"Yes","No")</f>
        <v>No</v>
      </c>
      <c r="R461" s="1" t="n">
        <f aca="false">IF(N461="Yes",1,0)</f>
        <v>0</v>
      </c>
    </row>
    <row r="462" customFormat="false" ht="15" hidden="false" customHeight="true" outlineLevel="0" collapsed="false">
      <c r="A462" s="1" t="str">
        <f aca="false">'Cleaned Data'!A462</f>
        <v>S00458</v>
      </c>
      <c r="B462" s="1" t="str">
        <f aca="false">'Cleaned Data'!B462</f>
        <v>P8552</v>
      </c>
      <c r="C462" s="1" t="str">
        <f aca="false">'Cleaned Data'!C462</f>
        <v>jbriggs</v>
      </c>
      <c r="D462" s="1" t="str">
        <f aca="false">'Cleaned Data'!D462</f>
        <v>Clash of Realms</v>
      </c>
      <c r="E462" s="1" t="str">
        <f aca="false">'Cleaned Data'!E462</f>
        <v>Console</v>
      </c>
      <c r="F462" s="1" t="str">
        <f aca="false">'Cleaned Data'!F462</f>
        <v>South</v>
      </c>
      <c r="G462" s="23" t="n">
        <f aca="false">'Cleaned Data'!G462</f>
        <v>45666</v>
      </c>
      <c r="H462" s="1" t="n">
        <f aca="false">'Cleaned Data'!H462</f>
        <v>92</v>
      </c>
      <c r="I462" s="24" t="n">
        <f aca="false">'Cleaned Data'!I462</f>
        <v>0</v>
      </c>
      <c r="J462" s="1" t="str">
        <f aca="false">'Cleaned Data'!J462</f>
        <v>None</v>
      </c>
      <c r="K462" s="1" t="str">
        <f aca="false">'Cleaned Data'!K462</f>
        <v>Completed</v>
      </c>
      <c r="L462" s="1" t="str">
        <f aca="false">'Cleaned Data'!L462</f>
        <v>Free</v>
      </c>
      <c r="M462" s="1" t="n">
        <f aca="false">'Cleaned Data'!M462</f>
        <v>33</v>
      </c>
      <c r="N462" s="1" t="str">
        <f aca="false">'Cleaned Data'!N462</f>
        <v>No</v>
      </c>
      <c r="O462" s="1" t="str">
        <f aca="false">TEXT(G462,"yyyy-mm")</f>
        <v>2025-01</v>
      </c>
      <c r="P462" s="1" t="str">
        <f aca="false">IF(H462&lt;20,"Low",IF(H462&lt;=60,"Medium","High"))</f>
        <v>High</v>
      </c>
      <c r="Q462" s="1" t="str">
        <f aca="false">IF(I462&gt;0,"Yes","No")</f>
        <v>No</v>
      </c>
      <c r="R462" s="1" t="n">
        <f aca="false">IF(N462="Yes",1,0)</f>
        <v>0</v>
      </c>
    </row>
    <row r="463" customFormat="false" ht="15" hidden="false" customHeight="true" outlineLevel="0" collapsed="false">
      <c r="A463" s="1" t="str">
        <f aca="false">'Cleaned Data'!A463</f>
        <v>S00459</v>
      </c>
      <c r="B463" s="1" t="str">
        <f aca="false">'Cleaned Data'!B463</f>
        <v>P5695</v>
      </c>
      <c r="C463" s="1" t="str">
        <f aca="false">'Cleaned Data'!C463</f>
        <v>danielleonard</v>
      </c>
      <c r="D463" s="1" t="str">
        <f aca="false">'Cleaned Data'!D463</f>
        <v>Clash of Realms</v>
      </c>
      <c r="E463" s="1" t="str">
        <f aca="false">'Cleaned Data'!E463</f>
        <v>Console</v>
      </c>
      <c r="F463" s="1" t="str">
        <f aca="false">'Cleaned Data'!F463</f>
        <v>Central</v>
      </c>
      <c r="G463" s="23" t="n">
        <f aca="false">'Cleaned Data'!G463</f>
        <v>45654</v>
      </c>
      <c r="H463" s="1" t="n">
        <f aca="false">'Cleaned Data'!H463</f>
        <v>44</v>
      </c>
      <c r="I463" s="24" t="n">
        <f aca="false">'Cleaned Data'!I463</f>
        <v>0</v>
      </c>
      <c r="J463" s="1" t="str">
        <f aca="false">'Cleaned Data'!J463</f>
        <v>None</v>
      </c>
      <c r="K463" s="1" t="str">
        <f aca="false">'Cleaned Data'!K463</f>
        <v>Completed</v>
      </c>
      <c r="L463" s="1" t="str">
        <f aca="false">'Cleaned Data'!L463</f>
        <v>Free</v>
      </c>
      <c r="M463" s="1" t="n">
        <f aca="false">'Cleaned Data'!M463</f>
        <v>21</v>
      </c>
      <c r="N463" s="1" t="str">
        <f aca="false">'Cleaned Data'!N463</f>
        <v>No</v>
      </c>
      <c r="O463" s="1" t="str">
        <f aca="false">TEXT(G463,"yyyy-mm")</f>
        <v>2024-12</v>
      </c>
      <c r="P463" s="1" t="str">
        <f aca="false">IF(H463&lt;20,"Low",IF(H463&lt;=60,"Medium","High"))</f>
        <v>Medium</v>
      </c>
      <c r="Q463" s="1" t="str">
        <f aca="false">IF(I463&gt;0,"Yes","No")</f>
        <v>No</v>
      </c>
      <c r="R463" s="1" t="n">
        <f aca="false">IF(N463="Yes",1,0)</f>
        <v>0</v>
      </c>
    </row>
    <row r="464" customFormat="false" ht="15" hidden="false" customHeight="true" outlineLevel="0" collapsed="false">
      <c r="A464" s="1" t="str">
        <f aca="false">'Cleaned Data'!A464</f>
        <v>S00460</v>
      </c>
      <c r="B464" s="1" t="str">
        <f aca="false">'Cleaned Data'!B464</f>
        <v>P6581</v>
      </c>
      <c r="C464" s="1" t="str">
        <f aca="false">'Cleaned Data'!C464</f>
        <v>ramirezandrea</v>
      </c>
      <c r="D464" s="1" t="str">
        <f aca="false">'Cleaned Data'!D464</f>
        <v>SpeedX</v>
      </c>
      <c r="E464" s="1" t="str">
        <f aca="false">'Cleaned Data'!E464</f>
        <v>Mobile</v>
      </c>
      <c r="F464" s="1" t="str">
        <f aca="false">'Cleaned Data'!F464</f>
        <v>West</v>
      </c>
      <c r="G464" s="23" t="n">
        <f aca="false">'Cleaned Data'!G464</f>
        <v>45722</v>
      </c>
      <c r="H464" s="1" t="n">
        <f aca="false">'Cleaned Data'!H464</f>
        <v>17</v>
      </c>
      <c r="I464" s="24" t="n">
        <f aca="false">'Cleaned Data'!I464</f>
        <v>0</v>
      </c>
      <c r="J464" s="1" t="str">
        <f aca="false">'Cleaned Data'!J464</f>
        <v>None</v>
      </c>
      <c r="K464" s="1" t="str">
        <f aca="false">'Cleaned Data'!K464</f>
        <v>Completed</v>
      </c>
      <c r="L464" s="1" t="str">
        <f aca="false">'Cleaned Data'!L464</f>
        <v>Free</v>
      </c>
      <c r="M464" s="1" t="n">
        <f aca="false">'Cleaned Data'!M464</f>
        <v>1</v>
      </c>
      <c r="N464" s="1" t="str">
        <f aca="false">'Cleaned Data'!N464</f>
        <v>No</v>
      </c>
      <c r="O464" s="1" t="str">
        <f aca="false">TEXT(G464,"yyyy-mm")</f>
        <v>2025-03</v>
      </c>
      <c r="P464" s="1" t="str">
        <f aca="false">IF(H464&lt;20,"Low",IF(H464&lt;=60,"Medium","High"))</f>
        <v>Low</v>
      </c>
      <c r="Q464" s="1" t="str">
        <f aca="false">IF(I464&gt;0,"Yes","No")</f>
        <v>No</v>
      </c>
      <c r="R464" s="1" t="n">
        <f aca="false">IF(N464="Yes",1,0)</f>
        <v>0</v>
      </c>
    </row>
    <row r="465" customFormat="false" ht="15" hidden="false" customHeight="true" outlineLevel="0" collapsed="false">
      <c r="A465" s="1" t="str">
        <f aca="false">'Cleaned Data'!A465</f>
        <v>S00461</v>
      </c>
      <c r="B465" s="1" t="str">
        <f aca="false">'Cleaned Data'!B465</f>
        <v>P4636</v>
      </c>
      <c r="C465" s="1" t="str">
        <f aca="false">'Cleaned Data'!C465</f>
        <v>jeffreyjohnson</v>
      </c>
      <c r="D465" s="1" t="str">
        <f aca="false">'Cleaned Data'!D465</f>
        <v>SpeedX</v>
      </c>
      <c r="E465" s="1" t="str">
        <f aca="false">'Cleaned Data'!E465</f>
        <v>PC</v>
      </c>
      <c r="F465" s="1" t="str">
        <f aca="false">'Cleaned Data'!F465</f>
        <v>East</v>
      </c>
      <c r="G465" s="23" t="n">
        <f aca="false">'Cleaned Data'!G465</f>
        <v>45690</v>
      </c>
      <c r="H465" s="1" t="n">
        <f aca="false">'Cleaned Data'!H465</f>
        <v>52</v>
      </c>
      <c r="I465" s="24" t="n">
        <f aca="false">'Cleaned Data'!I465</f>
        <v>0</v>
      </c>
      <c r="J465" s="1" t="str">
        <f aca="false">'Cleaned Data'!J465</f>
        <v>None</v>
      </c>
      <c r="K465" s="1" t="str">
        <f aca="false">'Cleaned Data'!K465</f>
        <v>Exited Early</v>
      </c>
      <c r="L465" s="1" t="str">
        <f aca="false">'Cleaned Data'!L465</f>
        <v>Free</v>
      </c>
      <c r="M465" s="1" t="n">
        <f aca="false">'Cleaned Data'!M465</f>
        <v>19</v>
      </c>
      <c r="N465" s="1" t="str">
        <f aca="false">'Cleaned Data'!N465</f>
        <v>No</v>
      </c>
      <c r="O465" s="1" t="str">
        <f aca="false">TEXT(G465,"yyyy-mm")</f>
        <v>2025-02</v>
      </c>
      <c r="P465" s="1" t="str">
        <f aca="false">IF(H465&lt;20,"Low",IF(H465&lt;=60,"Medium","High"))</f>
        <v>Medium</v>
      </c>
      <c r="Q465" s="1" t="str">
        <f aca="false">IF(I465&gt;0,"Yes","No")</f>
        <v>No</v>
      </c>
      <c r="R465" s="1" t="n">
        <f aca="false">IF(N465="Yes",1,0)</f>
        <v>0</v>
      </c>
    </row>
    <row r="466" customFormat="false" ht="15" hidden="false" customHeight="true" outlineLevel="0" collapsed="false">
      <c r="A466" s="1" t="str">
        <f aca="false">'Cleaned Data'!A466</f>
        <v>S00462</v>
      </c>
      <c r="B466" s="1" t="str">
        <f aca="false">'Cleaned Data'!B466</f>
        <v>P2853</v>
      </c>
      <c r="C466" s="1" t="str">
        <f aca="false">'Cleaned Data'!C466</f>
        <v>dannyforbes</v>
      </c>
      <c r="D466" s="1" t="str">
        <f aca="false">'Cleaned Data'!D466</f>
        <v>Empire Wars</v>
      </c>
      <c r="E466" s="1" t="str">
        <f aca="false">'Cleaned Data'!E466</f>
        <v>Mobile</v>
      </c>
      <c r="F466" s="1" t="str">
        <f aca="false">'Cleaned Data'!F466</f>
        <v>West</v>
      </c>
      <c r="G466" s="23" t="n">
        <f aca="false">'Cleaned Data'!G466</f>
        <v>45676</v>
      </c>
      <c r="H466" s="1" t="n">
        <f aca="false">'Cleaned Data'!H466</f>
        <v>51</v>
      </c>
      <c r="I466" s="24" t="n">
        <f aca="false">'Cleaned Data'!I466</f>
        <v>20.97</v>
      </c>
      <c r="J466" s="1" t="str">
        <f aca="false">'Cleaned Data'!J466</f>
        <v>Skins</v>
      </c>
      <c r="K466" s="1" t="str">
        <f aca="false">'Cleaned Data'!K466</f>
        <v>Completed</v>
      </c>
      <c r="L466" s="1" t="str">
        <f aca="false">'Cleaned Data'!L466</f>
        <v>Paid</v>
      </c>
      <c r="M466" s="1" t="n">
        <f aca="false">'Cleaned Data'!M466</f>
        <v>31</v>
      </c>
      <c r="N466" s="1" t="str">
        <f aca="false">'Cleaned Data'!N466</f>
        <v>No</v>
      </c>
      <c r="O466" s="1" t="str">
        <f aca="false">TEXT(G466,"yyyy-mm")</f>
        <v>2025-01</v>
      </c>
      <c r="P466" s="1" t="str">
        <f aca="false">IF(H466&lt;20,"Low",IF(H466&lt;=60,"Medium","High"))</f>
        <v>Medium</v>
      </c>
      <c r="Q466" s="1" t="str">
        <f aca="false">IF(I466&gt;0,"Yes","No")</f>
        <v>Yes</v>
      </c>
      <c r="R466" s="1" t="n">
        <f aca="false">IF(N466="Yes",1,0)</f>
        <v>0</v>
      </c>
    </row>
    <row r="467" customFormat="false" ht="15" hidden="false" customHeight="true" outlineLevel="0" collapsed="false">
      <c r="A467" s="1" t="str">
        <f aca="false">'Cleaned Data'!A467</f>
        <v>S00463</v>
      </c>
      <c r="B467" s="1" t="str">
        <f aca="false">'Cleaned Data'!B467</f>
        <v>P3252</v>
      </c>
      <c r="C467" s="1" t="str">
        <f aca="false">'Cleaned Data'!C467</f>
        <v>wallacedebra</v>
      </c>
      <c r="D467" s="1" t="str">
        <f aca="false">'Cleaned Data'!D467</f>
        <v>BattleZone</v>
      </c>
      <c r="E467" s="1" t="str">
        <f aca="false">'Cleaned Data'!E467</f>
        <v>PC</v>
      </c>
      <c r="F467" s="1" t="str">
        <f aca="false">'Cleaned Data'!F467</f>
        <v>North</v>
      </c>
      <c r="G467" s="23" t="n">
        <f aca="false">'Cleaned Data'!G467</f>
        <v>45694</v>
      </c>
      <c r="H467" s="1" t="n">
        <f aca="false">'Cleaned Data'!H467</f>
        <v>94</v>
      </c>
      <c r="I467" s="24" t="n">
        <f aca="false">'Cleaned Data'!I467</f>
        <v>0</v>
      </c>
      <c r="J467" s="1" t="str">
        <f aca="false">'Cleaned Data'!J467</f>
        <v>None</v>
      </c>
      <c r="K467" s="1" t="str">
        <f aca="false">'Cleaned Data'!K467</f>
        <v>Completed</v>
      </c>
      <c r="L467" s="1" t="str">
        <f aca="false">'Cleaned Data'!L467</f>
        <v>Free</v>
      </c>
      <c r="M467" s="1" t="n">
        <f aca="false">'Cleaned Data'!M467</f>
        <v>43</v>
      </c>
      <c r="N467" s="1" t="str">
        <f aca="false">'Cleaned Data'!N467</f>
        <v>No</v>
      </c>
      <c r="O467" s="1" t="str">
        <f aca="false">TEXT(G467,"yyyy-mm")</f>
        <v>2025-02</v>
      </c>
      <c r="P467" s="1" t="str">
        <f aca="false">IF(H467&lt;20,"Low",IF(H467&lt;=60,"Medium","High"))</f>
        <v>High</v>
      </c>
      <c r="Q467" s="1" t="str">
        <f aca="false">IF(I467&gt;0,"Yes","No")</f>
        <v>No</v>
      </c>
      <c r="R467" s="1" t="n">
        <f aca="false">IF(N467="Yes",1,0)</f>
        <v>0</v>
      </c>
    </row>
    <row r="468" customFormat="false" ht="15" hidden="false" customHeight="true" outlineLevel="0" collapsed="false">
      <c r="A468" s="1" t="str">
        <f aca="false">'Cleaned Data'!A468</f>
        <v>S00464</v>
      </c>
      <c r="B468" s="1" t="str">
        <f aca="false">'Cleaned Data'!B468</f>
        <v>P2743</v>
      </c>
      <c r="C468" s="1" t="str">
        <f aca="false">'Cleaned Data'!C468</f>
        <v>jennifersmith</v>
      </c>
      <c r="D468" s="1" t="str">
        <f aca="false">'Cleaned Data'!D468</f>
        <v>Empire Wars</v>
      </c>
      <c r="E468" s="1" t="str">
        <f aca="false">'Cleaned Data'!E468</f>
        <v>Mobile</v>
      </c>
      <c r="F468" s="1" t="str">
        <f aca="false">'Cleaned Data'!F468</f>
        <v>West</v>
      </c>
      <c r="G468" s="23" t="n">
        <f aca="false">'Cleaned Data'!G468</f>
        <v>45782</v>
      </c>
      <c r="H468" s="1" t="n">
        <f aca="false">'Cleaned Data'!H468</f>
        <v>63</v>
      </c>
      <c r="I468" s="24" t="n">
        <f aca="false">'Cleaned Data'!I468</f>
        <v>0</v>
      </c>
      <c r="J468" s="1" t="str">
        <f aca="false">'Cleaned Data'!J468</f>
        <v>None</v>
      </c>
      <c r="K468" s="1" t="str">
        <f aca="false">'Cleaned Data'!K468</f>
        <v>Completed</v>
      </c>
      <c r="L468" s="1" t="str">
        <f aca="false">'Cleaned Data'!L468</f>
        <v>Paid</v>
      </c>
      <c r="M468" s="1" t="n">
        <f aca="false">'Cleaned Data'!M468</f>
        <v>43</v>
      </c>
      <c r="N468" s="1" t="str">
        <f aca="false">'Cleaned Data'!N468</f>
        <v>No</v>
      </c>
      <c r="O468" s="1" t="str">
        <f aca="false">TEXT(G468,"yyyy-mm")</f>
        <v>2025-05</v>
      </c>
      <c r="P468" s="1" t="str">
        <f aca="false">IF(H468&lt;20,"Low",IF(H468&lt;=60,"Medium","High"))</f>
        <v>High</v>
      </c>
      <c r="Q468" s="1" t="str">
        <f aca="false">IF(I468&gt;0,"Yes","No")</f>
        <v>No</v>
      </c>
      <c r="R468" s="1" t="n">
        <f aca="false">IF(N468="Yes",1,0)</f>
        <v>0</v>
      </c>
    </row>
    <row r="469" customFormat="false" ht="15" hidden="false" customHeight="true" outlineLevel="0" collapsed="false">
      <c r="A469" s="1" t="str">
        <f aca="false">'Cleaned Data'!A469</f>
        <v>S00465</v>
      </c>
      <c r="B469" s="1" t="str">
        <f aca="false">'Cleaned Data'!B469</f>
        <v>P1878</v>
      </c>
      <c r="C469" s="1" t="str">
        <f aca="false">'Cleaned Data'!C469</f>
        <v>steven19</v>
      </c>
      <c r="D469" s="1" t="str">
        <f aca="false">'Cleaned Data'!D469</f>
        <v>Empire Wars</v>
      </c>
      <c r="E469" s="1" t="str">
        <f aca="false">'Cleaned Data'!E469</f>
        <v>Mobile</v>
      </c>
      <c r="F469" s="1" t="str">
        <f aca="false">'Cleaned Data'!F469</f>
        <v>North-East</v>
      </c>
      <c r="G469" s="23" t="n">
        <f aca="false">'Cleaned Data'!G469</f>
        <v>45725</v>
      </c>
      <c r="H469" s="1" t="n">
        <f aca="false">'Cleaned Data'!H469</f>
        <v>172</v>
      </c>
      <c r="I469" s="24" t="n">
        <f aca="false">'Cleaned Data'!I469</f>
        <v>0</v>
      </c>
      <c r="J469" s="1" t="str">
        <f aca="false">'Cleaned Data'!J469</f>
        <v>None</v>
      </c>
      <c r="K469" s="1" t="str">
        <f aca="false">'Cleaned Data'!K469</f>
        <v>Completed</v>
      </c>
      <c r="L469" s="1" t="str">
        <f aca="false">'Cleaned Data'!L469</f>
        <v>Free</v>
      </c>
      <c r="M469" s="1" t="n">
        <f aca="false">'Cleaned Data'!M469</f>
        <v>15</v>
      </c>
      <c r="N469" s="1" t="str">
        <f aca="false">'Cleaned Data'!N469</f>
        <v>Yes</v>
      </c>
      <c r="O469" s="1" t="str">
        <f aca="false">TEXT(G469,"yyyy-mm")</f>
        <v>2025-03</v>
      </c>
      <c r="P469" s="1" t="str">
        <f aca="false">IF(H469&lt;20,"Low",IF(H469&lt;=60,"Medium","High"))</f>
        <v>High</v>
      </c>
      <c r="Q469" s="1" t="str">
        <f aca="false">IF(I469&gt;0,"Yes","No")</f>
        <v>No</v>
      </c>
      <c r="R469" s="1" t="n">
        <f aca="false">IF(N469="Yes",1,0)</f>
        <v>1</v>
      </c>
    </row>
    <row r="470" customFormat="false" ht="15" hidden="false" customHeight="true" outlineLevel="0" collapsed="false">
      <c r="A470" s="1" t="str">
        <f aca="false">'Cleaned Data'!A470</f>
        <v>S00466</v>
      </c>
      <c r="B470" s="1" t="str">
        <f aca="false">'Cleaned Data'!B470</f>
        <v>P1450</v>
      </c>
      <c r="C470" s="1" t="str">
        <f aca="false">'Cleaned Data'!C470</f>
        <v>jacob95</v>
      </c>
      <c r="D470" s="1" t="str">
        <f aca="false">'Cleaned Data'!D470</f>
        <v>Zombie Rush</v>
      </c>
      <c r="E470" s="1" t="str">
        <f aca="false">'Cleaned Data'!E470</f>
        <v>Console</v>
      </c>
      <c r="F470" s="1" t="str">
        <f aca="false">'Cleaned Data'!F470</f>
        <v>Central</v>
      </c>
      <c r="G470" s="23" t="n">
        <f aca="false">'Cleaned Data'!G470</f>
        <v>45651</v>
      </c>
      <c r="H470" s="1" t="n">
        <f aca="false">'Cleaned Data'!H470</f>
        <v>38</v>
      </c>
      <c r="I470" s="24" t="n">
        <f aca="false">'Cleaned Data'!I470</f>
        <v>0</v>
      </c>
      <c r="J470" s="1" t="str">
        <f aca="false">'Cleaned Data'!J470</f>
        <v>None</v>
      </c>
      <c r="K470" s="1" t="str">
        <f aca="false">'Cleaned Data'!K470</f>
        <v>Exited Early</v>
      </c>
      <c r="L470" s="1" t="str">
        <f aca="false">'Cleaned Data'!L470</f>
        <v>Free</v>
      </c>
      <c r="M470" s="1" t="n">
        <f aca="false">'Cleaned Data'!M470</f>
        <v>23</v>
      </c>
      <c r="N470" s="1" t="str">
        <f aca="false">'Cleaned Data'!N470</f>
        <v>No</v>
      </c>
      <c r="O470" s="1" t="str">
        <f aca="false">TEXT(G470,"yyyy-mm")</f>
        <v>2024-12</v>
      </c>
      <c r="P470" s="1" t="str">
        <f aca="false">IF(H470&lt;20,"Low",IF(H470&lt;=60,"Medium","High"))</f>
        <v>Medium</v>
      </c>
      <c r="Q470" s="1" t="str">
        <f aca="false">IF(I470&gt;0,"Yes","No")</f>
        <v>No</v>
      </c>
      <c r="R470" s="1" t="n">
        <f aca="false">IF(N470="Yes",1,0)</f>
        <v>0</v>
      </c>
    </row>
    <row r="471" customFormat="false" ht="15" hidden="false" customHeight="true" outlineLevel="0" collapsed="false">
      <c r="A471" s="1" t="str">
        <f aca="false">'Cleaned Data'!A471</f>
        <v>S00467</v>
      </c>
      <c r="B471" s="1" t="str">
        <f aca="false">'Cleaned Data'!B471</f>
        <v>P3228</v>
      </c>
      <c r="C471" s="1" t="str">
        <f aca="false">'Cleaned Data'!C471</f>
        <v>mlewis</v>
      </c>
      <c r="D471" s="1" t="str">
        <f aca="false">'Cleaned Data'!D471</f>
        <v>Clash of Realms</v>
      </c>
      <c r="E471" s="1" t="str">
        <f aca="false">'Cleaned Data'!E471</f>
        <v>Console</v>
      </c>
      <c r="F471" s="1" t="str">
        <f aca="false">'Cleaned Data'!F471</f>
        <v>North-East</v>
      </c>
      <c r="G471" s="23" t="n">
        <f aca="false">'Cleaned Data'!G471</f>
        <v>45654</v>
      </c>
      <c r="H471" s="1" t="n">
        <f aca="false">'Cleaned Data'!H471</f>
        <v>132</v>
      </c>
      <c r="I471" s="24" t="n">
        <f aca="false">'Cleaned Data'!I471</f>
        <v>18</v>
      </c>
      <c r="J471" s="1" t="str">
        <f aca="false">'Cleaned Data'!J471</f>
        <v>Battle Pass</v>
      </c>
      <c r="K471" s="1" t="str">
        <f aca="false">'Cleaned Data'!K471</f>
        <v>Crashed</v>
      </c>
      <c r="L471" s="1" t="str">
        <f aca="false">'Cleaned Data'!L471</f>
        <v>Paid</v>
      </c>
      <c r="M471" s="1" t="n">
        <f aca="false">'Cleaned Data'!M471</f>
        <v>3</v>
      </c>
      <c r="N471" s="1" t="str">
        <f aca="false">'Cleaned Data'!N471</f>
        <v>No</v>
      </c>
      <c r="O471" s="1" t="str">
        <f aca="false">TEXT(G471,"yyyy-mm")</f>
        <v>2024-12</v>
      </c>
      <c r="P471" s="1" t="str">
        <f aca="false">IF(H471&lt;20,"Low",IF(H471&lt;=60,"Medium","High"))</f>
        <v>High</v>
      </c>
      <c r="Q471" s="1" t="str">
        <f aca="false">IF(I471&gt;0,"Yes","No")</f>
        <v>Yes</v>
      </c>
      <c r="R471" s="1" t="n">
        <f aca="false">IF(N471="Yes",1,0)</f>
        <v>0</v>
      </c>
    </row>
    <row r="472" customFormat="false" ht="15" hidden="false" customHeight="true" outlineLevel="0" collapsed="false">
      <c r="A472" s="1" t="str">
        <f aca="false">'Cleaned Data'!A472</f>
        <v>S00468</v>
      </c>
      <c r="B472" s="1" t="str">
        <f aca="false">'Cleaned Data'!B472</f>
        <v>P9747</v>
      </c>
      <c r="C472" s="1" t="str">
        <f aca="false">'Cleaned Data'!C472</f>
        <v>charles59</v>
      </c>
      <c r="D472" s="1" t="str">
        <f aca="false">'Cleaned Data'!D472</f>
        <v>Empire Wars</v>
      </c>
      <c r="E472" s="1" t="str">
        <f aca="false">'Cleaned Data'!E472</f>
        <v>Mobile</v>
      </c>
      <c r="F472" s="1" t="str">
        <f aca="false">'Cleaned Data'!F472</f>
        <v>West</v>
      </c>
      <c r="G472" s="23" t="n">
        <f aca="false">'Cleaned Data'!G472</f>
        <v>45799</v>
      </c>
      <c r="H472" s="1" t="n">
        <f aca="false">'Cleaned Data'!H472</f>
        <v>164</v>
      </c>
      <c r="I472" s="24" t="n">
        <f aca="false">'Cleaned Data'!I472</f>
        <v>0</v>
      </c>
      <c r="J472" s="1" t="str">
        <f aca="false">'Cleaned Data'!J472</f>
        <v>None</v>
      </c>
      <c r="K472" s="1" t="str">
        <f aca="false">'Cleaned Data'!K472</f>
        <v>Incomplete</v>
      </c>
      <c r="L472" s="1" t="str">
        <f aca="false">'Cleaned Data'!L472</f>
        <v>Free</v>
      </c>
      <c r="M472" s="1" t="n">
        <f aca="false">'Cleaned Data'!M472</f>
        <v>40</v>
      </c>
      <c r="N472" s="1" t="str">
        <f aca="false">'Cleaned Data'!N472</f>
        <v>Yes</v>
      </c>
      <c r="O472" s="1" t="str">
        <f aca="false">TEXT(G472,"yyyy-mm")</f>
        <v>2025-05</v>
      </c>
      <c r="P472" s="1" t="str">
        <f aca="false">IF(H472&lt;20,"Low",IF(H472&lt;=60,"Medium","High"))</f>
        <v>High</v>
      </c>
      <c r="Q472" s="1" t="str">
        <f aca="false">IF(I472&gt;0,"Yes","No")</f>
        <v>No</v>
      </c>
      <c r="R472" s="1" t="n">
        <f aca="false">IF(N472="Yes",1,0)</f>
        <v>1</v>
      </c>
    </row>
    <row r="473" customFormat="false" ht="15" hidden="false" customHeight="true" outlineLevel="0" collapsed="false">
      <c r="A473" s="1" t="str">
        <f aca="false">'Cleaned Data'!A473</f>
        <v>S00469</v>
      </c>
      <c r="B473" s="1" t="str">
        <f aca="false">'Cleaned Data'!B473</f>
        <v>P2925</v>
      </c>
      <c r="C473" s="1" t="str">
        <f aca="false">'Cleaned Data'!C473</f>
        <v>kgonzalez</v>
      </c>
      <c r="D473" s="1" t="str">
        <f aca="false">'Cleaned Data'!D473</f>
        <v>Clash of Realms</v>
      </c>
      <c r="E473" s="1" t="str">
        <f aca="false">'Cleaned Data'!E473</f>
        <v>Mobile</v>
      </c>
      <c r="F473" s="1" t="str">
        <f aca="false">'Cleaned Data'!F473</f>
        <v>East</v>
      </c>
      <c r="G473" s="23" t="n">
        <f aca="false">'Cleaned Data'!G473</f>
        <v>45665</v>
      </c>
      <c r="H473" s="1" t="n">
        <f aca="false">'Cleaned Data'!H473</f>
        <v>166</v>
      </c>
      <c r="I473" s="24" t="n">
        <f aca="false">'Cleaned Data'!I473</f>
        <v>23.59</v>
      </c>
      <c r="J473" s="1" t="str">
        <f aca="false">'Cleaned Data'!J473</f>
        <v>Battle Pass</v>
      </c>
      <c r="K473" s="1" t="str">
        <f aca="false">'Cleaned Data'!K473</f>
        <v>Completed</v>
      </c>
      <c r="L473" s="1" t="str">
        <f aca="false">'Cleaned Data'!L473</f>
        <v>Paid</v>
      </c>
      <c r="M473" s="1" t="n">
        <f aca="false">'Cleaned Data'!M473</f>
        <v>19</v>
      </c>
      <c r="N473" s="1" t="str">
        <f aca="false">'Cleaned Data'!N473</f>
        <v>Yes</v>
      </c>
      <c r="O473" s="1" t="str">
        <f aca="false">TEXT(G473,"yyyy-mm")</f>
        <v>2025-01</v>
      </c>
      <c r="P473" s="1" t="str">
        <f aca="false">IF(H473&lt;20,"Low",IF(H473&lt;=60,"Medium","High"))</f>
        <v>High</v>
      </c>
      <c r="Q473" s="1" t="str">
        <f aca="false">IF(I473&gt;0,"Yes","No")</f>
        <v>Yes</v>
      </c>
      <c r="R473" s="1" t="n">
        <f aca="false">IF(N473="Yes",1,0)</f>
        <v>1</v>
      </c>
    </row>
    <row r="474" customFormat="false" ht="15" hidden="false" customHeight="true" outlineLevel="0" collapsed="false">
      <c r="A474" s="1" t="str">
        <f aca="false">'Cleaned Data'!A474</f>
        <v>S00470</v>
      </c>
      <c r="B474" s="1" t="str">
        <f aca="false">'Cleaned Data'!B474</f>
        <v>P9769</v>
      </c>
      <c r="C474" s="1" t="str">
        <f aca="false">'Cleaned Data'!C474</f>
        <v>marcus01</v>
      </c>
      <c r="D474" s="1" t="str">
        <f aca="false">'Cleaned Data'!D474</f>
        <v>Empire Wars</v>
      </c>
      <c r="E474" s="1" t="str">
        <f aca="false">'Cleaned Data'!E474</f>
        <v>Console</v>
      </c>
      <c r="F474" s="1" t="str">
        <f aca="false">'Cleaned Data'!F474</f>
        <v>East</v>
      </c>
      <c r="G474" s="23" t="n">
        <f aca="false">'Cleaned Data'!G474</f>
        <v>45788</v>
      </c>
      <c r="H474" s="1" t="n">
        <f aca="false">'Cleaned Data'!H474</f>
        <v>73</v>
      </c>
      <c r="I474" s="24" t="n">
        <f aca="false">'Cleaned Data'!I474</f>
        <v>0</v>
      </c>
      <c r="J474" s="1" t="str">
        <f aca="false">'Cleaned Data'!J474</f>
        <v>None</v>
      </c>
      <c r="K474" s="1" t="str">
        <f aca="false">'Cleaned Data'!K474</f>
        <v>Completed</v>
      </c>
      <c r="L474" s="1" t="str">
        <f aca="false">'Cleaned Data'!L474</f>
        <v>Free</v>
      </c>
      <c r="M474" s="1" t="n">
        <f aca="false">'Cleaned Data'!M474</f>
        <v>46</v>
      </c>
      <c r="N474" s="1" t="str">
        <f aca="false">'Cleaned Data'!N474</f>
        <v>No</v>
      </c>
      <c r="O474" s="1" t="str">
        <f aca="false">TEXT(G474,"yyyy-mm")</f>
        <v>2025-05</v>
      </c>
      <c r="P474" s="1" t="str">
        <f aca="false">IF(H474&lt;20,"Low",IF(H474&lt;=60,"Medium","High"))</f>
        <v>High</v>
      </c>
      <c r="Q474" s="1" t="str">
        <f aca="false">IF(I474&gt;0,"Yes","No")</f>
        <v>No</v>
      </c>
      <c r="R474" s="1" t="n">
        <f aca="false">IF(N474="Yes",1,0)</f>
        <v>0</v>
      </c>
    </row>
    <row r="475" customFormat="false" ht="15" hidden="false" customHeight="true" outlineLevel="0" collapsed="false">
      <c r="A475" s="1" t="str">
        <f aca="false">'Cleaned Data'!A475</f>
        <v>S00471</v>
      </c>
      <c r="B475" s="1" t="str">
        <f aca="false">'Cleaned Data'!B475</f>
        <v>P2833</v>
      </c>
      <c r="C475" s="1" t="str">
        <f aca="false">'Cleaned Data'!C475</f>
        <v>leonwells</v>
      </c>
      <c r="D475" s="1" t="str">
        <f aca="false">'Cleaned Data'!D475</f>
        <v>BattleZone</v>
      </c>
      <c r="E475" s="1" t="str">
        <f aca="false">'Cleaned Data'!E475</f>
        <v>PC</v>
      </c>
      <c r="F475" s="1" t="str">
        <f aca="false">'Cleaned Data'!F475</f>
        <v>Central</v>
      </c>
      <c r="G475" s="23" t="n">
        <f aca="false">'Cleaned Data'!G475</f>
        <v>45749</v>
      </c>
      <c r="H475" s="1" t="n">
        <f aca="false">'Cleaned Data'!H475</f>
        <v>55</v>
      </c>
      <c r="I475" s="24" t="n">
        <f aca="false">'Cleaned Data'!I475</f>
        <v>40.58</v>
      </c>
      <c r="J475" s="1" t="str">
        <f aca="false">'Cleaned Data'!J475</f>
        <v>Subscriptions</v>
      </c>
      <c r="K475" s="1" t="str">
        <f aca="false">'Cleaned Data'!K475</f>
        <v>Completed</v>
      </c>
      <c r="L475" s="1" t="str">
        <f aca="false">'Cleaned Data'!L475</f>
        <v>Paid</v>
      </c>
      <c r="M475" s="1" t="n">
        <f aca="false">'Cleaned Data'!M475</f>
        <v>14</v>
      </c>
      <c r="N475" s="1" t="str">
        <f aca="false">'Cleaned Data'!N475</f>
        <v>Yes</v>
      </c>
      <c r="O475" s="1" t="str">
        <f aca="false">TEXT(G475,"yyyy-mm")</f>
        <v>2025-04</v>
      </c>
      <c r="P475" s="1" t="str">
        <f aca="false">IF(H475&lt;20,"Low",IF(H475&lt;=60,"Medium","High"))</f>
        <v>Medium</v>
      </c>
      <c r="Q475" s="1" t="str">
        <f aca="false">IF(I475&gt;0,"Yes","No")</f>
        <v>Yes</v>
      </c>
      <c r="R475" s="1" t="n">
        <f aca="false">IF(N475="Yes",1,0)</f>
        <v>1</v>
      </c>
    </row>
    <row r="476" customFormat="false" ht="15" hidden="false" customHeight="true" outlineLevel="0" collapsed="false">
      <c r="A476" s="1" t="str">
        <f aca="false">'Cleaned Data'!A476</f>
        <v>S00472</v>
      </c>
      <c r="B476" s="1" t="str">
        <f aca="false">'Cleaned Data'!B476</f>
        <v>P7312</v>
      </c>
      <c r="C476" s="1" t="str">
        <f aca="false">'Cleaned Data'!C476</f>
        <v>erika85</v>
      </c>
      <c r="D476" s="1" t="str">
        <f aca="false">'Cleaned Data'!D476</f>
        <v>Empire Wars</v>
      </c>
      <c r="E476" s="1" t="str">
        <f aca="false">'Cleaned Data'!E476</f>
        <v>Console</v>
      </c>
      <c r="F476" s="1" t="str">
        <f aca="false">'Cleaned Data'!F476</f>
        <v>South</v>
      </c>
      <c r="G476" s="23" t="n">
        <f aca="false">'Cleaned Data'!G476</f>
        <v>45808</v>
      </c>
      <c r="H476" s="1" t="n">
        <f aca="false">'Cleaned Data'!H476</f>
        <v>22</v>
      </c>
      <c r="I476" s="24" t="n">
        <f aca="false">'Cleaned Data'!I476</f>
        <v>0</v>
      </c>
      <c r="J476" s="1" t="str">
        <f aca="false">'Cleaned Data'!J476</f>
        <v>None</v>
      </c>
      <c r="K476" s="1" t="str">
        <f aca="false">'Cleaned Data'!K476</f>
        <v>Completed</v>
      </c>
      <c r="L476" s="1" t="str">
        <f aca="false">'Cleaned Data'!L476</f>
        <v>Free</v>
      </c>
      <c r="M476" s="1" t="n">
        <f aca="false">'Cleaned Data'!M476</f>
        <v>36</v>
      </c>
      <c r="N476" s="1" t="str">
        <f aca="false">'Cleaned Data'!N476</f>
        <v>No</v>
      </c>
      <c r="O476" s="1" t="str">
        <f aca="false">TEXT(G476,"yyyy-mm")</f>
        <v>2025-05</v>
      </c>
      <c r="P476" s="1" t="str">
        <f aca="false">IF(H476&lt;20,"Low",IF(H476&lt;=60,"Medium","High"))</f>
        <v>Medium</v>
      </c>
      <c r="Q476" s="1" t="str">
        <f aca="false">IF(I476&gt;0,"Yes","No")</f>
        <v>No</v>
      </c>
      <c r="R476" s="1" t="n">
        <f aca="false">IF(N476="Yes",1,0)</f>
        <v>0</v>
      </c>
    </row>
    <row r="477" customFormat="false" ht="15" hidden="false" customHeight="true" outlineLevel="0" collapsed="false">
      <c r="A477" s="1" t="str">
        <f aca="false">'Cleaned Data'!A477</f>
        <v>S00473</v>
      </c>
      <c r="B477" s="1" t="str">
        <f aca="false">'Cleaned Data'!B477</f>
        <v>P3023</v>
      </c>
      <c r="C477" s="1" t="str">
        <f aca="false">'Cleaned Data'!C477</f>
        <v>jonathonmayer</v>
      </c>
      <c r="D477" s="1" t="str">
        <f aca="false">'Cleaned Data'!D477</f>
        <v>BattleZone</v>
      </c>
      <c r="E477" s="1" t="str">
        <f aca="false">'Cleaned Data'!E477</f>
        <v>Mobile</v>
      </c>
      <c r="F477" s="1" t="str">
        <f aca="false">'Cleaned Data'!F477</f>
        <v>North-East</v>
      </c>
      <c r="G477" s="23" t="n">
        <f aca="false">'Cleaned Data'!G477</f>
        <v>45811</v>
      </c>
      <c r="H477" s="1" t="n">
        <f aca="false">'Cleaned Data'!H477</f>
        <v>56</v>
      </c>
      <c r="I477" s="24" t="n">
        <f aca="false">'Cleaned Data'!I477</f>
        <v>0</v>
      </c>
      <c r="J477" s="1" t="str">
        <f aca="false">'Cleaned Data'!J477</f>
        <v>None</v>
      </c>
      <c r="K477" s="1" t="str">
        <f aca="false">'Cleaned Data'!K477</f>
        <v>Completed</v>
      </c>
      <c r="L477" s="1" t="str">
        <f aca="false">'Cleaned Data'!L477</f>
        <v>Free</v>
      </c>
      <c r="M477" s="1" t="n">
        <f aca="false">'Cleaned Data'!M477</f>
        <v>34</v>
      </c>
      <c r="N477" s="1" t="str">
        <f aca="false">'Cleaned Data'!N477</f>
        <v>No</v>
      </c>
      <c r="O477" s="1" t="str">
        <f aca="false">TEXT(G477,"yyyy-mm")</f>
        <v>2025-06</v>
      </c>
      <c r="P477" s="1" t="str">
        <f aca="false">IF(H477&lt;20,"Low",IF(H477&lt;=60,"Medium","High"))</f>
        <v>Medium</v>
      </c>
      <c r="Q477" s="1" t="str">
        <f aca="false">IF(I477&gt;0,"Yes","No")</f>
        <v>No</v>
      </c>
      <c r="R477" s="1" t="n">
        <f aca="false">IF(N477="Yes",1,0)</f>
        <v>0</v>
      </c>
    </row>
    <row r="478" customFormat="false" ht="15" hidden="false" customHeight="true" outlineLevel="0" collapsed="false">
      <c r="A478" s="1" t="str">
        <f aca="false">'Cleaned Data'!A478</f>
        <v>S00474</v>
      </c>
      <c r="B478" s="1" t="str">
        <f aca="false">'Cleaned Data'!B478</f>
        <v>P4635</v>
      </c>
      <c r="C478" s="1" t="str">
        <f aca="false">'Cleaned Data'!C478</f>
        <v>nicholas43</v>
      </c>
      <c r="D478" s="1" t="str">
        <f aca="false">'Cleaned Data'!D478</f>
        <v>SpeedX</v>
      </c>
      <c r="E478" s="1" t="str">
        <f aca="false">'Cleaned Data'!E478</f>
        <v>Mobile</v>
      </c>
      <c r="F478" s="1" t="str">
        <f aca="false">'Cleaned Data'!F478</f>
        <v>East</v>
      </c>
      <c r="G478" s="23" t="n">
        <f aca="false">'Cleaned Data'!G478</f>
        <v>45742</v>
      </c>
      <c r="H478" s="1" t="n">
        <f aca="false">'Cleaned Data'!H478</f>
        <v>9</v>
      </c>
      <c r="I478" s="24" t="n">
        <f aca="false">'Cleaned Data'!I478</f>
        <v>0</v>
      </c>
      <c r="J478" s="1" t="str">
        <f aca="false">'Cleaned Data'!J478</f>
        <v>None</v>
      </c>
      <c r="K478" s="1" t="str">
        <f aca="false">'Cleaned Data'!K478</f>
        <v>Completed</v>
      </c>
      <c r="L478" s="1" t="str">
        <f aca="false">'Cleaned Data'!L478</f>
        <v>Free</v>
      </c>
      <c r="M478" s="1" t="n">
        <f aca="false">'Cleaned Data'!M478</f>
        <v>21</v>
      </c>
      <c r="N478" s="1" t="str">
        <f aca="false">'Cleaned Data'!N478</f>
        <v>No</v>
      </c>
      <c r="O478" s="1" t="str">
        <f aca="false">TEXT(G478,"yyyy-mm")</f>
        <v>2025-03</v>
      </c>
      <c r="P478" s="1" t="str">
        <f aca="false">IF(H478&lt;20,"Low",IF(H478&lt;=60,"Medium","High"))</f>
        <v>Low</v>
      </c>
      <c r="Q478" s="1" t="str">
        <f aca="false">IF(I478&gt;0,"Yes","No")</f>
        <v>No</v>
      </c>
      <c r="R478" s="1" t="n">
        <f aca="false">IF(N478="Yes",1,0)</f>
        <v>0</v>
      </c>
    </row>
    <row r="479" customFormat="false" ht="15" hidden="false" customHeight="true" outlineLevel="0" collapsed="false">
      <c r="A479" s="1" t="str">
        <f aca="false">'Cleaned Data'!A479</f>
        <v>S00475</v>
      </c>
      <c r="B479" s="1" t="str">
        <f aca="false">'Cleaned Data'!B479</f>
        <v>P8912</v>
      </c>
      <c r="C479" s="1" t="str">
        <f aca="false">'Cleaned Data'!C479</f>
        <v>paula25</v>
      </c>
      <c r="D479" s="1" t="str">
        <f aca="false">'Cleaned Data'!D479</f>
        <v>BattleZone</v>
      </c>
      <c r="E479" s="1" t="str">
        <f aca="false">'Cleaned Data'!E479</f>
        <v>Mobile</v>
      </c>
      <c r="F479" s="1" t="str">
        <f aca="false">'Cleaned Data'!F479</f>
        <v>West</v>
      </c>
      <c r="G479" s="23" t="n">
        <f aca="false">'Cleaned Data'!G479</f>
        <v>45714</v>
      </c>
      <c r="H479" s="1" t="n">
        <f aca="false">'Cleaned Data'!H479</f>
        <v>54</v>
      </c>
      <c r="I479" s="24" t="n">
        <f aca="false">'Cleaned Data'!I479</f>
        <v>19.65</v>
      </c>
      <c r="J479" s="1" t="str">
        <f aca="false">'Cleaned Data'!J479</f>
        <v>Skins</v>
      </c>
      <c r="K479" s="1" t="str">
        <f aca="false">'Cleaned Data'!K479</f>
        <v>Completed</v>
      </c>
      <c r="L479" s="1" t="str">
        <f aca="false">'Cleaned Data'!L479</f>
        <v>Paid</v>
      </c>
      <c r="M479" s="1" t="n">
        <f aca="false">'Cleaned Data'!M479</f>
        <v>38</v>
      </c>
      <c r="N479" s="1" t="str">
        <f aca="false">'Cleaned Data'!N479</f>
        <v>No</v>
      </c>
      <c r="O479" s="1" t="str">
        <f aca="false">TEXT(G479,"yyyy-mm")</f>
        <v>2025-02</v>
      </c>
      <c r="P479" s="1" t="str">
        <f aca="false">IF(H479&lt;20,"Low",IF(H479&lt;=60,"Medium","High"))</f>
        <v>Medium</v>
      </c>
      <c r="Q479" s="1" t="str">
        <f aca="false">IF(I479&gt;0,"Yes","No")</f>
        <v>Yes</v>
      </c>
      <c r="R479" s="1" t="n">
        <f aca="false">IF(N479="Yes",1,0)</f>
        <v>0</v>
      </c>
    </row>
    <row r="480" customFormat="false" ht="15" hidden="false" customHeight="true" outlineLevel="0" collapsed="false">
      <c r="A480" s="1" t="str">
        <f aca="false">'Cleaned Data'!A480</f>
        <v>S00476</v>
      </c>
      <c r="B480" s="1" t="str">
        <f aca="false">'Cleaned Data'!B480</f>
        <v>P9766</v>
      </c>
      <c r="C480" s="1" t="str">
        <f aca="false">'Cleaned Data'!C480</f>
        <v>smithcarrie</v>
      </c>
      <c r="D480" s="1" t="str">
        <f aca="false">'Cleaned Data'!D480</f>
        <v>Zombie Rush</v>
      </c>
      <c r="E480" s="1" t="str">
        <f aca="false">'Cleaned Data'!E480</f>
        <v>Mobile</v>
      </c>
      <c r="F480" s="1" t="str">
        <f aca="false">'Cleaned Data'!F480</f>
        <v>South</v>
      </c>
      <c r="G480" s="23" t="n">
        <f aca="false">'Cleaned Data'!G480</f>
        <v>45693</v>
      </c>
      <c r="H480" s="1" t="n">
        <f aca="false">'Cleaned Data'!H480</f>
        <v>85</v>
      </c>
      <c r="I480" s="24" t="n">
        <f aca="false">'Cleaned Data'!I480</f>
        <v>0</v>
      </c>
      <c r="J480" s="1" t="str">
        <f aca="false">'Cleaned Data'!J480</f>
        <v>None</v>
      </c>
      <c r="K480" s="1" t="str">
        <f aca="false">'Cleaned Data'!K480</f>
        <v>Incomplete</v>
      </c>
      <c r="L480" s="1" t="str">
        <f aca="false">'Cleaned Data'!L480</f>
        <v>Paid</v>
      </c>
      <c r="M480" s="1" t="n">
        <f aca="false">'Cleaned Data'!M480</f>
        <v>12</v>
      </c>
      <c r="N480" s="1" t="str">
        <f aca="false">'Cleaned Data'!N480</f>
        <v>No</v>
      </c>
      <c r="O480" s="1" t="str">
        <f aca="false">TEXT(G480,"yyyy-mm")</f>
        <v>2025-02</v>
      </c>
      <c r="P480" s="1" t="str">
        <f aca="false">IF(H480&lt;20,"Low",IF(H480&lt;=60,"Medium","High"))</f>
        <v>High</v>
      </c>
      <c r="Q480" s="1" t="str">
        <f aca="false">IF(I480&gt;0,"Yes","No")</f>
        <v>No</v>
      </c>
      <c r="R480" s="1" t="n">
        <f aca="false">IF(N480="Yes",1,0)</f>
        <v>0</v>
      </c>
    </row>
    <row r="481" customFormat="false" ht="15" hidden="false" customHeight="true" outlineLevel="0" collapsed="false">
      <c r="A481" s="1" t="str">
        <f aca="false">'Cleaned Data'!A481</f>
        <v>S00477</v>
      </c>
      <c r="B481" s="1" t="str">
        <f aca="false">'Cleaned Data'!B481</f>
        <v>P2059</v>
      </c>
      <c r="C481" s="1" t="str">
        <f aca="false">'Cleaned Data'!C481</f>
        <v>valenzuelakim</v>
      </c>
      <c r="D481" s="1" t="str">
        <f aca="false">'Cleaned Data'!D481</f>
        <v>BattleZone</v>
      </c>
      <c r="E481" s="1" t="str">
        <f aca="false">'Cleaned Data'!E481</f>
        <v>PC</v>
      </c>
      <c r="F481" s="1" t="str">
        <f aca="false">'Cleaned Data'!F481</f>
        <v>North</v>
      </c>
      <c r="G481" s="23" t="n">
        <f aca="false">'Cleaned Data'!G481</f>
        <v>45673</v>
      </c>
      <c r="H481" s="1" t="n">
        <f aca="false">'Cleaned Data'!H481</f>
        <v>111</v>
      </c>
      <c r="I481" s="24" t="n">
        <f aca="false">'Cleaned Data'!I481</f>
        <v>0</v>
      </c>
      <c r="J481" s="1" t="str">
        <f aca="false">'Cleaned Data'!J481</f>
        <v>None</v>
      </c>
      <c r="K481" s="1" t="str">
        <f aca="false">'Cleaned Data'!K481</f>
        <v>Completed</v>
      </c>
      <c r="L481" s="1" t="str">
        <f aca="false">'Cleaned Data'!L481</f>
        <v>Free</v>
      </c>
      <c r="M481" s="1" t="n">
        <f aca="false">'Cleaned Data'!M481</f>
        <v>38</v>
      </c>
      <c r="N481" s="1" t="str">
        <f aca="false">'Cleaned Data'!N481</f>
        <v>No</v>
      </c>
      <c r="O481" s="1" t="str">
        <f aca="false">TEXT(G481,"yyyy-mm")</f>
        <v>2025-01</v>
      </c>
      <c r="P481" s="1" t="str">
        <f aca="false">IF(H481&lt;20,"Low",IF(H481&lt;=60,"Medium","High"))</f>
        <v>High</v>
      </c>
      <c r="Q481" s="1" t="str">
        <f aca="false">IF(I481&gt;0,"Yes","No")</f>
        <v>No</v>
      </c>
      <c r="R481" s="1" t="n">
        <f aca="false">IF(N481="Yes",1,0)</f>
        <v>0</v>
      </c>
    </row>
    <row r="482" customFormat="false" ht="15" hidden="false" customHeight="true" outlineLevel="0" collapsed="false">
      <c r="A482" s="1" t="str">
        <f aca="false">'Cleaned Data'!A482</f>
        <v>S00478</v>
      </c>
      <c r="B482" s="1" t="str">
        <f aca="false">'Cleaned Data'!B482</f>
        <v>P3378</v>
      </c>
      <c r="C482" s="1" t="str">
        <f aca="false">'Cleaned Data'!C482</f>
        <v>adamsbarbara</v>
      </c>
      <c r="D482" s="1" t="str">
        <f aca="false">'Cleaned Data'!D482</f>
        <v>SpeedX</v>
      </c>
      <c r="E482" s="1" t="str">
        <f aca="false">'Cleaned Data'!E482</f>
        <v>Console</v>
      </c>
      <c r="F482" s="1" t="str">
        <f aca="false">'Cleaned Data'!F482</f>
        <v>South</v>
      </c>
      <c r="G482" s="23" t="n">
        <f aca="false">'Cleaned Data'!G482</f>
        <v>45795</v>
      </c>
      <c r="H482" s="1" t="n">
        <f aca="false">'Cleaned Data'!H482</f>
        <v>93</v>
      </c>
      <c r="I482" s="24" t="n">
        <f aca="false">'Cleaned Data'!I482</f>
        <v>0</v>
      </c>
      <c r="J482" s="1" t="str">
        <f aca="false">'Cleaned Data'!J482</f>
        <v>None</v>
      </c>
      <c r="K482" s="1" t="str">
        <f aca="false">'Cleaned Data'!K482</f>
        <v>Completed</v>
      </c>
      <c r="L482" s="1" t="str">
        <f aca="false">'Cleaned Data'!L482</f>
        <v>Free</v>
      </c>
      <c r="M482" s="1" t="n">
        <f aca="false">'Cleaned Data'!M482</f>
        <v>26</v>
      </c>
      <c r="N482" s="1" t="str">
        <f aca="false">'Cleaned Data'!N482</f>
        <v>No</v>
      </c>
      <c r="O482" s="1" t="str">
        <f aca="false">TEXT(G482,"yyyy-mm")</f>
        <v>2025-05</v>
      </c>
      <c r="P482" s="1" t="str">
        <f aca="false">IF(H482&lt;20,"Low",IF(H482&lt;=60,"Medium","High"))</f>
        <v>High</v>
      </c>
      <c r="Q482" s="1" t="str">
        <f aca="false">IF(I482&gt;0,"Yes","No")</f>
        <v>No</v>
      </c>
      <c r="R482" s="1" t="n">
        <f aca="false">IF(N482="Yes",1,0)</f>
        <v>0</v>
      </c>
    </row>
    <row r="483" customFormat="false" ht="15" hidden="false" customHeight="true" outlineLevel="0" collapsed="false">
      <c r="A483" s="1" t="str">
        <f aca="false">'Cleaned Data'!A483</f>
        <v>S00479</v>
      </c>
      <c r="B483" s="1" t="str">
        <f aca="false">'Cleaned Data'!B483</f>
        <v>P5699</v>
      </c>
      <c r="C483" s="1" t="str">
        <f aca="false">'Cleaned Data'!C483</f>
        <v>cathy10</v>
      </c>
      <c r="D483" s="1" t="str">
        <f aca="false">'Cleaned Data'!D483</f>
        <v>SpeedX</v>
      </c>
      <c r="E483" s="1" t="str">
        <f aca="false">'Cleaned Data'!E483</f>
        <v>Console</v>
      </c>
      <c r="F483" s="1" t="str">
        <f aca="false">'Cleaned Data'!F483</f>
        <v>Central</v>
      </c>
      <c r="G483" s="23" t="n">
        <f aca="false">'Cleaned Data'!G483</f>
        <v>45800</v>
      </c>
      <c r="H483" s="1" t="n">
        <f aca="false">'Cleaned Data'!H483</f>
        <v>103</v>
      </c>
      <c r="I483" s="24" t="n">
        <f aca="false">'Cleaned Data'!I483</f>
        <v>0</v>
      </c>
      <c r="J483" s="1" t="str">
        <f aca="false">'Cleaned Data'!J483</f>
        <v>None</v>
      </c>
      <c r="K483" s="1" t="str">
        <f aca="false">'Cleaned Data'!K483</f>
        <v>Completed</v>
      </c>
      <c r="L483" s="1" t="str">
        <f aca="false">'Cleaned Data'!L483</f>
        <v>Free</v>
      </c>
      <c r="M483" s="1" t="n">
        <f aca="false">'Cleaned Data'!M483</f>
        <v>11</v>
      </c>
      <c r="N483" s="1" t="str">
        <f aca="false">'Cleaned Data'!N483</f>
        <v>No</v>
      </c>
      <c r="O483" s="1" t="str">
        <f aca="false">TEXT(G483,"yyyy-mm")</f>
        <v>2025-05</v>
      </c>
      <c r="P483" s="1" t="str">
        <f aca="false">IF(H483&lt;20,"Low",IF(H483&lt;=60,"Medium","High"))</f>
        <v>High</v>
      </c>
      <c r="Q483" s="1" t="str">
        <f aca="false">IF(I483&gt;0,"Yes","No")</f>
        <v>No</v>
      </c>
      <c r="R483" s="1" t="n">
        <f aca="false">IF(N483="Yes",1,0)</f>
        <v>0</v>
      </c>
    </row>
    <row r="484" customFormat="false" ht="15" hidden="false" customHeight="true" outlineLevel="0" collapsed="false">
      <c r="A484" s="1" t="str">
        <f aca="false">'Cleaned Data'!A484</f>
        <v>S00480</v>
      </c>
      <c r="B484" s="1" t="str">
        <f aca="false">'Cleaned Data'!B484</f>
        <v>P7340</v>
      </c>
      <c r="C484" s="1" t="str">
        <f aca="false">'Cleaned Data'!C484</f>
        <v>rogersmary</v>
      </c>
      <c r="D484" s="1" t="str">
        <f aca="false">'Cleaned Data'!D484</f>
        <v>BattleZone</v>
      </c>
      <c r="E484" s="1" t="str">
        <f aca="false">'Cleaned Data'!E484</f>
        <v>Console</v>
      </c>
      <c r="F484" s="1" t="str">
        <f aca="false">'Cleaned Data'!F484</f>
        <v>West</v>
      </c>
      <c r="G484" s="23" t="n">
        <f aca="false">'Cleaned Data'!G484</f>
        <v>45773</v>
      </c>
      <c r="H484" s="1" t="n">
        <f aca="false">'Cleaned Data'!H484</f>
        <v>44</v>
      </c>
      <c r="I484" s="24" t="n">
        <f aca="false">'Cleaned Data'!I484</f>
        <v>0</v>
      </c>
      <c r="J484" s="1" t="str">
        <f aca="false">'Cleaned Data'!J484</f>
        <v>None</v>
      </c>
      <c r="K484" s="1" t="str">
        <f aca="false">'Cleaned Data'!K484</f>
        <v>Incomplete</v>
      </c>
      <c r="L484" s="1" t="str">
        <f aca="false">'Cleaned Data'!L484</f>
        <v>Free</v>
      </c>
      <c r="M484" s="1" t="n">
        <f aca="false">'Cleaned Data'!M484</f>
        <v>29</v>
      </c>
      <c r="N484" s="1" t="str">
        <f aca="false">'Cleaned Data'!N484</f>
        <v>No</v>
      </c>
      <c r="O484" s="1" t="str">
        <f aca="false">TEXT(G484,"yyyy-mm")</f>
        <v>2025-04</v>
      </c>
      <c r="P484" s="1" t="str">
        <f aca="false">IF(H484&lt;20,"Low",IF(H484&lt;=60,"Medium","High"))</f>
        <v>Medium</v>
      </c>
      <c r="Q484" s="1" t="str">
        <f aca="false">IF(I484&gt;0,"Yes","No")</f>
        <v>No</v>
      </c>
      <c r="R484" s="1" t="n">
        <f aca="false">IF(N484="Yes",1,0)</f>
        <v>0</v>
      </c>
    </row>
    <row r="485" customFormat="false" ht="15" hidden="false" customHeight="true" outlineLevel="0" collapsed="false">
      <c r="A485" s="1" t="str">
        <f aca="false">'Cleaned Data'!A485</f>
        <v>S00481</v>
      </c>
      <c r="B485" s="1" t="str">
        <f aca="false">'Cleaned Data'!B485</f>
        <v>P5458</v>
      </c>
      <c r="C485" s="1" t="str">
        <f aca="false">'Cleaned Data'!C485</f>
        <v>georgejones</v>
      </c>
      <c r="D485" s="1" t="str">
        <f aca="false">'Cleaned Data'!D485</f>
        <v>Empire Wars</v>
      </c>
      <c r="E485" s="1" t="str">
        <f aca="false">'Cleaned Data'!E485</f>
        <v>PC</v>
      </c>
      <c r="F485" s="1" t="str">
        <f aca="false">'Cleaned Data'!F485</f>
        <v>North-East</v>
      </c>
      <c r="G485" s="23" t="n">
        <f aca="false">'Cleaned Data'!G485</f>
        <v>45689</v>
      </c>
      <c r="H485" s="1" t="n">
        <f aca="false">'Cleaned Data'!H485</f>
        <v>134</v>
      </c>
      <c r="I485" s="24" t="n">
        <f aca="false">'Cleaned Data'!I485</f>
        <v>0</v>
      </c>
      <c r="J485" s="1" t="str">
        <f aca="false">'Cleaned Data'!J485</f>
        <v>None</v>
      </c>
      <c r="K485" s="1" t="str">
        <f aca="false">'Cleaned Data'!K485</f>
        <v>Completed</v>
      </c>
      <c r="L485" s="1" t="str">
        <f aca="false">'Cleaned Data'!L485</f>
        <v>Free</v>
      </c>
      <c r="M485" s="1" t="n">
        <f aca="false">'Cleaned Data'!M485</f>
        <v>41</v>
      </c>
      <c r="N485" s="1" t="str">
        <f aca="false">'Cleaned Data'!N485</f>
        <v>No</v>
      </c>
      <c r="O485" s="1" t="str">
        <f aca="false">TEXT(G485,"yyyy-mm")</f>
        <v>2025-02</v>
      </c>
      <c r="P485" s="1" t="str">
        <f aca="false">IF(H485&lt;20,"Low",IF(H485&lt;=60,"Medium","High"))</f>
        <v>High</v>
      </c>
      <c r="Q485" s="1" t="str">
        <f aca="false">IF(I485&gt;0,"Yes","No")</f>
        <v>No</v>
      </c>
      <c r="R485" s="1" t="n">
        <f aca="false">IF(N485="Yes",1,0)</f>
        <v>0</v>
      </c>
    </row>
    <row r="486" customFormat="false" ht="15" hidden="false" customHeight="true" outlineLevel="0" collapsed="false">
      <c r="A486" s="1" t="str">
        <f aca="false">'Cleaned Data'!A486</f>
        <v>S00482</v>
      </c>
      <c r="B486" s="1" t="str">
        <f aca="false">'Cleaned Data'!B486</f>
        <v>P6129</v>
      </c>
      <c r="C486" s="1" t="str">
        <f aca="false">'Cleaned Data'!C486</f>
        <v>donna27</v>
      </c>
      <c r="D486" s="1" t="str">
        <f aca="false">'Cleaned Data'!D486</f>
        <v>Zombie Rush</v>
      </c>
      <c r="E486" s="1" t="str">
        <f aca="false">'Cleaned Data'!E486</f>
        <v>Mobile</v>
      </c>
      <c r="F486" s="1" t="str">
        <f aca="false">'Cleaned Data'!F486</f>
        <v>North-East</v>
      </c>
      <c r="G486" s="23" t="n">
        <f aca="false">'Cleaned Data'!G486</f>
        <v>45804</v>
      </c>
      <c r="H486" s="1" t="n">
        <f aca="false">'Cleaned Data'!H486</f>
        <v>167</v>
      </c>
      <c r="I486" s="24" t="n">
        <f aca="false">'Cleaned Data'!I486</f>
        <v>0</v>
      </c>
      <c r="J486" s="1" t="str">
        <f aca="false">'Cleaned Data'!J486</f>
        <v>None</v>
      </c>
      <c r="K486" s="1" t="str">
        <f aca="false">'Cleaned Data'!K486</f>
        <v>Completed</v>
      </c>
      <c r="L486" s="1" t="str">
        <f aca="false">'Cleaned Data'!L486</f>
        <v>Free</v>
      </c>
      <c r="M486" s="1" t="n">
        <f aca="false">'Cleaned Data'!M486</f>
        <v>28</v>
      </c>
      <c r="N486" s="1" t="str">
        <f aca="false">'Cleaned Data'!N486</f>
        <v>Yes</v>
      </c>
      <c r="O486" s="1" t="str">
        <f aca="false">TEXT(G486,"yyyy-mm")</f>
        <v>2025-05</v>
      </c>
      <c r="P486" s="1" t="str">
        <f aca="false">IF(H486&lt;20,"Low",IF(H486&lt;=60,"Medium","High"))</f>
        <v>High</v>
      </c>
      <c r="Q486" s="1" t="str">
        <f aca="false">IF(I486&gt;0,"Yes","No")</f>
        <v>No</v>
      </c>
      <c r="R486" s="1" t="n">
        <f aca="false">IF(N486="Yes",1,0)</f>
        <v>1</v>
      </c>
    </row>
    <row r="487" customFormat="false" ht="15" hidden="false" customHeight="true" outlineLevel="0" collapsed="false">
      <c r="A487" s="1" t="str">
        <f aca="false">'Cleaned Data'!A487</f>
        <v>S00483</v>
      </c>
      <c r="B487" s="1" t="str">
        <f aca="false">'Cleaned Data'!B487</f>
        <v>P6524</v>
      </c>
      <c r="C487" s="1" t="str">
        <f aca="false">'Cleaned Data'!C487</f>
        <v>jhayes</v>
      </c>
      <c r="D487" s="1" t="str">
        <f aca="false">'Cleaned Data'!D487</f>
        <v>Zombie Rush</v>
      </c>
      <c r="E487" s="1" t="str">
        <f aca="false">'Cleaned Data'!E487</f>
        <v>Mobile</v>
      </c>
      <c r="F487" s="1" t="str">
        <f aca="false">'Cleaned Data'!F487</f>
        <v>North-East</v>
      </c>
      <c r="G487" s="23" t="n">
        <f aca="false">'Cleaned Data'!G487</f>
        <v>45717</v>
      </c>
      <c r="H487" s="1" t="n">
        <f aca="false">'Cleaned Data'!H487</f>
        <v>149</v>
      </c>
      <c r="I487" s="24" t="n">
        <f aca="false">'Cleaned Data'!I487</f>
        <v>5.05</v>
      </c>
      <c r="J487" s="1" t="str">
        <f aca="false">'Cleaned Data'!J487</f>
        <v>Boosters</v>
      </c>
      <c r="K487" s="1" t="str">
        <f aca="false">'Cleaned Data'!K487</f>
        <v>Completed</v>
      </c>
      <c r="L487" s="1" t="str">
        <f aca="false">'Cleaned Data'!L487</f>
        <v>Paid</v>
      </c>
      <c r="M487" s="1" t="n">
        <f aca="false">'Cleaned Data'!M487</f>
        <v>44</v>
      </c>
      <c r="N487" s="1" t="str">
        <f aca="false">'Cleaned Data'!N487</f>
        <v>No</v>
      </c>
      <c r="O487" s="1" t="str">
        <f aca="false">TEXT(G487,"yyyy-mm")</f>
        <v>2025-03</v>
      </c>
      <c r="P487" s="1" t="str">
        <f aca="false">IF(H487&lt;20,"Low",IF(H487&lt;=60,"Medium","High"))</f>
        <v>High</v>
      </c>
      <c r="Q487" s="1" t="str">
        <f aca="false">IF(I487&gt;0,"Yes","No")</f>
        <v>Yes</v>
      </c>
      <c r="R487" s="1" t="n">
        <f aca="false">IF(N487="Yes",1,0)</f>
        <v>0</v>
      </c>
    </row>
    <row r="488" customFormat="false" ht="15" hidden="false" customHeight="true" outlineLevel="0" collapsed="false">
      <c r="A488" s="1" t="str">
        <f aca="false">'Cleaned Data'!A488</f>
        <v>S00484</v>
      </c>
      <c r="B488" s="1" t="str">
        <f aca="false">'Cleaned Data'!B488</f>
        <v>P3747</v>
      </c>
      <c r="C488" s="1" t="str">
        <f aca="false">'Cleaned Data'!C488</f>
        <v>neallisa</v>
      </c>
      <c r="D488" s="1" t="str">
        <f aca="false">'Cleaned Data'!D488</f>
        <v>BattleZone</v>
      </c>
      <c r="E488" s="1" t="str">
        <f aca="false">'Cleaned Data'!E488</f>
        <v>PC</v>
      </c>
      <c r="F488" s="1" t="str">
        <f aca="false">'Cleaned Data'!F488</f>
        <v>West</v>
      </c>
      <c r="G488" s="23" t="n">
        <f aca="false">'Cleaned Data'!G488</f>
        <v>45763</v>
      </c>
      <c r="H488" s="1" t="n">
        <f aca="false">'Cleaned Data'!H488</f>
        <v>139</v>
      </c>
      <c r="I488" s="24" t="n">
        <f aca="false">'Cleaned Data'!I488</f>
        <v>0</v>
      </c>
      <c r="J488" s="1" t="str">
        <f aca="false">'Cleaned Data'!J488</f>
        <v>None</v>
      </c>
      <c r="K488" s="1" t="str">
        <f aca="false">'Cleaned Data'!K488</f>
        <v>Completed</v>
      </c>
      <c r="L488" s="1" t="str">
        <f aca="false">'Cleaned Data'!L488</f>
        <v>Free</v>
      </c>
      <c r="M488" s="1" t="n">
        <f aca="false">'Cleaned Data'!M488</f>
        <v>19</v>
      </c>
      <c r="N488" s="1" t="str">
        <f aca="false">'Cleaned Data'!N488</f>
        <v>No</v>
      </c>
      <c r="O488" s="1" t="str">
        <f aca="false">TEXT(G488,"yyyy-mm")</f>
        <v>2025-04</v>
      </c>
      <c r="P488" s="1" t="str">
        <f aca="false">IF(H488&lt;20,"Low",IF(H488&lt;=60,"Medium","High"))</f>
        <v>High</v>
      </c>
      <c r="Q488" s="1" t="str">
        <f aca="false">IF(I488&gt;0,"Yes","No")</f>
        <v>No</v>
      </c>
      <c r="R488" s="1" t="n">
        <f aca="false">IF(N488="Yes",1,0)</f>
        <v>0</v>
      </c>
    </row>
    <row r="489" customFormat="false" ht="15" hidden="false" customHeight="true" outlineLevel="0" collapsed="false">
      <c r="A489" s="1" t="str">
        <f aca="false">'Cleaned Data'!A489</f>
        <v>S00485</v>
      </c>
      <c r="B489" s="1" t="str">
        <f aca="false">'Cleaned Data'!B489</f>
        <v>P3923</v>
      </c>
      <c r="C489" s="1" t="str">
        <f aca="false">'Cleaned Data'!C489</f>
        <v>evanskristen</v>
      </c>
      <c r="D489" s="1" t="str">
        <f aca="false">'Cleaned Data'!D489</f>
        <v>Clash of Realms</v>
      </c>
      <c r="E489" s="1" t="str">
        <f aca="false">'Cleaned Data'!E489</f>
        <v>Mobile</v>
      </c>
      <c r="F489" s="1" t="str">
        <f aca="false">'Cleaned Data'!F489</f>
        <v>East</v>
      </c>
      <c r="G489" s="23" t="n">
        <f aca="false">'Cleaned Data'!G489</f>
        <v>45725</v>
      </c>
      <c r="H489" s="1" t="n">
        <f aca="false">'Cleaned Data'!H489</f>
        <v>64</v>
      </c>
      <c r="I489" s="24" t="n">
        <f aca="false">'Cleaned Data'!I489</f>
        <v>0</v>
      </c>
      <c r="J489" s="1" t="str">
        <f aca="false">'Cleaned Data'!J489</f>
        <v>None</v>
      </c>
      <c r="K489" s="1" t="str">
        <f aca="false">'Cleaned Data'!K489</f>
        <v>Crashed</v>
      </c>
      <c r="L489" s="1" t="str">
        <f aca="false">'Cleaned Data'!L489</f>
        <v>Free</v>
      </c>
      <c r="M489" s="1" t="n">
        <f aca="false">'Cleaned Data'!M489</f>
        <v>33</v>
      </c>
      <c r="N489" s="1" t="str">
        <f aca="false">'Cleaned Data'!N489</f>
        <v>No</v>
      </c>
      <c r="O489" s="1" t="str">
        <f aca="false">TEXT(G489,"yyyy-mm")</f>
        <v>2025-03</v>
      </c>
      <c r="P489" s="1" t="str">
        <f aca="false">IF(H489&lt;20,"Low",IF(H489&lt;=60,"Medium","High"))</f>
        <v>High</v>
      </c>
      <c r="Q489" s="1" t="str">
        <f aca="false">IF(I489&gt;0,"Yes","No")</f>
        <v>No</v>
      </c>
      <c r="R489" s="1" t="n">
        <f aca="false">IF(N489="Yes",1,0)</f>
        <v>0</v>
      </c>
    </row>
    <row r="490" customFormat="false" ht="15" hidden="false" customHeight="true" outlineLevel="0" collapsed="false">
      <c r="A490" s="1" t="str">
        <f aca="false">'Cleaned Data'!A490</f>
        <v>S00486</v>
      </c>
      <c r="B490" s="1" t="str">
        <f aca="false">'Cleaned Data'!B490</f>
        <v>P1788</v>
      </c>
      <c r="C490" s="1" t="str">
        <f aca="false">'Cleaned Data'!C490</f>
        <v>bhenson</v>
      </c>
      <c r="D490" s="1" t="str">
        <f aca="false">'Cleaned Data'!D490</f>
        <v>SpeedX</v>
      </c>
      <c r="E490" s="1" t="str">
        <f aca="false">'Cleaned Data'!E490</f>
        <v>PC</v>
      </c>
      <c r="F490" s="1" t="str">
        <f aca="false">'Cleaned Data'!F490</f>
        <v>East</v>
      </c>
      <c r="G490" s="23" t="n">
        <f aca="false">'Cleaned Data'!G490</f>
        <v>45748</v>
      </c>
      <c r="H490" s="1" t="n">
        <f aca="false">'Cleaned Data'!H490</f>
        <v>86</v>
      </c>
      <c r="I490" s="24" t="n">
        <f aca="false">'Cleaned Data'!I490</f>
        <v>0</v>
      </c>
      <c r="J490" s="1" t="str">
        <f aca="false">'Cleaned Data'!J490</f>
        <v>None</v>
      </c>
      <c r="K490" s="1" t="str">
        <f aca="false">'Cleaned Data'!K490</f>
        <v>Completed</v>
      </c>
      <c r="L490" s="1" t="str">
        <f aca="false">'Cleaned Data'!L490</f>
        <v>Free</v>
      </c>
      <c r="M490" s="1" t="n">
        <f aca="false">'Cleaned Data'!M490</f>
        <v>17</v>
      </c>
      <c r="N490" s="1" t="str">
        <f aca="false">'Cleaned Data'!N490</f>
        <v>No</v>
      </c>
      <c r="O490" s="1" t="str">
        <f aca="false">TEXT(G490,"yyyy-mm")</f>
        <v>2025-04</v>
      </c>
      <c r="P490" s="1" t="str">
        <f aca="false">IF(H490&lt;20,"Low",IF(H490&lt;=60,"Medium","High"))</f>
        <v>High</v>
      </c>
      <c r="Q490" s="1" t="str">
        <f aca="false">IF(I490&gt;0,"Yes","No")</f>
        <v>No</v>
      </c>
      <c r="R490" s="1" t="n">
        <f aca="false">IF(N490="Yes",1,0)</f>
        <v>0</v>
      </c>
    </row>
    <row r="491" customFormat="false" ht="15" hidden="false" customHeight="true" outlineLevel="0" collapsed="false">
      <c r="A491" s="1" t="str">
        <f aca="false">'Cleaned Data'!A491</f>
        <v>S00487</v>
      </c>
      <c r="B491" s="1" t="str">
        <f aca="false">'Cleaned Data'!B491</f>
        <v>P2044</v>
      </c>
      <c r="C491" s="1" t="str">
        <f aca="false">'Cleaned Data'!C491</f>
        <v>hgardner</v>
      </c>
      <c r="D491" s="1" t="str">
        <f aca="false">'Cleaned Data'!D491</f>
        <v>SpeedX</v>
      </c>
      <c r="E491" s="1" t="str">
        <f aca="false">'Cleaned Data'!E491</f>
        <v>Mobile</v>
      </c>
      <c r="F491" s="1" t="str">
        <f aca="false">'Cleaned Data'!F491</f>
        <v>East</v>
      </c>
      <c r="G491" s="23" t="n">
        <f aca="false">'Cleaned Data'!G491</f>
        <v>45764</v>
      </c>
      <c r="H491" s="1" t="n">
        <f aca="false">'Cleaned Data'!H491</f>
        <v>13</v>
      </c>
      <c r="I491" s="24" t="n">
        <f aca="false">'Cleaned Data'!I491</f>
        <v>0</v>
      </c>
      <c r="J491" s="1" t="str">
        <f aca="false">'Cleaned Data'!J491</f>
        <v>None</v>
      </c>
      <c r="K491" s="1" t="str">
        <f aca="false">'Cleaned Data'!K491</f>
        <v>Completed</v>
      </c>
      <c r="L491" s="1" t="str">
        <f aca="false">'Cleaned Data'!L491</f>
        <v>Free</v>
      </c>
      <c r="M491" s="1" t="n">
        <f aca="false">'Cleaned Data'!M491</f>
        <v>47</v>
      </c>
      <c r="N491" s="1" t="str">
        <f aca="false">'Cleaned Data'!N491</f>
        <v>No</v>
      </c>
      <c r="O491" s="1" t="str">
        <f aca="false">TEXT(G491,"yyyy-mm")</f>
        <v>2025-04</v>
      </c>
      <c r="P491" s="1" t="str">
        <f aca="false">IF(H491&lt;20,"Low",IF(H491&lt;=60,"Medium","High"))</f>
        <v>Low</v>
      </c>
      <c r="Q491" s="1" t="str">
        <f aca="false">IF(I491&gt;0,"Yes","No")</f>
        <v>No</v>
      </c>
      <c r="R491" s="1" t="n">
        <f aca="false">IF(N491="Yes",1,0)</f>
        <v>0</v>
      </c>
    </row>
    <row r="492" customFormat="false" ht="15" hidden="false" customHeight="true" outlineLevel="0" collapsed="false">
      <c r="A492" s="1" t="str">
        <f aca="false">'Cleaned Data'!A492</f>
        <v>S00488</v>
      </c>
      <c r="B492" s="1" t="str">
        <f aca="false">'Cleaned Data'!B492</f>
        <v>P1977</v>
      </c>
      <c r="C492" s="1" t="str">
        <f aca="false">'Cleaned Data'!C492</f>
        <v>mckinneychristopher</v>
      </c>
      <c r="D492" s="1" t="str">
        <f aca="false">'Cleaned Data'!D492</f>
        <v>SpeedX</v>
      </c>
      <c r="E492" s="1" t="str">
        <f aca="false">'Cleaned Data'!E492</f>
        <v>Mobile</v>
      </c>
      <c r="F492" s="1" t="str">
        <f aca="false">'Cleaned Data'!F492</f>
        <v>East</v>
      </c>
      <c r="G492" s="23" t="n">
        <f aca="false">'Cleaned Data'!G492</f>
        <v>45821</v>
      </c>
      <c r="H492" s="1" t="n">
        <f aca="false">'Cleaned Data'!H492</f>
        <v>11</v>
      </c>
      <c r="I492" s="24" t="n">
        <f aca="false">'Cleaned Data'!I492</f>
        <v>20.66</v>
      </c>
      <c r="J492" s="1" t="str">
        <f aca="false">'Cleaned Data'!J492</f>
        <v>Battle Pass</v>
      </c>
      <c r="K492" s="1" t="str">
        <f aca="false">'Cleaned Data'!K492</f>
        <v>Completed</v>
      </c>
      <c r="L492" s="1" t="str">
        <f aca="false">'Cleaned Data'!L492</f>
        <v>Paid</v>
      </c>
      <c r="M492" s="1" t="n">
        <f aca="false">'Cleaned Data'!M492</f>
        <v>40</v>
      </c>
      <c r="N492" s="1" t="str">
        <f aca="false">'Cleaned Data'!N492</f>
        <v>No</v>
      </c>
      <c r="O492" s="1" t="str">
        <f aca="false">TEXT(G492,"yyyy-mm")</f>
        <v>2025-06</v>
      </c>
      <c r="P492" s="1" t="str">
        <f aca="false">IF(H492&lt;20,"Low",IF(H492&lt;=60,"Medium","High"))</f>
        <v>Low</v>
      </c>
      <c r="Q492" s="1" t="str">
        <f aca="false">IF(I492&gt;0,"Yes","No")</f>
        <v>Yes</v>
      </c>
      <c r="R492" s="1" t="n">
        <f aca="false">IF(N492="Yes",1,0)</f>
        <v>0</v>
      </c>
    </row>
    <row r="493" customFormat="false" ht="15" hidden="false" customHeight="true" outlineLevel="0" collapsed="false">
      <c r="A493" s="1" t="str">
        <f aca="false">'Cleaned Data'!A493</f>
        <v>S00489</v>
      </c>
      <c r="B493" s="1" t="str">
        <f aca="false">'Cleaned Data'!B493</f>
        <v>P1280</v>
      </c>
      <c r="C493" s="1" t="str">
        <f aca="false">'Cleaned Data'!C493</f>
        <v>elizabeth71</v>
      </c>
      <c r="D493" s="1" t="str">
        <f aca="false">'Cleaned Data'!D493</f>
        <v>BattleZone</v>
      </c>
      <c r="E493" s="1" t="str">
        <f aca="false">'Cleaned Data'!E493</f>
        <v>Mobile</v>
      </c>
      <c r="F493" s="1" t="str">
        <f aca="false">'Cleaned Data'!F493</f>
        <v>South</v>
      </c>
      <c r="G493" s="23" t="n">
        <f aca="false">'Cleaned Data'!G493</f>
        <v>45662</v>
      </c>
      <c r="H493" s="1" t="n">
        <f aca="false">'Cleaned Data'!H493</f>
        <v>55</v>
      </c>
      <c r="I493" s="24" t="n">
        <f aca="false">'Cleaned Data'!I493</f>
        <v>0</v>
      </c>
      <c r="J493" s="1" t="str">
        <f aca="false">'Cleaned Data'!J493</f>
        <v>None</v>
      </c>
      <c r="K493" s="1" t="str">
        <f aca="false">'Cleaned Data'!K493</f>
        <v>Exited Early</v>
      </c>
      <c r="L493" s="1" t="str">
        <f aca="false">'Cleaned Data'!L493</f>
        <v>Free</v>
      </c>
      <c r="M493" s="1" t="n">
        <f aca="false">'Cleaned Data'!M493</f>
        <v>26</v>
      </c>
      <c r="N493" s="1" t="str">
        <f aca="false">'Cleaned Data'!N493</f>
        <v>No</v>
      </c>
      <c r="O493" s="1" t="str">
        <f aca="false">TEXT(G493,"yyyy-mm")</f>
        <v>2025-01</v>
      </c>
      <c r="P493" s="1" t="str">
        <f aca="false">IF(H493&lt;20,"Low",IF(H493&lt;=60,"Medium","High"))</f>
        <v>Medium</v>
      </c>
      <c r="Q493" s="1" t="str">
        <f aca="false">IF(I493&gt;0,"Yes","No")</f>
        <v>No</v>
      </c>
      <c r="R493" s="1" t="n">
        <f aca="false">IF(N493="Yes",1,0)</f>
        <v>0</v>
      </c>
    </row>
    <row r="494" customFormat="false" ht="15" hidden="false" customHeight="true" outlineLevel="0" collapsed="false">
      <c r="A494" s="1" t="str">
        <f aca="false">'Cleaned Data'!A494</f>
        <v>S00490</v>
      </c>
      <c r="B494" s="1" t="str">
        <f aca="false">'Cleaned Data'!B494</f>
        <v>P9973</v>
      </c>
      <c r="C494" s="1" t="str">
        <f aca="false">'Cleaned Data'!C494</f>
        <v>ilambert</v>
      </c>
      <c r="D494" s="1" t="str">
        <f aca="false">'Cleaned Data'!D494</f>
        <v>Clash of Realms</v>
      </c>
      <c r="E494" s="1" t="str">
        <f aca="false">'Cleaned Data'!E494</f>
        <v>Console</v>
      </c>
      <c r="F494" s="1" t="str">
        <f aca="false">'Cleaned Data'!F494</f>
        <v>West</v>
      </c>
      <c r="G494" s="23" t="n">
        <f aca="false">'Cleaned Data'!G494</f>
        <v>45793</v>
      </c>
      <c r="H494" s="1" t="n">
        <f aca="false">'Cleaned Data'!H494</f>
        <v>146</v>
      </c>
      <c r="I494" s="24" t="n">
        <f aca="false">'Cleaned Data'!I494</f>
        <v>0</v>
      </c>
      <c r="J494" s="1" t="str">
        <f aca="false">'Cleaned Data'!J494</f>
        <v>None</v>
      </c>
      <c r="K494" s="1" t="str">
        <f aca="false">'Cleaned Data'!K494</f>
        <v>Crashed</v>
      </c>
      <c r="L494" s="1" t="str">
        <f aca="false">'Cleaned Data'!L494</f>
        <v>Free</v>
      </c>
      <c r="M494" s="1" t="n">
        <f aca="false">'Cleaned Data'!M494</f>
        <v>2</v>
      </c>
      <c r="N494" s="1" t="str">
        <f aca="false">'Cleaned Data'!N494</f>
        <v>No</v>
      </c>
      <c r="O494" s="1" t="str">
        <f aca="false">TEXT(G494,"yyyy-mm")</f>
        <v>2025-05</v>
      </c>
      <c r="P494" s="1" t="str">
        <f aca="false">IF(H494&lt;20,"Low",IF(H494&lt;=60,"Medium","High"))</f>
        <v>High</v>
      </c>
      <c r="Q494" s="1" t="str">
        <f aca="false">IF(I494&gt;0,"Yes","No")</f>
        <v>No</v>
      </c>
      <c r="R494" s="1" t="n">
        <f aca="false">IF(N494="Yes",1,0)</f>
        <v>0</v>
      </c>
    </row>
    <row r="495" customFormat="false" ht="15" hidden="false" customHeight="true" outlineLevel="0" collapsed="false">
      <c r="A495" s="1" t="str">
        <f aca="false">'Cleaned Data'!A495</f>
        <v>S00491</v>
      </c>
      <c r="B495" s="1" t="str">
        <f aca="false">'Cleaned Data'!B495</f>
        <v>P8692</v>
      </c>
      <c r="C495" s="1" t="str">
        <f aca="false">'Cleaned Data'!C495</f>
        <v>millerdonald</v>
      </c>
      <c r="D495" s="1" t="str">
        <f aca="false">'Cleaned Data'!D495</f>
        <v>Clash of Realms</v>
      </c>
      <c r="E495" s="1" t="str">
        <f aca="false">'Cleaned Data'!E495</f>
        <v>PC</v>
      </c>
      <c r="F495" s="1" t="str">
        <f aca="false">'Cleaned Data'!F495</f>
        <v>South</v>
      </c>
      <c r="G495" s="23" t="n">
        <f aca="false">'Cleaned Data'!G495</f>
        <v>45797</v>
      </c>
      <c r="H495" s="1" t="n">
        <f aca="false">'Cleaned Data'!H495</f>
        <v>179</v>
      </c>
      <c r="I495" s="24" t="n">
        <f aca="false">'Cleaned Data'!I495</f>
        <v>0</v>
      </c>
      <c r="J495" s="1" t="str">
        <f aca="false">'Cleaned Data'!J495</f>
        <v>None</v>
      </c>
      <c r="K495" s="1" t="str">
        <f aca="false">'Cleaned Data'!K495</f>
        <v>Completed</v>
      </c>
      <c r="L495" s="1" t="str">
        <f aca="false">'Cleaned Data'!L495</f>
        <v>Free</v>
      </c>
      <c r="M495" s="1" t="n">
        <f aca="false">'Cleaned Data'!M495</f>
        <v>10</v>
      </c>
      <c r="N495" s="1" t="str">
        <f aca="false">'Cleaned Data'!N495</f>
        <v>Yes</v>
      </c>
      <c r="O495" s="1" t="str">
        <f aca="false">TEXT(G495,"yyyy-mm")</f>
        <v>2025-05</v>
      </c>
      <c r="P495" s="1" t="str">
        <f aca="false">IF(H495&lt;20,"Low",IF(H495&lt;=60,"Medium","High"))</f>
        <v>High</v>
      </c>
      <c r="Q495" s="1" t="str">
        <f aca="false">IF(I495&gt;0,"Yes","No")</f>
        <v>No</v>
      </c>
      <c r="R495" s="1" t="n">
        <f aca="false">IF(N495="Yes",1,0)</f>
        <v>1</v>
      </c>
    </row>
    <row r="496" customFormat="false" ht="15" hidden="false" customHeight="true" outlineLevel="0" collapsed="false">
      <c r="A496" s="1" t="str">
        <f aca="false">'Cleaned Data'!A496</f>
        <v>S00492</v>
      </c>
      <c r="B496" s="1" t="str">
        <f aca="false">'Cleaned Data'!B496</f>
        <v>P6606</v>
      </c>
      <c r="C496" s="1" t="str">
        <f aca="false">'Cleaned Data'!C496</f>
        <v>krogers</v>
      </c>
      <c r="D496" s="1" t="str">
        <f aca="false">'Cleaned Data'!D496</f>
        <v>SpeedX</v>
      </c>
      <c r="E496" s="1" t="str">
        <f aca="false">'Cleaned Data'!E496</f>
        <v>PC</v>
      </c>
      <c r="F496" s="1" t="str">
        <f aca="false">'Cleaned Data'!F496</f>
        <v>North</v>
      </c>
      <c r="G496" s="23" t="n">
        <f aca="false">'Cleaned Data'!G496</f>
        <v>45738</v>
      </c>
      <c r="H496" s="1" t="n">
        <f aca="false">'Cleaned Data'!H496</f>
        <v>63</v>
      </c>
      <c r="I496" s="24" t="n">
        <f aca="false">'Cleaned Data'!I496</f>
        <v>0</v>
      </c>
      <c r="J496" s="1" t="str">
        <f aca="false">'Cleaned Data'!J496</f>
        <v>None</v>
      </c>
      <c r="K496" s="1" t="str">
        <f aca="false">'Cleaned Data'!K496</f>
        <v>Completed</v>
      </c>
      <c r="L496" s="1" t="str">
        <f aca="false">'Cleaned Data'!L496</f>
        <v>Free</v>
      </c>
      <c r="M496" s="1" t="n">
        <f aca="false">'Cleaned Data'!M496</f>
        <v>4</v>
      </c>
      <c r="N496" s="1" t="str">
        <f aca="false">'Cleaned Data'!N496</f>
        <v>No</v>
      </c>
      <c r="O496" s="1" t="str">
        <f aca="false">TEXT(G496,"yyyy-mm")</f>
        <v>2025-03</v>
      </c>
      <c r="P496" s="1" t="str">
        <f aca="false">IF(H496&lt;20,"Low",IF(H496&lt;=60,"Medium","High"))</f>
        <v>High</v>
      </c>
      <c r="Q496" s="1" t="str">
        <f aca="false">IF(I496&gt;0,"Yes","No")</f>
        <v>No</v>
      </c>
      <c r="R496" s="1" t="n">
        <f aca="false">IF(N496="Yes",1,0)</f>
        <v>0</v>
      </c>
    </row>
    <row r="497" customFormat="false" ht="15" hidden="false" customHeight="true" outlineLevel="0" collapsed="false">
      <c r="A497" s="1" t="str">
        <f aca="false">'Cleaned Data'!A497</f>
        <v>S00493</v>
      </c>
      <c r="B497" s="1" t="str">
        <f aca="false">'Cleaned Data'!B497</f>
        <v>P2133</v>
      </c>
      <c r="C497" s="1" t="str">
        <f aca="false">'Cleaned Data'!C497</f>
        <v>scott72</v>
      </c>
      <c r="D497" s="1" t="str">
        <f aca="false">'Cleaned Data'!D497</f>
        <v>Zombie Rush</v>
      </c>
      <c r="E497" s="1" t="str">
        <f aca="false">'Cleaned Data'!E497</f>
        <v>PC</v>
      </c>
      <c r="F497" s="1" t="str">
        <f aca="false">'Cleaned Data'!F497</f>
        <v>East</v>
      </c>
      <c r="G497" s="23" t="n">
        <f aca="false">'Cleaned Data'!G497</f>
        <v>45777</v>
      </c>
      <c r="H497" s="1" t="n">
        <f aca="false">'Cleaned Data'!H497</f>
        <v>21</v>
      </c>
      <c r="I497" s="24" t="n">
        <f aca="false">'Cleaned Data'!I497</f>
        <v>0</v>
      </c>
      <c r="J497" s="1" t="str">
        <f aca="false">'Cleaned Data'!J497</f>
        <v>None</v>
      </c>
      <c r="K497" s="1" t="str">
        <f aca="false">'Cleaned Data'!K497</f>
        <v>Completed</v>
      </c>
      <c r="L497" s="1" t="str">
        <f aca="false">'Cleaned Data'!L497</f>
        <v>Free</v>
      </c>
      <c r="M497" s="1" t="n">
        <f aca="false">'Cleaned Data'!M497</f>
        <v>22</v>
      </c>
      <c r="N497" s="1" t="str">
        <f aca="false">'Cleaned Data'!N497</f>
        <v>No</v>
      </c>
      <c r="O497" s="1" t="str">
        <f aca="false">TEXT(G497,"yyyy-mm")</f>
        <v>2025-04</v>
      </c>
      <c r="P497" s="1" t="str">
        <f aca="false">IF(H497&lt;20,"Low",IF(H497&lt;=60,"Medium","High"))</f>
        <v>Medium</v>
      </c>
      <c r="Q497" s="1" t="str">
        <f aca="false">IF(I497&gt;0,"Yes","No")</f>
        <v>No</v>
      </c>
      <c r="R497" s="1" t="n">
        <f aca="false">IF(N497="Yes",1,0)</f>
        <v>0</v>
      </c>
    </row>
    <row r="498" customFormat="false" ht="15" hidden="false" customHeight="true" outlineLevel="0" collapsed="false">
      <c r="A498" s="1" t="str">
        <f aca="false">'Cleaned Data'!A498</f>
        <v>S00494</v>
      </c>
      <c r="B498" s="1" t="str">
        <f aca="false">'Cleaned Data'!B498</f>
        <v>P3534</v>
      </c>
      <c r="C498" s="1" t="str">
        <f aca="false">'Cleaned Data'!C498</f>
        <v>simsalexis</v>
      </c>
      <c r="D498" s="1" t="str">
        <f aca="false">'Cleaned Data'!D498</f>
        <v>Clash of Realms</v>
      </c>
      <c r="E498" s="1" t="str">
        <f aca="false">'Cleaned Data'!E498</f>
        <v>PC</v>
      </c>
      <c r="F498" s="1" t="str">
        <f aca="false">'Cleaned Data'!F498</f>
        <v>East</v>
      </c>
      <c r="G498" s="23" t="n">
        <f aca="false">'Cleaned Data'!G498</f>
        <v>45763</v>
      </c>
      <c r="H498" s="1" t="n">
        <f aca="false">'Cleaned Data'!H498</f>
        <v>56</v>
      </c>
      <c r="I498" s="24" t="n">
        <f aca="false">'Cleaned Data'!I498</f>
        <v>46.31</v>
      </c>
      <c r="J498" s="1" t="str">
        <f aca="false">'Cleaned Data'!J498</f>
        <v>Skins</v>
      </c>
      <c r="K498" s="1" t="str">
        <f aca="false">'Cleaned Data'!K498</f>
        <v>Completed</v>
      </c>
      <c r="L498" s="1" t="str">
        <f aca="false">'Cleaned Data'!L498</f>
        <v>Paid</v>
      </c>
      <c r="M498" s="1" t="n">
        <f aca="false">'Cleaned Data'!M498</f>
        <v>11</v>
      </c>
      <c r="N498" s="1" t="str">
        <f aca="false">'Cleaned Data'!N498</f>
        <v>Yes</v>
      </c>
      <c r="O498" s="1" t="str">
        <f aca="false">TEXT(G498,"yyyy-mm")</f>
        <v>2025-04</v>
      </c>
      <c r="P498" s="1" t="str">
        <f aca="false">IF(H498&lt;20,"Low",IF(H498&lt;=60,"Medium","High"))</f>
        <v>Medium</v>
      </c>
      <c r="Q498" s="1" t="str">
        <f aca="false">IF(I498&gt;0,"Yes","No")</f>
        <v>Yes</v>
      </c>
      <c r="R498" s="1" t="n">
        <f aca="false">IF(N498="Yes",1,0)</f>
        <v>1</v>
      </c>
    </row>
    <row r="499" customFormat="false" ht="15" hidden="false" customHeight="true" outlineLevel="0" collapsed="false">
      <c r="A499" s="1" t="str">
        <f aca="false">'Cleaned Data'!A499</f>
        <v>S00495</v>
      </c>
      <c r="B499" s="1" t="str">
        <f aca="false">'Cleaned Data'!B499</f>
        <v>P7831</v>
      </c>
      <c r="C499" s="1" t="str">
        <f aca="false">'Cleaned Data'!C499</f>
        <v>kingsandra</v>
      </c>
      <c r="D499" s="1" t="str">
        <f aca="false">'Cleaned Data'!D499</f>
        <v>Empire Wars</v>
      </c>
      <c r="E499" s="1" t="str">
        <f aca="false">'Cleaned Data'!E499</f>
        <v>Console</v>
      </c>
      <c r="F499" s="1" t="str">
        <f aca="false">'Cleaned Data'!F499</f>
        <v>West</v>
      </c>
      <c r="G499" s="23" t="n">
        <f aca="false">'Cleaned Data'!G499</f>
        <v>45672</v>
      </c>
      <c r="H499" s="1" t="n">
        <f aca="false">'Cleaned Data'!H499</f>
        <v>171</v>
      </c>
      <c r="I499" s="24" t="n">
        <f aca="false">'Cleaned Data'!I499</f>
        <v>0</v>
      </c>
      <c r="J499" s="1" t="str">
        <f aca="false">'Cleaned Data'!J499</f>
        <v>None</v>
      </c>
      <c r="K499" s="1" t="str">
        <f aca="false">'Cleaned Data'!K499</f>
        <v>Completed</v>
      </c>
      <c r="L499" s="1" t="str">
        <f aca="false">'Cleaned Data'!L499</f>
        <v>Free</v>
      </c>
      <c r="M499" s="1" t="n">
        <f aca="false">'Cleaned Data'!M499</f>
        <v>35</v>
      </c>
      <c r="N499" s="1" t="str">
        <f aca="false">'Cleaned Data'!N499</f>
        <v>Yes</v>
      </c>
      <c r="O499" s="1" t="str">
        <f aca="false">TEXT(G499,"yyyy-mm")</f>
        <v>2025-01</v>
      </c>
      <c r="P499" s="1" t="str">
        <f aca="false">IF(H499&lt;20,"Low",IF(H499&lt;=60,"Medium","High"))</f>
        <v>High</v>
      </c>
      <c r="Q499" s="1" t="str">
        <f aca="false">IF(I499&gt;0,"Yes","No")</f>
        <v>No</v>
      </c>
      <c r="R499" s="1" t="n">
        <f aca="false">IF(N499="Yes",1,0)</f>
        <v>1</v>
      </c>
    </row>
    <row r="500" customFormat="false" ht="15" hidden="false" customHeight="true" outlineLevel="0" collapsed="false">
      <c r="A500" s="1" t="str">
        <f aca="false">'Cleaned Data'!A500</f>
        <v>S00496</v>
      </c>
      <c r="B500" s="1" t="str">
        <f aca="false">'Cleaned Data'!B500</f>
        <v>P2872</v>
      </c>
      <c r="C500" s="1" t="str">
        <f aca="false">'Cleaned Data'!C500</f>
        <v>april12</v>
      </c>
      <c r="D500" s="1" t="str">
        <f aca="false">'Cleaned Data'!D500</f>
        <v>BattleZone</v>
      </c>
      <c r="E500" s="1" t="str">
        <f aca="false">'Cleaned Data'!E500</f>
        <v>Mobile</v>
      </c>
      <c r="F500" s="1" t="str">
        <f aca="false">'Cleaned Data'!F500</f>
        <v>North</v>
      </c>
      <c r="G500" s="23" t="n">
        <f aca="false">'Cleaned Data'!G500</f>
        <v>45743</v>
      </c>
      <c r="H500" s="1" t="n">
        <f aca="false">'Cleaned Data'!H500</f>
        <v>24</v>
      </c>
      <c r="I500" s="24" t="n">
        <f aca="false">'Cleaned Data'!I500</f>
        <v>0</v>
      </c>
      <c r="J500" s="1" t="str">
        <f aca="false">'Cleaned Data'!J500</f>
        <v>None</v>
      </c>
      <c r="K500" s="1" t="str">
        <f aca="false">'Cleaned Data'!K500</f>
        <v>Completed</v>
      </c>
      <c r="L500" s="1" t="str">
        <f aca="false">'Cleaned Data'!L500</f>
        <v>Paid</v>
      </c>
      <c r="M500" s="1" t="n">
        <f aca="false">'Cleaned Data'!M500</f>
        <v>33</v>
      </c>
      <c r="N500" s="1" t="str">
        <f aca="false">'Cleaned Data'!N500</f>
        <v>No</v>
      </c>
      <c r="O500" s="1" t="str">
        <f aca="false">TEXT(G500,"yyyy-mm")</f>
        <v>2025-03</v>
      </c>
      <c r="P500" s="1" t="str">
        <f aca="false">IF(H500&lt;20,"Low",IF(H500&lt;=60,"Medium","High"))</f>
        <v>Medium</v>
      </c>
      <c r="Q500" s="1" t="str">
        <f aca="false">IF(I500&gt;0,"Yes","No")</f>
        <v>No</v>
      </c>
      <c r="R500" s="1" t="n">
        <f aca="false">IF(N500="Yes",1,0)</f>
        <v>0</v>
      </c>
    </row>
    <row r="501" customFormat="false" ht="15" hidden="false" customHeight="true" outlineLevel="0" collapsed="false">
      <c r="A501" s="1" t="str">
        <f aca="false">'Cleaned Data'!A501</f>
        <v>S00497</v>
      </c>
      <c r="B501" s="1" t="str">
        <f aca="false">'Cleaned Data'!B501</f>
        <v>P1457</v>
      </c>
      <c r="C501" s="1" t="str">
        <f aca="false">'Cleaned Data'!C501</f>
        <v>turnersusan</v>
      </c>
      <c r="D501" s="1" t="str">
        <f aca="false">'Cleaned Data'!D501</f>
        <v>Empire Wars</v>
      </c>
      <c r="E501" s="1" t="str">
        <f aca="false">'Cleaned Data'!E501</f>
        <v>Mobile</v>
      </c>
      <c r="F501" s="1" t="str">
        <f aca="false">'Cleaned Data'!F501</f>
        <v>West</v>
      </c>
      <c r="G501" s="23" t="n">
        <f aca="false">'Cleaned Data'!G501</f>
        <v>45702</v>
      </c>
      <c r="H501" s="1" t="n">
        <f aca="false">'Cleaned Data'!H501</f>
        <v>157</v>
      </c>
      <c r="I501" s="24" t="n">
        <f aca="false">'Cleaned Data'!I501</f>
        <v>26.84</v>
      </c>
      <c r="J501" s="1" t="str">
        <f aca="false">'Cleaned Data'!J501</f>
        <v>Boosters</v>
      </c>
      <c r="K501" s="1" t="str">
        <f aca="false">'Cleaned Data'!K501</f>
        <v>Completed</v>
      </c>
      <c r="L501" s="1" t="str">
        <f aca="false">'Cleaned Data'!L501</f>
        <v>Paid</v>
      </c>
      <c r="M501" s="1" t="n">
        <f aca="false">'Cleaned Data'!M501</f>
        <v>25</v>
      </c>
      <c r="N501" s="1" t="str">
        <f aca="false">'Cleaned Data'!N501</f>
        <v>Yes</v>
      </c>
      <c r="O501" s="1" t="str">
        <f aca="false">TEXT(G501,"yyyy-mm")</f>
        <v>2025-02</v>
      </c>
      <c r="P501" s="1" t="str">
        <f aca="false">IF(H501&lt;20,"Low",IF(H501&lt;=60,"Medium","High"))</f>
        <v>High</v>
      </c>
      <c r="Q501" s="1" t="str">
        <f aca="false">IF(I501&gt;0,"Yes","No")</f>
        <v>Yes</v>
      </c>
      <c r="R501" s="1" t="n">
        <f aca="false">IF(N501="Yes",1,0)</f>
        <v>1</v>
      </c>
    </row>
    <row r="502" customFormat="false" ht="15" hidden="false" customHeight="true" outlineLevel="0" collapsed="false">
      <c r="A502" s="1" t="str">
        <f aca="false">'Cleaned Data'!A502</f>
        <v>S00498</v>
      </c>
      <c r="B502" s="1" t="str">
        <f aca="false">'Cleaned Data'!B502</f>
        <v>P6771</v>
      </c>
      <c r="C502" s="1" t="str">
        <f aca="false">'Cleaned Data'!C502</f>
        <v>kenneth92</v>
      </c>
      <c r="D502" s="1" t="str">
        <f aca="false">'Cleaned Data'!D502</f>
        <v>BattleZone</v>
      </c>
      <c r="E502" s="1" t="str">
        <f aca="false">'Cleaned Data'!E502</f>
        <v>PC</v>
      </c>
      <c r="F502" s="1" t="str">
        <f aca="false">'Cleaned Data'!F502</f>
        <v>West</v>
      </c>
      <c r="G502" s="23" t="n">
        <f aca="false">'Cleaned Data'!G502</f>
        <v>45675</v>
      </c>
      <c r="H502" s="1" t="n">
        <f aca="false">'Cleaned Data'!H502</f>
        <v>44</v>
      </c>
      <c r="I502" s="24" t="n">
        <f aca="false">'Cleaned Data'!I502</f>
        <v>0</v>
      </c>
      <c r="J502" s="1" t="str">
        <f aca="false">'Cleaned Data'!J502</f>
        <v>None</v>
      </c>
      <c r="K502" s="1" t="str">
        <f aca="false">'Cleaned Data'!K502</f>
        <v>Completed</v>
      </c>
      <c r="L502" s="1" t="str">
        <f aca="false">'Cleaned Data'!L502</f>
        <v>Free</v>
      </c>
      <c r="M502" s="1" t="n">
        <f aca="false">'Cleaned Data'!M502</f>
        <v>42</v>
      </c>
      <c r="N502" s="1" t="str">
        <f aca="false">'Cleaned Data'!N502</f>
        <v>No</v>
      </c>
      <c r="O502" s="1" t="str">
        <f aca="false">TEXT(G502,"yyyy-mm")</f>
        <v>2025-01</v>
      </c>
      <c r="P502" s="1" t="str">
        <f aca="false">IF(H502&lt;20,"Low",IF(H502&lt;=60,"Medium","High"))</f>
        <v>Medium</v>
      </c>
      <c r="Q502" s="1" t="str">
        <f aca="false">IF(I502&gt;0,"Yes","No")</f>
        <v>No</v>
      </c>
      <c r="R502" s="1" t="n">
        <f aca="false">IF(N502="Yes",1,0)</f>
        <v>0</v>
      </c>
    </row>
    <row r="503" customFormat="false" ht="15" hidden="false" customHeight="true" outlineLevel="0" collapsed="false">
      <c r="A503" s="1" t="str">
        <f aca="false">'Cleaned Data'!A503</f>
        <v>S00499</v>
      </c>
      <c r="B503" s="1" t="str">
        <f aca="false">'Cleaned Data'!B503</f>
        <v>P1107</v>
      </c>
      <c r="C503" s="1" t="str">
        <f aca="false">'Cleaned Data'!C503</f>
        <v>victoria57</v>
      </c>
      <c r="D503" s="1" t="str">
        <f aca="false">'Cleaned Data'!D503</f>
        <v>Clash of Realms</v>
      </c>
      <c r="E503" s="1" t="str">
        <f aca="false">'Cleaned Data'!E503</f>
        <v>Mobile</v>
      </c>
      <c r="F503" s="1" t="str">
        <f aca="false">'Cleaned Data'!F503</f>
        <v>South</v>
      </c>
      <c r="G503" s="23" t="n">
        <f aca="false">'Cleaned Data'!G503</f>
        <v>45660</v>
      </c>
      <c r="H503" s="1" t="n">
        <f aca="false">'Cleaned Data'!H503</f>
        <v>172</v>
      </c>
      <c r="I503" s="24" t="n">
        <f aca="false">'Cleaned Data'!I503</f>
        <v>0</v>
      </c>
      <c r="J503" s="1" t="str">
        <f aca="false">'Cleaned Data'!J503</f>
        <v>None</v>
      </c>
      <c r="K503" s="1" t="str">
        <f aca="false">'Cleaned Data'!K503</f>
        <v>Exited Early</v>
      </c>
      <c r="L503" s="1" t="str">
        <f aca="false">'Cleaned Data'!L503</f>
        <v>Free</v>
      </c>
      <c r="M503" s="1" t="n">
        <f aca="false">'Cleaned Data'!M503</f>
        <v>4</v>
      </c>
      <c r="N503" s="1" t="str">
        <f aca="false">'Cleaned Data'!N503</f>
        <v>Yes</v>
      </c>
      <c r="O503" s="1" t="str">
        <f aca="false">TEXT(G503,"yyyy-mm")</f>
        <v>2025-01</v>
      </c>
      <c r="P503" s="1" t="str">
        <f aca="false">IF(H503&lt;20,"Low",IF(H503&lt;=60,"Medium","High"))</f>
        <v>High</v>
      </c>
      <c r="Q503" s="1" t="str">
        <f aca="false">IF(I503&gt;0,"Yes","No")</f>
        <v>No</v>
      </c>
      <c r="R503" s="1" t="n">
        <f aca="false">IF(N503="Yes",1,0)</f>
        <v>1</v>
      </c>
    </row>
    <row r="504" customFormat="false" ht="15" hidden="false" customHeight="true" outlineLevel="0" collapsed="false">
      <c r="A504" s="1" t="str">
        <f aca="false">'Cleaned Data'!A504</f>
        <v>S00500</v>
      </c>
      <c r="B504" s="1" t="str">
        <f aca="false">'Cleaned Data'!B504</f>
        <v>P4402</v>
      </c>
      <c r="C504" s="1" t="str">
        <f aca="false">'Cleaned Data'!C504</f>
        <v>fnolan</v>
      </c>
      <c r="D504" s="1" t="str">
        <f aca="false">'Cleaned Data'!D504</f>
        <v>BattleZone</v>
      </c>
      <c r="E504" s="1" t="str">
        <f aca="false">'Cleaned Data'!E504</f>
        <v>Console</v>
      </c>
      <c r="F504" s="1" t="str">
        <f aca="false">'Cleaned Data'!F504</f>
        <v>North</v>
      </c>
      <c r="G504" s="23" t="n">
        <f aca="false">'Cleaned Data'!G504</f>
        <v>45656</v>
      </c>
      <c r="H504" s="1" t="n">
        <f aca="false">'Cleaned Data'!H504</f>
        <v>20</v>
      </c>
      <c r="I504" s="24" t="n">
        <f aca="false">'Cleaned Data'!I504</f>
        <v>0</v>
      </c>
      <c r="J504" s="1" t="str">
        <f aca="false">'Cleaned Data'!J504</f>
        <v>None</v>
      </c>
      <c r="K504" s="1" t="str">
        <f aca="false">'Cleaned Data'!K504</f>
        <v>Completed</v>
      </c>
      <c r="L504" s="1" t="str">
        <f aca="false">'Cleaned Data'!L504</f>
        <v>Paid</v>
      </c>
      <c r="M504" s="1" t="n">
        <f aca="false">'Cleaned Data'!M504</f>
        <v>30</v>
      </c>
      <c r="N504" s="1" t="str">
        <f aca="false">'Cleaned Data'!N504</f>
        <v>No</v>
      </c>
      <c r="O504" s="1" t="str">
        <f aca="false">TEXT(G504,"yyyy-mm")</f>
        <v>2024-12</v>
      </c>
      <c r="P504" s="1" t="str">
        <f aca="false">IF(H504&lt;20,"Low",IF(H504&lt;=60,"Medium","High"))</f>
        <v>Medium</v>
      </c>
      <c r="Q504" s="1" t="str">
        <f aca="false">IF(I504&gt;0,"Yes","No")</f>
        <v>No</v>
      </c>
      <c r="R504" s="1" t="n">
        <f aca="false">IF(N504="Yes",1,0)</f>
        <v>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N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8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2" min="12" style="1" width="13"/>
    <col collapsed="false" customWidth="true" hidden="false" outlineLevel="0" max="14" min="13" style="1" width="15"/>
  </cols>
  <sheetData>
    <row r="1" customFormat="false" ht="17.25" hidden="false" customHeight="true" outlineLevel="0" collapsed="false">
      <c r="A1" s="13" t="s">
        <v>82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15" hidden="false" customHeight="true" outlineLevel="0" collapsed="false">
      <c r="A2" s="14" t="s">
        <v>83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customFormat="false" ht="15" hidden="false" customHeight="true" outlineLevel="0" collapsed="false">
      <c r="A4" s="22" t="s">
        <v>73</v>
      </c>
      <c r="B4" s="22" t="s">
        <v>74</v>
      </c>
      <c r="C4" s="22" t="s">
        <v>75</v>
      </c>
      <c r="D4" s="22" t="s">
        <v>4</v>
      </c>
      <c r="E4" s="22" t="s">
        <v>3</v>
      </c>
      <c r="F4" s="22" t="s">
        <v>2</v>
      </c>
      <c r="G4" s="22" t="s">
        <v>76</v>
      </c>
      <c r="H4" s="22" t="s">
        <v>77</v>
      </c>
      <c r="I4" s="22" t="s">
        <v>78</v>
      </c>
      <c r="J4" s="22" t="s">
        <v>5</v>
      </c>
      <c r="K4" s="22" t="s">
        <v>62</v>
      </c>
      <c r="L4" s="22" t="s">
        <v>6</v>
      </c>
      <c r="M4" s="22" t="s">
        <v>79</v>
      </c>
      <c r="N4" s="22" t="s">
        <v>80</v>
      </c>
    </row>
    <row r="5" customFormat="false" ht="15" hidden="false" customHeight="true" outlineLevel="0" collapsed="false">
      <c r="A5" s="1" t="str">
        <f aca="false">'Raw Data'!A4</f>
        <v>S00001</v>
      </c>
      <c r="B5" s="1" t="str">
        <f aca="false">'Raw Data'!B4</f>
        <v>P3652</v>
      </c>
      <c r="C5" s="1" t="str">
        <f aca="false">'Raw Data'!C4</f>
        <v>harrisrichard</v>
      </c>
      <c r="D5" s="1" t="str">
        <f aca="false">'Raw Data'!D4</f>
        <v>BattleZone</v>
      </c>
      <c r="E5" s="1" t="str">
        <f aca="false">'Raw Data'!E4</f>
        <v>Console</v>
      </c>
      <c r="F5" s="1" t="str">
        <f aca="false">'Raw Data'!F4</f>
        <v>East</v>
      </c>
      <c r="G5" s="23" t="n">
        <f aca="false">'Raw Data'!G4</f>
        <v>45696</v>
      </c>
      <c r="H5" s="1" t="n">
        <f aca="false">'Raw Data'!H4</f>
        <v>179</v>
      </c>
      <c r="I5" s="24" t="n">
        <f aca="false">'Raw Data'!I4</f>
        <v>0</v>
      </c>
      <c r="J5" s="1" t="str">
        <f aca="false">IF('Raw Data'!J4="None","None",IF(ISBLANK('Raw Data'!J4),"None",'Raw Data'!J4))</f>
        <v>None</v>
      </c>
      <c r="K5" s="1" t="str">
        <f aca="false">'Raw Data'!K4</f>
        <v>Completed</v>
      </c>
      <c r="L5" s="1" t="str">
        <f aca="false">'Raw Data'!L4</f>
        <v>Free</v>
      </c>
      <c r="M5" s="1" t="n">
        <f aca="false">'Raw Data'!M4</f>
        <v>42</v>
      </c>
      <c r="N5" s="1" t="str">
        <f aca="false">'Raw Data'!N4</f>
        <v>Yes</v>
      </c>
    </row>
    <row r="6" customFormat="false" ht="15" hidden="false" customHeight="true" outlineLevel="0" collapsed="false">
      <c r="A6" s="1" t="str">
        <f aca="false">'Raw Data'!A5</f>
        <v>S00002</v>
      </c>
      <c r="B6" s="1" t="str">
        <f aca="false">'Raw Data'!B5</f>
        <v>P9981</v>
      </c>
      <c r="C6" s="1" t="str">
        <f aca="false">'Raw Data'!C5</f>
        <v>wlee</v>
      </c>
      <c r="D6" s="1" t="str">
        <f aca="false">'Raw Data'!D5</f>
        <v>Zombie Rush</v>
      </c>
      <c r="E6" s="1" t="str">
        <f aca="false">'Raw Data'!E5</f>
        <v>Mobile</v>
      </c>
      <c r="F6" s="1" t="str">
        <f aca="false">'Raw Data'!F5</f>
        <v>Central</v>
      </c>
      <c r="G6" s="23" t="n">
        <f aca="false">'Raw Data'!G5</f>
        <v>45642</v>
      </c>
      <c r="H6" s="1" t="n">
        <f aca="false">'Raw Data'!H5</f>
        <v>75</v>
      </c>
      <c r="I6" s="24" t="n">
        <f aca="false">'Raw Data'!I5</f>
        <v>26.02</v>
      </c>
      <c r="J6" s="1" t="str">
        <f aca="false">IF('Raw Data'!J5="None","None",IF(ISBLANK('Raw Data'!J5),"None",'Raw Data'!J5))</f>
        <v>Boosters</v>
      </c>
      <c r="K6" s="1" t="str">
        <f aca="false">'Raw Data'!K5</f>
        <v>Completed</v>
      </c>
      <c r="L6" s="1" t="str">
        <f aca="false">'Raw Data'!L5</f>
        <v>Paid</v>
      </c>
      <c r="M6" s="1" t="n">
        <f aca="false">'Raw Data'!M5</f>
        <v>11</v>
      </c>
      <c r="N6" s="1" t="str">
        <f aca="false">'Raw Data'!N5</f>
        <v>No</v>
      </c>
    </row>
    <row r="7" customFormat="false" ht="15" hidden="false" customHeight="true" outlineLevel="0" collapsed="false">
      <c r="A7" s="1" t="str">
        <f aca="false">'Raw Data'!A6</f>
        <v>S00003</v>
      </c>
      <c r="B7" s="1" t="str">
        <f aca="false">'Raw Data'!B6</f>
        <v>P5280</v>
      </c>
      <c r="C7" s="1" t="str">
        <f aca="false">'Raw Data'!C6</f>
        <v>katie47</v>
      </c>
      <c r="D7" s="1" t="str">
        <f aca="false">'Raw Data'!D6</f>
        <v>SpeedX</v>
      </c>
      <c r="E7" s="1" t="str">
        <f aca="false">'Raw Data'!E6</f>
        <v>Console</v>
      </c>
      <c r="F7" s="1" t="str">
        <f aca="false">'Raw Data'!F6</f>
        <v>East</v>
      </c>
      <c r="G7" s="23" t="n">
        <f aca="false">'Raw Data'!G6</f>
        <v>45643</v>
      </c>
      <c r="H7" s="1" t="n">
        <f aca="false">'Raw Data'!H6</f>
        <v>36</v>
      </c>
      <c r="I7" s="24" t="n">
        <f aca="false">'Raw Data'!I6</f>
        <v>2.94</v>
      </c>
      <c r="J7" s="1" t="str">
        <f aca="false">IF('Raw Data'!J6="None","None",IF(ISBLANK('Raw Data'!J6),"None",'Raw Data'!J6))</f>
        <v>Subscriptions</v>
      </c>
      <c r="K7" s="1" t="str">
        <f aca="false">'Raw Data'!K6</f>
        <v>Completed</v>
      </c>
      <c r="L7" s="1" t="str">
        <f aca="false">'Raw Data'!L6</f>
        <v>Paid</v>
      </c>
      <c r="M7" s="1" t="n">
        <f aca="false">'Raw Data'!M6</f>
        <v>4</v>
      </c>
      <c r="N7" s="1" t="str">
        <f aca="false">'Raw Data'!N6</f>
        <v>No</v>
      </c>
    </row>
    <row r="8" customFormat="false" ht="15" hidden="false" customHeight="true" outlineLevel="0" collapsed="false">
      <c r="A8" s="1" t="str">
        <f aca="false">'Raw Data'!A7</f>
        <v>S00004</v>
      </c>
      <c r="B8" s="1" t="str">
        <f aca="false">'Raw Data'!B7</f>
        <v>P2930</v>
      </c>
      <c r="C8" s="1" t="str">
        <f aca="false">'Raw Data'!C7</f>
        <v>isaac85</v>
      </c>
      <c r="D8" s="1" t="str">
        <f aca="false">'Raw Data'!D7</f>
        <v>Clash of Realms</v>
      </c>
      <c r="E8" s="1" t="str">
        <f aca="false">'Raw Data'!E7</f>
        <v>Mobile</v>
      </c>
      <c r="F8" s="1" t="str">
        <f aca="false">'Raw Data'!F7</f>
        <v>Central</v>
      </c>
      <c r="G8" s="23" t="n">
        <f aca="false">'Raw Data'!G7</f>
        <v>45820</v>
      </c>
      <c r="H8" s="1" t="n">
        <f aca="false">'Raw Data'!H7</f>
        <v>153</v>
      </c>
      <c r="I8" s="24" t="n">
        <f aca="false">'Raw Data'!I7</f>
        <v>0</v>
      </c>
      <c r="J8" s="1" t="str">
        <f aca="false">IF('Raw Data'!J7="None","None",IF(ISBLANK('Raw Data'!J7),"None",'Raw Data'!J7))</f>
        <v>None</v>
      </c>
      <c r="K8" s="1" t="str">
        <f aca="false">'Raw Data'!K7</f>
        <v>Completed</v>
      </c>
      <c r="L8" s="1" t="str">
        <f aca="false">'Raw Data'!L7</f>
        <v>Free</v>
      </c>
      <c r="M8" s="1" t="n">
        <f aca="false">'Raw Data'!M7</f>
        <v>18</v>
      </c>
      <c r="N8" s="1" t="str">
        <f aca="false">'Raw Data'!N7</f>
        <v>Yes</v>
      </c>
    </row>
    <row r="9" customFormat="false" ht="15" hidden="false" customHeight="true" outlineLevel="0" collapsed="false">
      <c r="A9" s="1" t="str">
        <f aca="false">'Raw Data'!A8</f>
        <v>S00005</v>
      </c>
      <c r="B9" s="1" t="str">
        <f aca="false">'Raw Data'!B8</f>
        <v>P7925</v>
      </c>
      <c r="C9" s="1" t="str">
        <f aca="false">'Raw Data'!C8</f>
        <v>ballarddouglas</v>
      </c>
      <c r="D9" s="1" t="str">
        <f aca="false">'Raw Data'!D8</f>
        <v>Zombie Rush</v>
      </c>
      <c r="E9" s="1" t="str">
        <f aca="false">'Raw Data'!E8</f>
        <v>Mobile</v>
      </c>
      <c r="F9" s="1" t="str">
        <f aca="false">'Raw Data'!F8</f>
        <v>North</v>
      </c>
      <c r="G9" s="23" t="n">
        <f aca="false">'Raw Data'!G8</f>
        <v>45798</v>
      </c>
      <c r="H9" s="1" t="n">
        <f aca="false">'Raw Data'!H8</f>
        <v>109</v>
      </c>
      <c r="I9" s="24" t="n">
        <f aca="false">'Raw Data'!I8</f>
        <v>5.48</v>
      </c>
      <c r="J9" s="1" t="str">
        <f aca="false">IF('Raw Data'!J8="None","None",IF(ISBLANK('Raw Data'!J8),"None",'Raw Data'!J8))</f>
        <v>Boosters</v>
      </c>
      <c r="K9" s="1" t="str">
        <f aca="false">'Raw Data'!K8</f>
        <v>Crashed</v>
      </c>
      <c r="L9" s="1" t="str">
        <f aca="false">'Raw Data'!L8</f>
        <v>Paid</v>
      </c>
      <c r="M9" s="1" t="n">
        <f aca="false">'Raw Data'!M8</f>
        <v>5</v>
      </c>
      <c r="N9" s="1" t="str">
        <f aca="false">'Raw Data'!N8</f>
        <v>No</v>
      </c>
    </row>
    <row r="10" customFormat="false" ht="15" hidden="false" customHeight="true" outlineLevel="0" collapsed="false">
      <c r="A10" s="1" t="str">
        <f aca="false">'Raw Data'!A9</f>
        <v>S00006</v>
      </c>
      <c r="B10" s="1" t="str">
        <f aca="false">'Raw Data'!B9</f>
        <v>P9919</v>
      </c>
      <c r="C10" s="1" t="str">
        <f aca="false">'Raw Data'!C9</f>
        <v>lrichardson</v>
      </c>
      <c r="D10" s="1" t="str">
        <f aca="false">'Raw Data'!D9</f>
        <v>Zombie Rush</v>
      </c>
      <c r="E10" s="1" t="str">
        <f aca="false">'Raw Data'!E9</f>
        <v>Mobile</v>
      </c>
      <c r="F10" s="1" t="str">
        <f aca="false">'Raw Data'!F9</f>
        <v>North</v>
      </c>
      <c r="G10" s="23" t="n">
        <f aca="false">'Raw Data'!G9</f>
        <v>45743</v>
      </c>
      <c r="H10" s="1" t="n">
        <f aca="false">'Raw Data'!H9</f>
        <v>46</v>
      </c>
      <c r="I10" s="24" t="n">
        <f aca="false">'Raw Data'!I9</f>
        <v>0</v>
      </c>
      <c r="J10" s="1" t="str">
        <f aca="false">IF('Raw Data'!J9="None","None",IF(ISBLANK('Raw Data'!J9),"None",'Raw Data'!J9))</f>
        <v>None</v>
      </c>
      <c r="K10" s="1" t="str">
        <f aca="false">'Raw Data'!K9</f>
        <v>Crashed</v>
      </c>
      <c r="L10" s="1" t="str">
        <f aca="false">'Raw Data'!L9</f>
        <v>Free</v>
      </c>
      <c r="M10" s="1" t="n">
        <f aca="false">'Raw Data'!M9</f>
        <v>39</v>
      </c>
      <c r="N10" s="1" t="str">
        <f aca="false">'Raw Data'!N9</f>
        <v>No</v>
      </c>
    </row>
    <row r="11" customFormat="false" ht="15" hidden="false" customHeight="true" outlineLevel="0" collapsed="false">
      <c r="A11" s="1" t="str">
        <f aca="false">'Raw Data'!A10</f>
        <v>S00007</v>
      </c>
      <c r="B11" s="1" t="str">
        <f aca="false">'Raw Data'!B10</f>
        <v>P7231</v>
      </c>
      <c r="C11" s="1" t="str">
        <f aca="false">'Raw Data'!C10</f>
        <v>holmesbruce</v>
      </c>
      <c r="D11" s="1" t="str">
        <f aca="false">'Raw Data'!D10</f>
        <v>Clash of Realms</v>
      </c>
      <c r="E11" s="1" t="str">
        <f aca="false">'Raw Data'!E10</f>
        <v>Console</v>
      </c>
      <c r="F11" s="1" t="str">
        <f aca="false">'Raw Data'!F10</f>
        <v>North-East</v>
      </c>
      <c r="G11" s="23" t="n">
        <f aca="false">'Raw Data'!G10</f>
        <v>45759</v>
      </c>
      <c r="H11" s="1" t="n">
        <f aca="false">'Raw Data'!H10</f>
        <v>134</v>
      </c>
      <c r="I11" s="24" t="n">
        <f aca="false">'Raw Data'!I10</f>
        <v>42.57</v>
      </c>
      <c r="J11" s="1" t="str">
        <f aca="false">IF('Raw Data'!J10="None","None",IF(ISBLANK('Raw Data'!J10),"None",'Raw Data'!J10))</f>
        <v>Battle Pass</v>
      </c>
      <c r="K11" s="1" t="str">
        <f aca="false">'Raw Data'!K10</f>
        <v>Exited Early</v>
      </c>
      <c r="L11" s="1" t="str">
        <f aca="false">'Raw Data'!L10</f>
        <v>Paid</v>
      </c>
      <c r="M11" s="1" t="n">
        <f aca="false">'Raw Data'!M10</f>
        <v>40</v>
      </c>
      <c r="N11" s="1" t="str">
        <f aca="false">'Raw Data'!N10</f>
        <v>Yes</v>
      </c>
    </row>
    <row r="12" customFormat="false" ht="15" hidden="false" customHeight="true" outlineLevel="0" collapsed="false">
      <c r="A12" s="1" t="str">
        <f aca="false">'Raw Data'!A11</f>
        <v>S00008</v>
      </c>
      <c r="B12" s="1" t="str">
        <f aca="false">'Raw Data'!B11</f>
        <v>P5965</v>
      </c>
      <c r="C12" s="1" t="str">
        <f aca="false">'Raw Data'!C11</f>
        <v>lhansen</v>
      </c>
      <c r="D12" s="1" t="str">
        <f aca="false">'Raw Data'!D11</f>
        <v>BattleZone</v>
      </c>
      <c r="E12" s="1" t="str">
        <f aca="false">'Raw Data'!E11</f>
        <v>PC</v>
      </c>
      <c r="F12" s="1" t="str">
        <f aca="false">'Raw Data'!F11</f>
        <v>South</v>
      </c>
      <c r="G12" s="23" t="n">
        <f aca="false">'Raw Data'!G11</f>
        <v>45666</v>
      </c>
      <c r="H12" s="1" t="n">
        <f aca="false">'Raw Data'!H11</f>
        <v>38</v>
      </c>
      <c r="I12" s="24" t="n">
        <f aca="false">'Raw Data'!I11</f>
        <v>0</v>
      </c>
      <c r="J12" s="1" t="str">
        <f aca="false">IF('Raw Data'!J11="None","None",IF(ISBLANK('Raw Data'!J11),"None",'Raw Data'!J11))</f>
        <v>None</v>
      </c>
      <c r="K12" s="1" t="str">
        <f aca="false">'Raw Data'!K11</f>
        <v>Exited Early</v>
      </c>
      <c r="L12" s="1" t="str">
        <f aca="false">'Raw Data'!L11</f>
        <v>Free</v>
      </c>
      <c r="M12" s="1" t="n">
        <f aca="false">'Raw Data'!M11</f>
        <v>14</v>
      </c>
      <c r="N12" s="1" t="str">
        <f aca="false">'Raw Data'!N11</f>
        <v>No</v>
      </c>
    </row>
    <row r="13" customFormat="false" ht="15" hidden="false" customHeight="true" outlineLevel="0" collapsed="false">
      <c r="A13" s="1" t="str">
        <f aca="false">'Raw Data'!A12</f>
        <v>S00009</v>
      </c>
      <c r="B13" s="1" t="str">
        <f aca="false">'Raw Data'!B12</f>
        <v>P3834</v>
      </c>
      <c r="C13" s="1" t="str">
        <f aca="false">'Raw Data'!C12</f>
        <v>alexis47</v>
      </c>
      <c r="D13" s="1" t="str">
        <f aca="false">'Raw Data'!D12</f>
        <v>Clash of Realms</v>
      </c>
      <c r="E13" s="1" t="str">
        <f aca="false">'Raw Data'!E12</f>
        <v>PC</v>
      </c>
      <c r="F13" s="1" t="str">
        <f aca="false">'Raw Data'!F12</f>
        <v>East</v>
      </c>
      <c r="G13" s="23" t="n">
        <f aca="false">'Raw Data'!G12</f>
        <v>45695</v>
      </c>
      <c r="H13" s="1" t="n">
        <f aca="false">'Raw Data'!H12</f>
        <v>24</v>
      </c>
      <c r="I13" s="24" t="n">
        <f aca="false">'Raw Data'!I12</f>
        <v>0</v>
      </c>
      <c r="J13" s="1" t="str">
        <f aca="false">IF('Raw Data'!J12="None","None",IF(ISBLANK('Raw Data'!J12),"None",'Raw Data'!J12))</f>
        <v>None</v>
      </c>
      <c r="K13" s="1" t="str">
        <f aca="false">'Raw Data'!K12</f>
        <v>Exited Early</v>
      </c>
      <c r="L13" s="1" t="str">
        <f aca="false">'Raw Data'!L12</f>
        <v>Free</v>
      </c>
      <c r="M13" s="1" t="n">
        <f aca="false">'Raw Data'!M12</f>
        <v>45</v>
      </c>
      <c r="N13" s="1" t="str">
        <f aca="false">'Raw Data'!N12</f>
        <v>No</v>
      </c>
    </row>
    <row r="14" customFormat="false" ht="15" hidden="false" customHeight="true" outlineLevel="0" collapsed="false">
      <c r="A14" s="1" t="str">
        <f aca="false">'Raw Data'!A13</f>
        <v>S00010</v>
      </c>
      <c r="B14" s="1" t="str">
        <f aca="false">'Raw Data'!B13</f>
        <v>P4220</v>
      </c>
      <c r="C14" s="1" t="str">
        <f aca="false">'Raw Data'!C13</f>
        <v>ryanmarshall</v>
      </c>
      <c r="D14" s="1" t="str">
        <f aca="false">'Raw Data'!D13</f>
        <v>Zombie Rush</v>
      </c>
      <c r="E14" s="1" t="str">
        <f aca="false">'Raw Data'!E13</f>
        <v>PC</v>
      </c>
      <c r="F14" s="1" t="str">
        <f aca="false">'Raw Data'!F13</f>
        <v>North</v>
      </c>
      <c r="G14" s="23" t="n">
        <f aca="false">'Raw Data'!G13</f>
        <v>45791</v>
      </c>
      <c r="H14" s="1" t="n">
        <f aca="false">'Raw Data'!H13</f>
        <v>138</v>
      </c>
      <c r="I14" s="24" t="n">
        <f aca="false">'Raw Data'!I13</f>
        <v>0</v>
      </c>
      <c r="J14" s="1" t="str">
        <f aca="false">IF('Raw Data'!J13="None","None",IF(ISBLANK('Raw Data'!J13),"None",'Raw Data'!J13))</f>
        <v>None</v>
      </c>
      <c r="K14" s="1" t="str">
        <f aca="false">'Raw Data'!K13</f>
        <v>Exited Early</v>
      </c>
      <c r="L14" s="1" t="str">
        <f aca="false">'Raw Data'!L13</f>
        <v>Free</v>
      </c>
      <c r="M14" s="1" t="n">
        <f aca="false">'Raw Data'!M13</f>
        <v>48</v>
      </c>
      <c r="N14" s="1" t="str">
        <f aca="false">'Raw Data'!N13</f>
        <v>No</v>
      </c>
    </row>
    <row r="15" customFormat="false" ht="15" hidden="false" customHeight="true" outlineLevel="0" collapsed="false">
      <c r="A15" s="1" t="str">
        <f aca="false">'Raw Data'!A14</f>
        <v>S00011</v>
      </c>
      <c r="B15" s="1" t="str">
        <f aca="false">'Raw Data'!B14</f>
        <v>P1038</v>
      </c>
      <c r="C15" s="1" t="str">
        <f aca="false">'Raw Data'!C14</f>
        <v>alexandriaparrish</v>
      </c>
      <c r="D15" s="1" t="str">
        <f aca="false">'Raw Data'!D14</f>
        <v>SpeedX</v>
      </c>
      <c r="E15" s="1" t="str">
        <f aca="false">'Raw Data'!E14</f>
        <v>Console</v>
      </c>
      <c r="F15" s="1" t="str">
        <f aca="false">'Raw Data'!F14</f>
        <v>North</v>
      </c>
      <c r="G15" s="23" t="n">
        <f aca="false">'Raw Data'!G14</f>
        <v>45756</v>
      </c>
      <c r="H15" s="1" t="n">
        <f aca="false">'Raw Data'!H14</f>
        <v>26</v>
      </c>
      <c r="I15" s="24" t="n">
        <f aca="false">'Raw Data'!I14</f>
        <v>0</v>
      </c>
      <c r="J15" s="1" t="str">
        <f aca="false">IF('Raw Data'!J14="None","None",IF(ISBLANK('Raw Data'!J14),"None",'Raw Data'!J14))</f>
        <v>None</v>
      </c>
      <c r="K15" s="1" t="str">
        <f aca="false">'Raw Data'!K14</f>
        <v>Crashed</v>
      </c>
      <c r="L15" s="1" t="str">
        <f aca="false">'Raw Data'!L14</f>
        <v>Free</v>
      </c>
      <c r="M15" s="1" t="n">
        <f aca="false">'Raw Data'!M14</f>
        <v>27</v>
      </c>
      <c r="N15" s="1" t="str">
        <f aca="false">'Raw Data'!N14</f>
        <v>No</v>
      </c>
    </row>
    <row r="16" customFormat="false" ht="15" hidden="false" customHeight="true" outlineLevel="0" collapsed="false">
      <c r="A16" s="1" t="str">
        <f aca="false">'Raw Data'!A15</f>
        <v>S00012</v>
      </c>
      <c r="B16" s="1" t="str">
        <f aca="false">'Raw Data'!B15</f>
        <v>P7407</v>
      </c>
      <c r="C16" s="1" t="str">
        <f aca="false">'Raw Data'!C15</f>
        <v>jacobhaynes</v>
      </c>
      <c r="D16" s="1" t="str">
        <f aca="false">'Raw Data'!D15</f>
        <v>Zombie Rush</v>
      </c>
      <c r="E16" s="1" t="str">
        <f aca="false">'Raw Data'!E15</f>
        <v>PC</v>
      </c>
      <c r="F16" s="1" t="str">
        <f aca="false">'Raw Data'!F15</f>
        <v>North</v>
      </c>
      <c r="G16" s="23" t="n">
        <f aca="false">'Raw Data'!G15</f>
        <v>45768</v>
      </c>
      <c r="H16" s="1" t="n">
        <f aca="false">'Raw Data'!H15</f>
        <v>142</v>
      </c>
      <c r="I16" s="24" t="n">
        <f aca="false">'Raw Data'!I15</f>
        <v>0</v>
      </c>
      <c r="J16" s="1" t="str">
        <f aca="false">IF('Raw Data'!J15="None","None",IF(ISBLANK('Raw Data'!J15),"None",'Raw Data'!J15))</f>
        <v>None</v>
      </c>
      <c r="K16" s="1" t="str">
        <f aca="false">'Raw Data'!K15</f>
        <v>Completed</v>
      </c>
      <c r="L16" s="1" t="str">
        <f aca="false">'Raw Data'!L15</f>
        <v>Free</v>
      </c>
      <c r="M16" s="1" t="n">
        <f aca="false">'Raw Data'!M15</f>
        <v>23</v>
      </c>
      <c r="N16" s="1" t="str">
        <f aca="false">'Raw Data'!N15</f>
        <v>No</v>
      </c>
    </row>
    <row r="17" customFormat="false" ht="15" hidden="false" customHeight="true" outlineLevel="0" collapsed="false">
      <c r="A17" s="1" t="str">
        <f aca="false">'Raw Data'!A16</f>
        <v>S00013</v>
      </c>
      <c r="B17" s="1" t="str">
        <f aca="false">'Raw Data'!B16</f>
        <v>P4776</v>
      </c>
      <c r="C17" s="1" t="str">
        <f aca="false">'Raw Data'!C16</f>
        <v>xjoseph</v>
      </c>
      <c r="D17" s="1" t="str">
        <f aca="false">'Raw Data'!D16</f>
        <v>SpeedX</v>
      </c>
      <c r="E17" s="1" t="str">
        <f aca="false">'Raw Data'!E16</f>
        <v>Mobile</v>
      </c>
      <c r="F17" s="1" t="str">
        <f aca="false">'Raw Data'!F16</f>
        <v>South</v>
      </c>
      <c r="G17" s="23" t="n">
        <f aca="false">'Raw Data'!G16</f>
        <v>45724</v>
      </c>
      <c r="H17" s="1" t="n">
        <f aca="false">'Raw Data'!H16</f>
        <v>100</v>
      </c>
      <c r="I17" s="24" t="n">
        <f aca="false">'Raw Data'!I16</f>
        <v>0</v>
      </c>
      <c r="J17" s="1" t="str">
        <f aca="false">IF('Raw Data'!J16="None","None",IF(ISBLANK('Raw Data'!J16),"None",'Raw Data'!J16))</f>
        <v>None</v>
      </c>
      <c r="K17" s="1" t="str">
        <f aca="false">'Raw Data'!K16</f>
        <v>Completed</v>
      </c>
      <c r="L17" s="1" t="str">
        <f aca="false">'Raw Data'!L16</f>
        <v>Free</v>
      </c>
      <c r="M17" s="1" t="n">
        <f aca="false">'Raw Data'!M16</f>
        <v>36</v>
      </c>
      <c r="N17" s="1" t="str">
        <f aca="false">'Raw Data'!N16</f>
        <v>No</v>
      </c>
    </row>
    <row r="18" customFormat="false" ht="15" hidden="false" customHeight="true" outlineLevel="0" collapsed="false">
      <c r="A18" s="1" t="str">
        <f aca="false">'Raw Data'!A17</f>
        <v>S00014</v>
      </c>
      <c r="B18" s="1" t="str">
        <f aca="false">'Raw Data'!B17</f>
        <v>P6935</v>
      </c>
      <c r="C18" s="1" t="str">
        <f aca="false">'Raw Data'!C17</f>
        <v>yjohnson</v>
      </c>
      <c r="D18" s="1" t="str">
        <f aca="false">'Raw Data'!D17</f>
        <v>BattleZone</v>
      </c>
      <c r="E18" s="1" t="str">
        <f aca="false">'Raw Data'!E17</f>
        <v>PC</v>
      </c>
      <c r="F18" s="1" t="str">
        <f aca="false">'Raw Data'!F17</f>
        <v>East</v>
      </c>
      <c r="G18" s="23" t="n">
        <f aca="false">'Raw Data'!G17</f>
        <v>45794</v>
      </c>
      <c r="H18" s="1" t="n">
        <f aca="false">'Raw Data'!H17</f>
        <v>78</v>
      </c>
      <c r="I18" s="24" t="n">
        <f aca="false">'Raw Data'!I17</f>
        <v>0</v>
      </c>
      <c r="J18" s="1" t="str">
        <f aca="false">IF('Raw Data'!J17="None","None",IF(ISBLANK('Raw Data'!J17),"None",'Raw Data'!J17))</f>
        <v>None</v>
      </c>
      <c r="K18" s="1" t="str">
        <f aca="false">'Raw Data'!K17</f>
        <v>Completed</v>
      </c>
      <c r="L18" s="1" t="str">
        <f aca="false">'Raw Data'!L17</f>
        <v>Free</v>
      </c>
      <c r="M18" s="1" t="n">
        <f aca="false">'Raw Data'!M17</f>
        <v>35</v>
      </c>
      <c r="N18" s="1" t="str">
        <f aca="false">'Raw Data'!N17</f>
        <v>No</v>
      </c>
    </row>
    <row r="19" customFormat="false" ht="15" hidden="false" customHeight="true" outlineLevel="0" collapsed="false">
      <c r="A19" s="1" t="str">
        <f aca="false">'Raw Data'!A18</f>
        <v>S00015</v>
      </c>
      <c r="B19" s="1" t="str">
        <f aca="false">'Raw Data'!B18</f>
        <v>P9150</v>
      </c>
      <c r="C19" s="1" t="str">
        <f aca="false">'Raw Data'!C18</f>
        <v>lesliemiller</v>
      </c>
      <c r="D19" s="1" t="str">
        <f aca="false">'Raw Data'!D18</f>
        <v>Empire Wars</v>
      </c>
      <c r="E19" s="1" t="str">
        <f aca="false">'Raw Data'!E18</f>
        <v>PC</v>
      </c>
      <c r="F19" s="1" t="str">
        <f aca="false">'Raw Data'!F18</f>
        <v>West</v>
      </c>
      <c r="G19" s="23" t="n">
        <f aca="false">'Raw Data'!G18</f>
        <v>45719</v>
      </c>
      <c r="H19" s="1" t="n">
        <f aca="false">'Raw Data'!H18</f>
        <v>151</v>
      </c>
      <c r="I19" s="24" t="n">
        <f aca="false">'Raw Data'!I18</f>
        <v>0</v>
      </c>
      <c r="J19" s="1" t="str">
        <f aca="false">IF('Raw Data'!J18="None","None",IF(ISBLANK('Raw Data'!J18),"None",'Raw Data'!J18))</f>
        <v>None</v>
      </c>
      <c r="K19" s="1" t="str">
        <f aca="false">'Raw Data'!K18</f>
        <v>Completed</v>
      </c>
      <c r="L19" s="1" t="str">
        <f aca="false">'Raw Data'!L18</f>
        <v>Free</v>
      </c>
      <c r="M19" s="1" t="n">
        <f aca="false">'Raw Data'!M18</f>
        <v>47</v>
      </c>
      <c r="N19" s="1" t="str">
        <f aca="false">'Raw Data'!N18</f>
        <v>Yes</v>
      </c>
    </row>
    <row r="20" customFormat="false" ht="15" hidden="false" customHeight="true" outlineLevel="0" collapsed="false">
      <c r="A20" s="1" t="str">
        <f aca="false">'Raw Data'!A19</f>
        <v>S00016</v>
      </c>
      <c r="B20" s="1" t="str">
        <f aca="false">'Raw Data'!B19</f>
        <v>P9796</v>
      </c>
      <c r="C20" s="1" t="str">
        <f aca="false">'Raw Data'!C19</f>
        <v>raynatalie</v>
      </c>
      <c r="D20" s="1" t="str">
        <f aca="false">'Raw Data'!D19</f>
        <v>BattleZone</v>
      </c>
      <c r="E20" s="1" t="str">
        <f aca="false">'Raw Data'!E19</f>
        <v>Mobile</v>
      </c>
      <c r="F20" s="1" t="str">
        <f aca="false">'Raw Data'!F19</f>
        <v>East</v>
      </c>
      <c r="G20" s="23" t="n">
        <f aca="false">'Raw Data'!G19</f>
        <v>45664</v>
      </c>
      <c r="H20" s="1" t="n">
        <f aca="false">'Raw Data'!H19</f>
        <v>163</v>
      </c>
      <c r="I20" s="24" t="n">
        <f aca="false">'Raw Data'!I19</f>
        <v>0</v>
      </c>
      <c r="J20" s="1" t="str">
        <f aca="false">IF('Raw Data'!J19="None","None",IF(ISBLANK('Raw Data'!J19),"None",'Raw Data'!J19))</f>
        <v>None</v>
      </c>
      <c r="K20" s="1" t="str">
        <f aca="false">'Raw Data'!K19</f>
        <v>Completed</v>
      </c>
      <c r="L20" s="1" t="str">
        <f aca="false">'Raw Data'!L19</f>
        <v>Free</v>
      </c>
      <c r="M20" s="1" t="n">
        <f aca="false">'Raw Data'!M19</f>
        <v>50</v>
      </c>
      <c r="N20" s="1" t="str">
        <f aca="false">'Raw Data'!N19</f>
        <v>Yes</v>
      </c>
    </row>
    <row r="21" customFormat="false" ht="15" hidden="false" customHeight="true" outlineLevel="0" collapsed="false">
      <c r="A21" s="1" t="str">
        <f aca="false">'Raw Data'!A20</f>
        <v>S00017</v>
      </c>
      <c r="B21" s="1" t="str">
        <f aca="false">'Raw Data'!B20</f>
        <v>P5317</v>
      </c>
      <c r="C21" s="1" t="str">
        <f aca="false">'Raw Data'!C20</f>
        <v>xtaylor</v>
      </c>
      <c r="D21" s="1" t="str">
        <f aca="false">'Raw Data'!D20</f>
        <v>BattleZone</v>
      </c>
      <c r="E21" s="1" t="str">
        <f aca="false">'Raw Data'!E20</f>
        <v>PC</v>
      </c>
      <c r="F21" s="1" t="str">
        <f aca="false">'Raw Data'!F20</f>
        <v>East</v>
      </c>
      <c r="G21" s="23" t="n">
        <f aca="false">'Raw Data'!G20</f>
        <v>45681</v>
      </c>
      <c r="H21" s="1" t="n">
        <f aca="false">'Raw Data'!H20</f>
        <v>128</v>
      </c>
      <c r="I21" s="24" t="n">
        <f aca="false">'Raw Data'!I20</f>
        <v>0</v>
      </c>
      <c r="J21" s="1" t="str">
        <f aca="false">IF('Raw Data'!J20="None","None",IF(ISBLANK('Raw Data'!J20),"None",'Raw Data'!J20))</f>
        <v>None</v>
      </c>
      <c r="K21" s="1" t="str">
        <f aca="false">'Raw Data'!K20</f>
        <v>Incomplete</v>
      </c>
      <c r="L21" s="1" t="str">
        <f aca="false">'Raw Data'!L20</f>
        <v>Free</v>
      </c>
      <c r="M21" s="1" t="n">
        <f aca="false">'Raw Data'!M20</f>
        <v>7</v>
      </c>
      <c r="N21" s="1" t="str">
        <f aca="false">'Raw Data'!N20</f>
        <v>No</v>
      </c>
    </row>
    <row r="22" customFormat="false" ht="15" hidden="false" customHeight="true" outlineLevel="0" collapsed="false">
      <c r="A22" s="1" t="str">
        <f aca="false">'Raw Data'!A21</f>
        <v>S00018</v>
      </c>
      <c r="B22" s="1" t="str">
        <f aca="false">'Raw Data'!B21</f>
        <v>P5320</v>
      </c>
      <c r="C22" s="1" t="str">
        <f aca="false">'Raw Data'!C21</f>
        <v>aguilarjennifer</v>
      </c>
      <c r="D22" s="1" t="str">
        <f aca="false">'Raw Data'!D21</f>
        <v>Empire Wars</v>
      </c>
      <c r="E22" s="1" t="str">
        <f aca="false">'Raw Data'!E21</f>
        <v>Console</v>
      </c>
      <c r="F22" s="1" t="str">
        <f aca="false">'Raw Data'!F21</f>
        <v>North-East</v>
      </c>
      <c r="G22" s="23" t="n">
        <f aca="false">'Raw Data'!G21</f>
        <v>45685</v>
      </c>
      <c r="H22" s="1" t="n">
        <f aca="false">'Raw Data'!H21</f>
        <v>173</v>
      </c>
      <c r="I22" s="24" t="n">
        <f aca="false">'Raw Data'!I21</f>
        <v>0</v>
      </c>
      <c r="J22" s="1" t="str">
        <f aca="false">IF('Raw Data'!J21="None","None",IF(ISBLANK('Raw Data'!J21),"None",'Raw Data'!J21))</f>
        <v>None</v>
      </c>
      <c r="K22" s="1" t="str">
        <f aca="false">'Raw Data'!K21</f>
        <v>Exited Early</v>
      </c>
      <c r="L22" s="1" t="str">
        <f aca="false">'Raw Data'!L21</f>
        <v>Free</v>
      </c>
      <c r="M22" s="1" t="n">
        <f aca="false">'Raw Data'!M21</f>
        <v>30</v>
      </c>
      <c r="N22" s="1" t="str">
        <f aca="false">'Raw Data'!N21</f>
        <v>Yes</v>
      </c>
    </row>
    <row r="23" customFormat="false" ht="15" hidden="false" customHeight="true" outlineLevel="0" collapsed="false">
      <c r="A23" s="1" t="str">
        <f aca="false">'Raw Data'!A22</f>
        <v>S00019</v>
      </c>
      <c r="B23" s="1" t="str">
        <f aca="false">'Raw Data'!B22</f>
        <v>P8261</v>
      </c>
      <c r="C23" s="1" t="str">
        <f aca="false">'Raw Data'!C22</f>
        <v>lmeza</v>
      </c>
      <c r="D23" s="1" t="str">
        <f aca="false">'Raw Data'!D22</f>
        <v>SpeedX</v>
      </c>
      <c r="E23" s="1" t="str">
        <f aca="false">'Raw Data'!E22</f>
        <v>Mobile</v>
      </c>
      <c r="F23" s="1" t="str">
        <f aca="false">'Raw Data'!F22</f>
        <v>North</v>
      </c>
      <c r="G23" s="23" t="n">
        <f aca="false">'Raw Data'!G22</f>
        <v>45769</v>
      </c>
      <c r="H23" s="1" t="n">
        <f aca="false">'Raw Data'!H22</f>
        <v>49</v>
      </c>
      <c r="I23" s="24" t="n">
        <f aca="false">'Raw Data'!I22</f>
        <v>0</v>
      </c>
      <c r="J23" s="1" t="str">
        <f aca="false">IF('Raw Data'!J22="None","None",IF(ISBLANK('Raw Data'!J22),"None",'Raw Data'!J22))</f>
        <v>None</v>
      </c>
      <c r="K23" s="1" t="str">
        <f aca="false">'Raw Data'!K22</f>
        <v>Exited Early</v>
      </c>
      <c r="L23" s="1" t="str">
        <f aca="false">'Raw Data'!L22</f>
        <v>Free</v>
      </c>
      <c r="M23" s="1" t="n">
        <f aca="false">'Raw Data'!M22</f>
        <v>47</v>
      </c>
      <c r="N23" s="1" t="str">
        <f aca="false">'Raw Data'!N22</f>
        <v>No</v>
      </c>
    </row>
    <row r="24" customFormat="false" ht="15" hidden="false" customHeight="true" outlineLevel="0" collapsed="false">
      <c r="A24" s="1" t="str">
        <f aca="false">'Raw Data'!A23</f>
        <v>S00020</v>
      </c>
      <c r="B24" s="1" t="str">
        <f aca="false">'Raw Data'!B23</f>
        <v>P6549</v>
      </c>
      <c r="C24" s="1" t="str">
        <f aca="false">'Raw Data'!C23</f>
        <v>michael06</v>
      </c>
      <c r="D24" s="1" t="str">
        <f aca="false">'Raw Data'!D23</f>
        <v>Zombie Rush</v>
      </c>
      <c r="E24" s="1" t="str">
        <f aca="false">'Raw Data'!E23</f>
        <v>Mobile</v>
      </c>
      <c r="F24" s="1" t="str">
        <f aca="false">'Raw Data'!F23</f>
        <v>Central</v>
      </c>
      <c r="G24" s="23" t="n">
        <f aca="false">'Raw Data'!G23</f>
        <v>45702</v>
      </c>
      <c r="H24" s="1" t="n">
        <f aca="false">'Raw Data'!H23</f>
        <v>94</v>
      </c>
      <c r="I24" s="24" t="n">
        <f aca="false">'Raw Data'!I23</f>
        <v>0</v>
      </c>
      <c r="J24" s="1" t="str">
        <f aca="false">IF('Raw Data'!J23="None","None",IF(ISBLANK('Raw Data'!J23),"None",'Raw Data'!J23))</f>
        <v>None</v>
      </c>
      <c r="K24" s="1" t="str">
        <f aca="false">'Raw Data'!K23</f>
        <v>Crashed</v>
      </c>
      <c r="L24" s="1" t="str">
        <f aca="false">'Raw Data'!L23</f>
        <v>Free</v>
      </c>
      <c r="M24" s="1" t="n">
        <f aca="false">'Raw Data'!M23</f>
        <v>48</v>
      </c>
      <c r="N24" s="1" t="str">
        <f aca="false">'Raw Data'!N23</f>
        <v>No</v>
      </c>
    </row>
    <row r="25" customFormat="false" ht="15" hidden="false" customHeight="true" outlineLevel="0" collapsed="false">
      <c r="A25" s="1" t="str">
        <f aca="false">'Raw Data'!A24</f>
        <v>S00021</v>
      </c>
      <c r="B25" s="1" t="str">
        <f aca="false">'Raw Data'!B24</f>
        <v>P1758</v>
      </c>
      <c r="C25" s="1" t="str">
        <f aca="false">'Raw Data'!C24</f>
        <v>lawsonderrick</v>
      </c>
      <c r="D25" s="1" t="str">
        <f aca="false">'Raw Data'!D24</f>
        <v>BattleZone</v>
      </c>
      <c r="E25" s="1" t="str">
        <f aca="false">'Raw Data'!E24</f>
        <v>PC</v>
      </c>
      <c r="F25" s="1" t="str">
        <f aca="false">'Raw Data'!F24</f>
        <v>North-East</v>
      </c>
      <c r="G25" s="23" t="n">
        <f aca="false">'Raw Data'!G24</f>
        <v>45808</v>
      </c>
      <c r="H25" s="1" t="n">
        <f aca="false">'Raw Data'!H24</f>
        <v>168</v>
      </c>
      <c r="I25" s="24" t="n">
        <f aca="false">'Raw Data'!I24</f>
        <v>0</v>
      </c>
      <c r="J25" s="1" t="str">
        <f aca="false">IF('Raw Data'!J24="None","None",IF(ISBLANK('Raw Data'!J24),"None",'Raw Data'!J24))</f>
        <v>None</v>
      </c>
      <c r="K25" s="1" t="str">
        <f aca="false">'Raw Data'!K24</f>
        <v>Completed</v>
      </c>
      <c r="L25" s="1" t="str">
        <f aca="false">'Raw Data'!L24</f>
        <v>Free</v>
      </c>
      <c r="M25" s="1" t="n">
        <f aca="false">'Raw Data'!M24</f>
        <v>33</v>
      </c>
      <c r="N25" s="1" t="str">
        <f aca="false">'Raw Data'!N24</f>
        <v>Yes</v>
      </c>
    </row>
    <row r="26" customFormat="false" ht="15" hidden="false" customHeight="true" outlineLevel="0" collapsed="false">
      <c r="A26" s="1" t="str">
        <f aca="false">'Raw Data'!A25</f>
        <v>S00022</v>
      </c>
      <c r="B26" s="1" t="str">
        <f aca="false">'Raw Data'!B25</f>
        <v>P5785</v>
      </c>
      <c r="C26" s="1" t="str">
        <f aca="false">'Raw Data'!C25</f>
        <v>icrawford</v>
      </c>
      <c r="D26" s="1" t="str">
        <f aca="false">'Raw Data'!D25</f>
        <v>Clash of Realms</v>
      </c>
      <c r="E26" s="1" t="str">
        <f aca="false">'Raw Data'!E25</f>
        <v>Console</v>
      </c>
      <c r="F26" s="1" t="str">
        <f aca="false">'Raw Data'!F25</f>
        <v>North</v>
      </c>
      <c r="G26" s="23" t="n">
        <f aca="false">'Raw Data'!G25</f>
        <v>45790</v>
      </c>
      <c r="H26" s="1" t="n">
        <f aca="false">'Raw Data'!H25</f>
        <v>86</v>
      </c>
      <c r="I26" s="24" t="n">
        <f aca="false">'Raw Data'!I25</f>
        <v>0</v>
      </c>
      <c r="J26" s="1" t="str">
        <f aca="false">IF('Raw Data'!J25="None","None",IF(ISBLANK('Raw Data'!J25),"None",'Raw Data'!J25))</f>
        <v>None</v>
      </c>
      <c r="K26" s="1" t="str">
        <f aca="false">'Raw Data'!K25</f>
        <v>Completed</v>
      </c>
      <c r="L26" s="1" t="str">
        <f aca="false">'Raw Data'!L25</f>
        <v>Free</v>
      </c>
      <c r="M26" s="1" t="n">
        <f aca="false">'Raw Data'!M25</f>
        <v>34</v>
      </c>
      <c r="N26" s="1" t="str">
        <f aca="false">'Raw Data'!N25</f>
        <v>No</v>
      </c>
    </row>
    <row r="27" customFormat="false" ht="15" hidden="false" customHeight="true" outlineLevel="0" collapsed="false">
      <c r="A27" s="1" t="str">
        <f aca="false">'Raw Data'!A26</f>
        <v>S00023</v>
      </c>
      <c r="B27" s="1" t="str">
        <f aca="false">'Raw Data'!B26</f>
        <v>P4722</v>
      </c>
      <c r="C27" s="1" t="str">
        <f aca="false">'Raw Data'!C26</f>
        <v>david54</v>
      </c>
      <c r="D27" s="1" t="str">
        <f aca="false">'Raw Data'!D26</f>
        <v>Zombie Rush</v>
      </c>
      <c r="E27" s="1" t="str">
        <f aca="false">'Raw Data'!E26</f>
        <v>Console</v>
      </c>
      <c r="F27" s="1" t="str">
        <f aca="false">'Raw Data'!F26</f>
        <v>North</v>
      </c>
      <c r="G27" s="23" t="n">
        <f aca="false">'Raw Data'!G26</f>
        <v>45738</v>
      </c>
      <c r="H27" s="1" t="n">
        <f aca="false">'Raw Data'!H26</f>
        <v>58</v>
      </c>
      <c r="I27" s="24" t="n">
        <f aca="false">'Raw Data'!I26</f>
        <v>0</v>
      </c>
      <c r="J27" s="1" t="str">
        <f aca="false">IF('Raw Data'!J26="None","None",IF(ISBLANK('Raw Data'!J26),"None",'Raw Data'!J26))</f>
        <v>None</v>
      </c>
      <c r="K27" s="1" t="str">
        <f aca="false">'Raw Data'!K26</f>
        <v>Completed</v>
      </c>
      <c r="L27" s="1" t="str">
        <f aca="false">'Raw Data'!L26</f>
        <v>Free</v>
      </c>
      <c r="M27" s="1" t="n">
        <f aca="false">'Raw Data'!M26</f>
        <v>37</v>
      </c>
      <c r="N27" s="1" t="str">
        <f aca="false">'Raw Data'!N26</f>
        <v>No</v>
      </c>
    </row>
    <row r="28" customFormat="false" ht="15" hidden="false" customHeight="true" outlineLevel="0" collapsed="false">
      <c r="A28" s="1" t="str">
        <f aca="false">'Raw Data'!A27</f>
        <v>S00024</v>
      </c>
      <c r="B28" s="1" t="str">
        <f aca="false">'Raw Data'!B27</f>
        <v>P8146</v>
      </c>
      <c r="C28" s="1" t="str">
        <f aca="false">'Raw Data'!C27</f>
        <v>rcraig</v>
      </c>
      <c r="D28" s="1" t="str">
        <f aca="false">'Raw Data'!D27</f>
        <v>SpeedX</v>
      </c>
      <c r="E28" s="1" t="str">
        <f aca="false">'Raw Data'!E27</f>
        <v>PC</v>
      </c>
      <c r="F28" s="1" t="str">
        <f aca="false">'Raw Data'!F27</f>
        <v>West</v>
      </c>
      <c r="G28" s="23" t="n">
        <f aca="false">'Raw Data'!G27</f>
        <v>45740</v>
      </c>
      <c r="H28" s="1" t="n">
        <f aca="false">'Raw Data'!H27</f>
        <v>121</v>
      </c>
      <c r="I28" s="24" t="n">
        <f aca="false">'Raw Data'!I27</f>
        <v>7.28</v>
      </c>
      <c r="J28" s="1" t="str">
        <f aca="false">IF('Raw Data'!J27="None","None",IF(ISBLANK('Raw Data'!J27),"None",'Raw Data'!J27))</f>
        <v>Boosters</v>
      </c>
      <c r="K28" s="1" t="str">
        <f aca="false">'Raw Data'!K27</f>
        <v>Completed</v>
      </c>
      <c r="L28" s="1" t="str">
        <f aca="false">'Raw Data'!L27</f>
        <v>Paid</v>
      </c>
      <c r="M28" s="1" t="n">
        <f aca="false">'Raw Data'!M27</f>
        <v>34</v>
      </c>
      <c r="N28" s="1" t="str">
        <f aca="false">'Raw Data'!N27</f>
        <v>No</v>
      </c>
    </row>
    <row r="29" customFormat="false" ht="15" hidden="false" customHeight="true" outlineLevel="0" collapsed="false">
      <c r="A29" s="1" t="str">
        <f aca="false">'Raw Data'!A28</f>
        <v>S00025</v>
      </c>
      <c r="B29" s="1" t="str">
        <f aca="false">'Raw Data'!B28</f>
        <v>P2146</v>
      </c>
      <c r="C29" s="1" t="str">
        <f aca="false">'Raw Data'!C28</f>
        <v>kvasquez</v>
      </c>
      <c r="D29" s="1" t="str">
        <f aca="false">'Raw Data'!D28</f>
        <v>Zombie Rush</v>
      </c>
      <c r="E29" s="1" t="str">
        <f aca="false">'Raw Data'!E28</f>
        <v>PC</v>
      </c>
      <c r="F29" s="1" t="str">
        <f aca="false">'Raw Data'!F28</f>
        <v>South</v>
      </c>
      <c r="G29" s="23" t="n">
        <f aca="false">'Raw Data'!G28</f>
        <v>45781</v>
      </c>
      <c r="H29" s="1" t="n">
        <f aca="false">'Raw Data'!H28</f>
        <v>51</v>
      </c>
      <c r="I29" s="24" t="n">
        <f aca="false">'Raw Data'!I28</f>
        <v>0</v>
      </c>
      <c r="J29" s="1" t="str">
        <f aca="false">IF('Raw Data'!J28="None","None",IF(ISBLANK('Raw Data'!J28),"None",'Raw Data'!J28))</f>
        <v>None</v>
      </c>
      <c r="K29" s="1" t="str">
        <f aca="false">'Raw Data'!K28</f>
        <v>Crashed</v>
      </c>
      <c r="L29" s="1" t="str">
        <f aca="false">'Raw Data'!L28</f>
        <v>Free</v>
      </c>
      <c r="M29" s="1" t="n">
        <f aca="false">'Raw Data'!M28</f>
        <v>41</v>
      </c>
      <c r="N29" s="1" t="str">
        <f aca="false">'Raw Data'!N28</f>
        <v>No</v>
      </c>
    </row>
    <row r="30" customFormat="false" ht="15" hidden="false" customHeight="true" outlineLevel="0" collapsed="false">
      <c r="A30" s="1" t="str">
        <f aca="false">'Raw Data'!A29</f>
        <v>S00026</v>
      </c>
      <c r="B30" s="1" t="str">
        <f aca="false">'Raw Data'!B29</f>
        <v>P3548</v>
      </c>
      <c r="C30" s="1" t="str">
        <f aca="false">'Raw Data'!C29</f>
        <v>erica07</v>
      </c>
      <c r="D30" s="1" t="str">
        <f aca="false">'Raw Data'!D29</f>
        <v>Empire Wars</v>
      </c>
      <c r="E30" s="1" t="str">
        <f aca="false">'Raw Data'!E29</f>
        <v>PC</v>
      </c>
      <c r="F30" s="1" t="str">
        <f aca="false">'Raw Data'!F29</f>
        <v>North-East</v>
      </c>
      <c r="G30" s="23" t="n">
        <f aca="false">'Raw Data'!G29</f>
        <v>45741</v>
      </c>
      <c r="H30" s="1" t="n">
        <f aca="false">'Raw Data'!H29</f>
        <v>96</v>
      </c>
      <c r="I30" s="24" t="n">
        <f aca="false">'Raw Data'!I29</f>
        <v>0</v>
      </c>
      <c r="J30" s="1" t="str">
        <f aca="false">IF('Raw Data'!J29="None","None",IF(ISBLANK('Raw Data'!J29),"None",'Raw Data'!J29))</f>
        <v>None</v>
      </c>
      <c r="K30" s="1" t="str">
        <f aca="false">'Raw Data'!K29</f>
        <v>Completed</v>
      </c>
      <c r="L30" s="1" t="str">
        <f aca="false">'Raw Data'!L29</f>
        <v>Paid</v>
      </c>
      <c r="M30" s="1" t="n">
        <f aca="false">'Raw Data'!M29</f>
        <v>17</v>
      </c>
      <c r="N30" s="1" t="str">
        <f aca="false">'Raw Data'!N29</f>
        <v>No</v>
      </c>
    </row>
    <row r="31" customFormat="false" ht="15" hidden="false" customHeight="true" outlineLevel="0" collapsed="false">
      <c r="A31" s="1" t="str">
        <f aca="false">'Raw Data'!A30</f>
        <v>S00027</v>
      </c>
      <c r="B31" s="1" t="str">
        <f aca="false">'Raw Data'!B30</f>
        <v>P2609</v>
      </c>
      <c r="C31" s="1" t="str">
        <f aca="false">'Raw Data'!C30</f>
        <v>owensoscar</v>
      </c>
      <c r="D31" s="1" t="str">
        <f aca="false">'Raw Data'!D30</f>
        <v>Empire Wars</v>
      </c>
      <c r="E31" s="1" t="str">
        <f aca="false">'Raw Data'!E30</f>
        <v>Mobile</v>
      </c>
      <c r="F31" s="1" t="str">
        <f aca="false">'Raw Data'!F30</f>
        <v>North-East</v>
      </c>
      <c r="G31" s="23" t="n">
        <f aca="false">'Raw Data'!G30</f>
        <v>45779</v>
      </c>
      <c r="H31" s="1" t="n">
        <f aca="false">'Raw Data'!H30</f>
        <v>173</v>
      </c>
      <c r="I31" s="24" t="n">
        <f aca="false">'Raw Data'!I30</f>
        <v>0</v>
      </c>
      <c r="J31" s="1" t="str">
        <f aca="false">IF('Raw Data'!J30="None","None",IF(ISBLANK('Raw Data'!J30),"None",'Raw Data'!J30))</f>
        <v>None</v>
      </c>
      <c r="K31" s="1" t="str">
        <f aca="false">'Raw Data'!K30</f>
        <v>Completed</v>
      </c>
      <c r="L31" s="1" t="str">
        <f aca="false">'Raw Data'!L30</f>
        <v>Free</v>
      </c>
      <c r="M31" s="1" t="n">
        <f aca="false">'Raw Data'!M30</f>
        <v>8</v>
      </c>
      <c r="N31" s="1" t="str">
        <f aca="false">'Raw Data'!N30</f>
        <v>Yes</v>
      </c>
    </row>
    <row r="32" customFormat="false" ht="15" hidden="false" customHeight="true" outlineLevel="0" collapsed="false">
      <c r="A32" s="1" t="str">
        <f aca="false">'Raw Data'!A31</f>
        <v>S00028</v>
      </c>
      <c r="B32" s="1" t="str">
        <f aca="false">'Raw Data'!B31</f>
        <v>P4851</v>
      </c>
      <c r="C32" s="1" t="str">
        <f aca="false">'Raw Data'!C31</f>
        <v>wlawson</v>
      </c>
      <c r="D32" s="1" t="str">
        <f aca="false">'Raw Data'!D31</f>
        <v>SpeedX</v>
      </c>
      <c r="E32" s="1" t="str">
        <f aca="false">'Raw Data'!E31</f>
        <v>Mobile</v>
      </c>
      <c r="F32" s="1" t="str">
        <f aca="false">'Raw Data'!F31</f>
        <v>North-East</v>
      </c>
      <c r="G32" s="23" t="n">
        <f aca="false">'Raw Data'!G31</f>
        <v>45692</v>
      </c>
      <c r="H32" s="1" t="n">
        <f aca="false">'Raw Data'!H31</f>
        <v>105</v>
      </c>
      <c r="I32" s="24" t="n">
        <f aca="false">'Raw Data'!I31</f>
        <v>0</v>
      </c>
      <c r="J32" s="1" t="str">
        <f aca="false">IF('Raw Data'!J31="None","None",IF(ISBLANK('Raw Data'!J31),"None",'Raw Data'!J31))</f>
        <v>None</v>
      </c>
      <c r="K32" s="1" t="str">
        <f aca="false">'Raw Data'!K31</f>
        <v>Completed</v>
      </c>
      <c r="L32" s="1" t="str">
        <f aca="false">'Raw Data'!L31</f>
        <v>Free</v>
      </c>
      <c r="M32" s="1" t="n">
        <f aca="false">'Raw Data'!M31</f>
        <v>11</v>
      </c>
      <c r="N32" s="1" t="str">
        <f aca="false">'Raw Data'!N31</f>
        <v>No</v>
      </c>
    </row>
    <row r="33" customFormat="false" ht="15" hidden="false" customHeight="true" outlineLevel="0" collapsed="false">
      <c r="A33" s="1" t="str">
        <f aca="false">'Raw Data'!A32</f>
        <v>S00029</v>
      </c>
      <c r="B33" s="1" t="str">
        <f aca="false">'Raw Data'!B32</f>
        <v>P5046</v>
      </c>
      <c r="C33" s="1" t="str">
        <f aca="false">'Raw Data'!C32</f>
        <v>kevinruiz</v>
      </c>
      <c r="D33" s="1" t="str">
        <f aca="false">'Raw Data'!D32</f>
        <v>Clash of Realms</v>
      </c>
      <c r="E33" s="1" t="str">
        <f aca="false">'Raw Data'!E32</f>
        <v>Console</v>
      </c>
      <c r="F33" s="1" t="str">
        <f aca="false">'Raw Data'!F32</f>
        <v>North-East</v>
      </c>
      <c r="G33" s="23" t="n">
        <f aca="false">'Raw Data'!G32</f>
        <v>45763</v>
      </c>
      <c r="H33" s="1" t="n">
        <f aca="false">'Raw Data'!H32</f>
        <v>16</v>
      </c>
      <c r="I33" s="24" t="n">
        <f aca="false">'Raw Data'!I32</f>
        <v>0</v>
      </c>
      <c r="J33" s="1" t="str">
        <f aca="false">IF('Raw Data'!J32="None","None",IF(ISBLANK('Raw Data'!J32),"None",'Raw Data'!J32))</f>
        <v>None</v>
      </c>
      <c r="K33" s="1" t="str">
        <f aca="false">'Raw Data'!K32</f>
        <v>Completed</v>
      </c>
      <c r="L33" s="1" t="str">
        <f aca="false">'Raw Data'!L32</f>
        <v>Free</v>
      </c>
      <c r="M33" s="1" t="n">
        <f aca="false">'Raw Data'!M32</f>
        <v>26</v>
      </c>
      <c r="N33" s="1" t="str">
        <f aca="false">'Raw Data'!N32</f>
        <v>No</v>
      </c>
    </row>
    <row r="34" customFormat="false" ht="15" hidden="false" customHeight="true" outlineLevel="0" collapsed="false">
      <c r="A34" s="1" t="str">
        <f aca="false">'Raw Data'!A33</f>
        <v>S00030</v>
      </c>
      <c r="B34" s="1" t="str">
        <f aca="false">'Raw Data'!B33</f>
        <v>P4408</v>
      </c>
      <c r="C34" s="1" t="str">
        <f aca="false">'Raw Data'!C33</f>
        <v>dlee</v>
      </c>
      <c r="D34" s="1" t="str">
        <f aca="false">'Raw Data'!D33</f>
        <v>SpeedX</v>
      </c>
      <c r="E34" s="1" t="str">
        <f aca="false">'Raw Data'!E33</f>
        <v>Mobile</v>
      </c>
      <c r="F34" s="1" t="str">
        <f aca="false">'Raw Data'!F33</f>
        <v>South</v>
      </c>
      <c r="G34" s="23" t="n">
        <f aca="false">'Raw Data'!G33</f>
        <v>45818</v>
      </c>
      <c r="H34" s="1" t="n">
        <f aca="false">'Raw Data'!H33</f>
        <v>135</v>
      </c>
      <c r="I34" s="24" t="n">
        <f aca="false">'Raw Data'!I33</f>
        <v>0</v>
      </c>
      <c r="J34" s="1" t="str">
        <f aca="false">IF('Raw Data'!J33="None","None",IF(ISBLANK('Raw Data'!J33),"None",'Raw Data'!J33))</f>
        <v>None</v>
      </c>
      <c r="K34" s="1" t="str">
        <f aca="false">'Raw Data'!K33</f>
        <v>Completed</v>
      </c>
      <c r="L34" s="1" t="str">
        <f aca="false">'Raw Data'!L33</f>
        <v>Free</v>
      </c>
      <c r="M34" s="1" t="n">
        <f aca="false">'Raw Data'!M33</f>
        <v>12</v>
      </c>
      <c r="N34" s="1" t="str">
        <f aca="false">'Raw Data'!N33</f>
        <v>No</v>
      </c>
    </row>
    <row r="35" customFormat="false" ht="15" hidden="false" customHeight="true" outlineLevel="0" collapsed="false">
      <c r="A35" s="1" t="str">
        <f aca="false">'Raw Data'!A34</f>
        <v>S00031</v>
      </c>
      <c r="B35" s="1" t="str">
        <f aca="false">'Raw Data'!B34</f>
        <v>P3683</v>
      </c>
      <c r="C35" s="1" t="str">
        <f aca="false">'Raw Data'!C34</f>
        <v>rebekah64</v>
      </c>
      <c r="D35" s="1" t="str">
        <f aca="false">'Raw Data'!D34</f>
        <v>Empire Wars</v>
      </c>
      <c r="E35" s="1" t="str">
        <f aca="false">'Raw Data'!E34</f>
        <v>Mobile</v>
      </c>
      <c r="F35" s="1" t="str">
        <f aca="false">'Raw Data'!F34</f>
        <v>North-East</v>
      </c>
      <c r="G35" s="23" t="n">
        <f aca="false">'Raw Data'!G34</f>
        <v>45694</v>
      </c>
      <c r="H35" s="1" t="n">
        <f aca="false">'Raw Data'!H34</f>
        <v>96</v>
      </c>
      <c r="I35" s="24" t="n">
        <f aca="false">'Raw Data'!I34</f>
        <v>0</v>
      </c>
      <c r="J35" s="1" t="str">
        <f aca="false">IF('Raw Data'!J34="None","None",IF(ISBLANK('Raw Data'!J34),"None",'Raw Data'!J34))</f>
        <v>None</v>
      </c>
      <c r="K35" s="1" t="str">
        <f aca="false">'Raw Data'!K34</f>
        <v>Completed</v>
      </c>
      <c r="L35" s="1" t="str">
        <f aca="false">'Raw Data'!L34</f>
        <v>Free</v>
      </c>
      <c r="M35" s="1" t="n">
        <f aca="false">'Raw Data'!M34</f>
        <v>43</v>
      </c>
      <c r="N35" s="1" t="str">
        <f aca="false">'Raw Data'!N34</f>
        <v>No</v>
      </c>
    </row>
    <row r="36" customFormat="false" ht="15" hidden="false" customHeight="true" outlineLevel="0" collapsed="false">
      <c r="A36" s="1" t="str">
        <f aca="false">'Raw Data'!A35</f>
        <v>S00032</v>
      </c>
      <c r="B36" s="1" t="str">
        <f aca="false">'Raw Data'!B35</f>
        <v>P6285</v>
      </c>
      <c r="C36" s="1" t="str">
        <f aca="false">'Raw Data'!C35</f>
        <v>katherinejohnston</v>
      </c>
      <c r="D36" s="1" t="str">
        <f aca="false">'Raw Data'!D35</f>
        <v>SpeedX</v>
      </c>
      <c r="E36" s="1" t="str">
        <f aca="false">'Raw Data'!E35</f>
        <v>PC</v>
      </c>
      <c r="F36" s="1" t="str">
        <f aca="false">'Raw Data'!F35</f>
        <v>North-East</v>
      </c>
      <c r="G36" s="23" t="n">
        <f aca="false">'Raw Data'!G35</f>
        <v>45708</v>
      </c>
      <c r="H36" s="1" t="n">
        <f aca="false">'Raw Data'!H35</f>
        <v>16</v>
      </c>
      <c r="I36" s="24" t="n">
        <f aca="false">'Raw Data'!I35</f>
        <v>0</v>
      </c>
      <c r="J36" s="1" t="str">
        <f aca="false">IF('Raw Data'!J35="None","None",IF(ISBLANK('Raw Data'!J35),"None",'Raw Data'!J35))</f>
        <v>None</v>
      </c>
      <c r="K36" s="1" t="str">
        <f aca="false">'Raw Data'!K35</f>
        <v>Completed</v>
      </c>
      <c r="L36" s="1" t="str">
        <f aca="false">'Raw Data'!L35</f>
        <v>Free</v>
      </c>
      <c r="M36" s="1" t="n">
        <f aca="false">'Raw Data'!M35</f>
        <v>16</v>
      </c>
      <c r="N36" s="1" t="str">
        <f aca="false">'Raw Data'!N35</f>
        <v>No</v>
      </c>
    </row>
    <row r="37" customFormat="false" ht="15" hidden="false" customHeight="true" outlineLevel="0" collapsed="false">
      <c r="A37" s="1" t="str">
        <f aca="false">'Raw Data'!A36</f>
        <v>S00033</v>
      </c>
      <c r="B37" s="1" t="str">
        <f aca="false">'Raw Data'!B36</f>
        <v>P4554</v>
      </c>
      <c r="C37" s="1" t="str">
        <f aca="false">'Raw Data'!C36</f>
        <v>odavis</v>
      </c>
      <c r="D37" s="1" t="str">
        <f aca="false">'Raw Data'!D36</f>
        <v>Clash of Realms</v>
      </c>
      <c r="E37" s="1" t="str">
        <f aca="false">'Raw Data'!E36</f>
        <v>PC</v>
      </c>
      <c r="F37" s="1" t="str">
        <f aca="false">'Raw Data'!F36</f>
        <v>North-East</v>
      </c>
      <c r="G37" s="23" t="n">
        <f aca="false">'Raw Data'!G36</f>
        <v>45696</v>
      </c>
      <c r="H37" s="1" t="n">
        <f aca="false">'Raw Data'!H36</f>
        <v>165</v>
      </c>
      <c r="I37" s="24" t="n">
        <f aca="false">'Raw Data'!I36</f>
        <v>0</v>
      </c>
      <c r="J37" s="1" t="str">
        <f aca="false">IF('Raw Data'!J36="None","None",IF(ISBLANK('Raw Data'!J36),"None",'Raw Data'!J36))</f>
        <v>None</v>
      </c>
      <c r="K37" s="1" t="str">
        <f aca="false">'Raw Data'!K36</f>
        <v>Completed</v>
      </c>
      <c r="L37" s="1" t="str">
        <f aca="false">'Raw Data'!L36</f>
        <v>Free</v>
      </c>
      <c r="M37" s="1" t="n">
        <f aca="false">'Raw Data'!M36</f>
        <v>23</v>
      </c>
      <c r="N37" s="1" t="str">
        <f aca="false">'Raw Data'!N36</f>
        <v>Yes</v>
      </c>
    </row>
    <row r="38" customFormat="false" ht="15" hidden="false" customHeight="true" outlineLevel="0" collapsed="false">
      <c r="A38" s="1" t="str">
        <f aca="false">'Raw Data'!A37</f>
        <v>S00034</v>
      </c>
      <c r="B38" s="1" t="str">
        <f aca="false">'Raw Data'!B37</f>
        <v>P6724</v>
      </c>
      <c r="C38" s="1" t="str">
        <f aca="false">'Raw Data'!C37</f>
        <v>tylermiller</v>
      </c>
      <c r="D38" s="1" t="str">
        <f aca="false">'Raw Data'!D37</f>
        <v>SpeedX</v>
      </c>
      <c r="E38" s="1" t="str">
        <f aca="false">'Raw Data'!E37</f>
        <v>PC</v>
      </c>
      <c r="F38" s="1" t="str">
        <f aca="false">'Raw Data'!F37</f>
        <v>South</v>
      </c>
      <c r="G38" s="23" t="n">
        <f aca="false">'Raw Data'!G37</f>
        <v>45797</v>
      </c>
      <c r="H38" s="1" t="n">
        <f aca="false">'Raw Data'!H37</f>
        <v>25</v>
      </c>
      <c r="I38" s="24" t="n">
        <f aca="false">'Raw Data'!I37</f>
        <v>0</v>
      </c>
      <c r="J38" s="1" t="str">
        <f aca="false">IF('Raw Data'!J37="None","None",IF(ISBLANK('Raw Data'!J37),"None",'Raw Data'!J37))</f>
        <v>None</v>
      </c>
      <c r="K38" s="1" t="str">
        <f aca="false">'Raw Data'!K37</f>
        <v>Crashed</v>
      </c>
      <c r="L38" s="1" t="str">
        <f aca="false">'Raw Data'!L37</f>
        <v>Free</v>
      </c>
      <c r="M38" s="1" t="n">
        <f aca="false">'Raw Data'!M37</f>
        <v>26</v>
      </c>
      <c r="N38" s="1" t="str">
        <f aca="false">'Raw Data'!N37</f>
        <v>No</v>
      </c>
    </row>
    <row r="39" customFormat="false" ht="15" hidden="false" customHeight="true" outlineLevel="0" collapsed="false">
      <c r="A39" s="1" t="str">
        <f aca="false">'Raw Data'!A38</f>
        <v>S00035</v>
      </c>
      <c r="B39" s="1" t="str">
        <f aca="false">'Raw Data'!B38</f>
        <v>P2965</v>
      </c>
      <c r="C39" s="1" t="str">
        <f aca="false">'Raw Data'!C38</f>
        <v>sonya77</v>
      </c>
      <c r="D39" s="1" t="str">
        <f aca="false">'Raw Data'!D38</f>
        <v>SpeedX</v>
      </c>
      <c r="E39" s="1" t="str">
        <f aca="false">'Raw Data'!E38</f>
        <v>PC</v>
      </c>
      <c r="F39" s="1" t="str">
        <f aca="false">'Raw Data'!F38</f>
        <v>South</v>
      </c>
      <c r="G39" s="23" t="n">
        <f aca="false">'Raw Data'!G38</f>
        <v>45729</v>
      </c>
      <c r="H39" s="1" t="n">
        <f aca="false">'Raw Data'!H38</f>
        <v>140</v>
      </c>
      <c r="I39" s="24" t="n">
        <f aca="false">'Raw Data'!I38</f>
        <v>0</v>
      </c>
      <c r="J39" s="1" t="str">
        <f aca="false">IF('Raw Data'!J38="None","None",IF(ISBLANK('Raw Data'!J38),"None",'Raw Data'!J38))</f>
        <v>None</v>
      </c>
      <c r="K39" s="1" t="str">
        <f aca="false">'Raw Data'!K38</f>
        <v>Completed</v>
      </c>
      <c r="L39" s="1" t="str">
        <f aca="false">'Raw Data'!L38</f>
        <v>Free</v>
      </c>
      <c r="M39" s="1" t="n">
        <f aca="false">'Raw Data'!M38</f>
        <v>26</v>
      </c>
      <c r="N39" s="1" t="str">
        <f aca="false">'Raw Data'!N38</f>
        <v>No</v>
      </c>
    </row>
    <row r="40" customFormat="false" ht="15" hidden="false" customHeight="true" outlineLevel="0" collapsed="false">
      <c r="A40" s="1" t="str">
        <f aca="false">'Raw Data'!A39</f>
        <v>S00036</v>
      </c>
      <c r="B40" s="1" t="str">
        <f aca="false">'Raw Data'!B39</f>
        <v>P4961</v>
      </c>
      <c r="C40" s="1" t="str">
        <f aca="false">'Raw Data'!C39</f>
        <v>sandyherman</v>
      </c>
      <c r="D40" s="1" t="str">
        <f aca="false">'Raw Data'!D39</f>
        <v>Empire Wars</v>
      </c>
      <c r="E40" s="1" t="str">
        <f aca="false">'Raw Data'!E39</f>
        <v>Mobile</v>
      </c>
      <c r="F40" s="1" t="str">
        <f aca="false">'Raw Data'!F39</f>
        <v>Central</v>
      </c>
      <c r="G40" s="23" t="n">
        <f aca="false">'Raw Data'!G39</f>
        <v>45750</v>
      </c>
      <c r="H40" s="1" t="n">
        <f aca="false">'Raw Data'!H39</f>
        <v>86</v>
      </c>
      <c r="I40" s="24" t="n">
        <f aca="false">'Raw Data'!I39</f>
        <v>0</v>
      </c>
      <c r="J40" s="1" t="str">
        <f aca="false">IF('Raw Data'!J39="None","None",IF(ISBLANK('Raw Data'!J39),"None",'Raw Data'!J39))</f>
        <v>None</v>
      </c>
      <c r="K40" s="1" t="str">
        <f aca="false">'Raw Data'!K39</f>
        <v>Completed</v>
      </c>
      <c r="L40" s="1" t="str">
        <f aca="false">'Raw Data'!L39</f>
        <v>Free</v>
      </c>
      <c r="M40" s="1" t="n">
        <f aca="false">'Raw Data'!M39</f>
        <v>47</v>
      </c>
      <c r="N40" s="1" t="str">
        <f aca="false">'Raw Data'!N39</f>
        <v>No</v>
      </c>
    </row>
    <row r="41" customFormat="false" ht="15" hidden="false" customHeight="true" outlineLevel="0" collapsed="false">
      <c r="A41" s="1" t="str">
        <f aca="false">'Raw Data'!A40</f>
        <v>S00037</v>
      </c>
      <c r="B41" s="1" t="str">
        <f aca="false">'Raw Data'!B40</f>
        <v>P2861</v>
      </c>
      <c r="C41" s="1" t="str">
        <f aca="false">'Raw Data'!C40</f>
        <v>leahlee</v>
      </c>
      <c r="D41" s="1" t="str">
        <f aca="false">'Raw Data'!D40</f>
        <v>Clash of Realms</v>
      </c>
      <c r="E41" s="1" t="str">
        <f aca="false">'Raw Data'!E40</f>
        <v>PC</v>
      </c>
      <c r="F41" s="1" t="str">
        <f aca="false">'Raw Data'!F40</f>
        <v>North</v>
      </c>
      <c r="G41" s="23" t="n">
        <f aca="false">'Raw Data'!G40</f>
        <v>45721</v>
      </c>
      <c r="H41" s="1" t="n">
        <f aca="false">'Raw Data'!H40</f>
        <v>149</v>
      </c>
      <c r="I41" s="24" t="n">
        <f aca="false">'Raw Data'!I40</f>
        <v>0</v>
      </c>
      <c r="J41" s="1" t="str">
        <f aca="false">IF('Raw Data'!J40="None","None",IF(ISBLANK('Raw Data'!J40),"None",'Raw Data'!J40))</f>
        <v>None</v>
      </c>
      <c r="K41" s="1" t="str">
        <f aca="false">'Raw Data'!K40</f>
        <v>Completed</v>
      </c>
      <c r="L41" s="1" t="str">
        <f aca="false">'Raw Data'!L40</f>
        <v>Free</v>
      </c>
      <c r="M41" s="1" t="n">
        <f aca="false">'Raw Data'!M40</f>
        <v>48</v>
      </c>
      <c r="N41" s="1" t="str">
        <f aca="false">'Raw Data'!N40</f>
        <v>No</v>
      </c>
    </row>
    <row r="42" customFormat="false" ht="15" hidden="false" customHeight="true" outlineLevel="0" collapsed="false">
      <c r="A42" s="1" t="str">
        <f aca="false">'Raw Data'!A41</f>
        <v>S00038</v>
      </c>
      <c r="B42" s="1" t="str">
        <f aca="false">'Raw Data'!B41</f>
        <v>P7945</v>
      </c>
      <c r="C42" s="1" t="str">
        <f aca="false">'Raw Data'!C41</f>
        <v>richardhooper</v>
      </c>
      <c r="D42" s="1" t="str">
        <f aca="false">'Raw Data'!D41</f>
        <v>BattleZone</v>
      </c>
      <c r="E42" s="1" t="str">
        <f aca="false">'Raw Data'!E41</f>
        <v>Console</v>
      </c>
      <c r="F42" s="1" t="str">
        <f aca="false">'Raw Data'!F41</f>
        <v>Central</v>
      </c>
      <c r="G42" s="23" t="n">
        <f aca="false">'Raw Data'!G41</f>
        <v>45790</v>
      </c>
      <c r="H42" s="1" t="n">
        <f aca="false">'Raw Data'!H41</f>
        <v>121</v>
      </c>
      <c r="I42" s="24" t="n">
        <f aca="false">'Raw Data'!I41</f>
        <v>0</v>
      </c>
      <c r="J42" s="1" t="str">
        <f aca="false">IF('Raw Data'!J41="None","None",IF(ISBLANK('Raw Data'!J41),"None",'Raw Data'!J41))</f>
        <v>None</v>
      </c>
      <c r="K42" s="1" t="str">
        <f aca="false">'Raw Data'!K41</f>
        <v>Completed</v>
      </c>
      <c r="L42" s="1" t="str">
        <f aca="false">'Raw Data'!L41</f>
        <v>Free</v>
      </c>
      <c r="M42" s="1" t="n">
        <f aca="false">'Raw Data'!M41</f>
        <v>14</v>
      </c>
      <c r="N42" s="1" t="str">
        <f aca="false">'Raw Data'!N41</f>
        <v>No</v>
      </c>
    </row>
    <row r="43" customFormat="false" ht="15" hidden="false" customHeight="true" outlineLevel="0" collapsed="false">
      <c r="A43" s="1" t="str">
        <f aca="false">'Raw Data'!A42</f>
        <v>S00039</v>
      </c>
      <c r="B43" s="1" t="str">
        <f aca="false">'Raw Data'!B42</f>
        <v>P3668</v>
      </c>
      <c r="C43" s="1" t="str">
        <f aca="false">'Raw Data'!C42</f>
        <v>jenniferwilcox</v>
      </c>
      <c r="D43" s="1" t="str">
        <f aca="false">'Raw Data'!D42</f>
        <v>SpeedX</v>
      </c>
      <c r="E43" s="1" t="str">
        <f aca="false">'Raw Data'!E42</f>
        <v>Mobile</v>
      </c>
      <c r="F43" s="1" t="str">
        <f aca="false">'Raw Data'!F42</f>
        <v>Central</v>
      </c>
      <c r="G43" s="23" t="n">
        <f aca="false">'Raw Data'!G42</f>
        <v>45702</v>
      </c>
      <c r="H43" s="1" t="n">
        <f aca="false">'Raw Data'!H42</f>
        <v>154</v>
      </c>
      <c r="I43" s="24" t="n">
        <f aca="false">'Raw Data'!I42</f>
        <v>0</v>
      </c>
      <c r="J43" s="1" t="str">
        <f aca="false">IF('Raw Data'!J42="None","None",IF(ISBLANK('Raw Data'!J42),"None",'Raw Data'!J42))</f>
        <v>None</v>
      </c>
      <c r="K43" s="1" t="str">
        <f aca="false">'Raw Data'!K42</f>
        <v>Completed</v>
      </c>
      <c r="L43" s="1" t="str">
        <f aca="false">'Raw Data'!L42</f>
        <v>Free</v>
      </c>
      <c r="M43" s="1" t="n">
        <f aca="false">'Raw Data'!M42</f>
        <v>44</v>
      </c>
      <c r="N43" s="1" t="str">
        <f aca="false">'Raw Data'!N42</f>
        <v>Yes</v>
      </c>
    </row>
    <row r="44" customFormat="false" ht="15" hidden="false" customHeight="true" outlineLevel="0" collapsed="false">
      <c r="A44" s="1" t="str">
        <f aca="false">'Raw Data'!A43</f>
        <v>S00040</v>
      </c>
      <c r="B44" s="1" t="str">
        <f aca="false">'Raw Data'!B43</f>
        <v>P3875</v>
      </c>
      <c r="C44" s="1" t="str">
        <f aca="false">'Raw Data'!C43</f>
        <v>bruce09</v>
      </c>
      <c r="D44" s="1" t="str">
        <f aca="false">'Raw Data'!D43</f>
        <v>SpeedX</v>
      </c>
      <c r="E44" s="1" t="str">
        <f aca="false">'Raw Data'!E43</f>
        <v>PC</v>
      </c>
      <c r="F44" s="1" t="str">
        <f aca="false">'Raw Data'!F43</f>
        <v>North-East</v>
      </c>
      <c r="G44" s="23" t="n">
        <f aca="false">'Raw Data'!G43</f>
        <v>45673</v>
      </c>
      <c r="H44" s="1" t="n">
        <f aca="false">'Raw Data'!H43</f>
        <v>82</v>
      </c>
      <c r="I44" s="24" t="n">
        <f aca="false">'Raw Data'!I43</f>
        <v>24.1</v>
      </c>
      <c r="J44" s="1" t="str">
        <f aca="false">IF('Raw Data'!J43="None","None",IF(ISBLANK('Raw Data'!J43),"None",'Raw Data'!J43))</f>
        <v>Skins</v>
      </c>
      <c r="K44" s="1" t="str">
        <f aca="false">'Raw Data'!K43</f>
        <v>Completed</v>
      </c>
      <c r="L44" s="1" t="str">
        <f aca="false">'Raw Data'!L43</f>
        <v>Paid</v>
      </c>
      <c r="M44" s="1" t="n">
        <f aca="false">'Raw Data'!M43</f>
        <v>34</v>
      </c>
      <c r="N44" s="1" t="str">
        <f aca="false">'Raw Data'!N43</f>
        <v>No</v>
      </c>
    </row>
    <row r="45" customFormat="false" ht="15" hidden="false" customHeight="true" outlineLevel="0" collapsed="false">
      <c r="A45" s="1" t="str">
        <f aca="false">'Raw Data'!A44</f>
        <v>S00041</v>
      </c>
      <c r="B45" s="1" t="str">
        <f aca="false">'Raw Data'!B44</f>
        <v>P2707</v>
      </c>
      <c r="C45" s="1" t="str">
        <f aca="false">'Raw Data'!C44</f>
        <v>tpark</v>
      </c>
      <c r="D45" s="1" t="str">
        <f aca="false">'Raw Data'!D44</f>
        <v>Empire Wars</v>
      </c>
      <c r="E45" s="1" t="str">
        <f aca="false">'Raw Data'!E44</f>
        <v>PC</v>
      </c>
      <c r="F45" s="1" t="str">
        <f aca="false">'Raw Data'!F44</f>
        <v>South</v>
      </c>
      <c r="G45" s="23" t="n">
        <f aca="false">'Raw Data'!G44</f>
        <v>45642</v>
      </c>
      <c r="H45" s="1" t="n">
        <f aca="false">'Raw Data'!H44</f>
        <v>49</v>
      </c>
      <c r="I45" s="24" t="n">
        <f aca="false">'Raw Data'!I44</f>
        <v>0</v>
      </c>
      <c r="J45" s="1" t="str">
        <f aca="false">IF('Raw Data'!J44="None","None",IF(ISBLANK('Raw Data'!J44),"None",'Raw Data'!J44))</f>
        <v>None</v>
      </c>
      <c r="K45" s="1" t="str">
        <f aca="false">'Raw Data'!K44</f>
        <v>Completed</v>
      </c>
      <c r="L45" s="1" t="str">
        <f aca="false">'Raw Data'!L44</f>
        <v>Free</v>
      </c>
      <c r="M45" s="1" t="n">
        <f aca="false">'Raw Data'!M44</f>
        <v>9</v>
      </c>
      <c r="N45" s="1" t="str">
        <f aca="false">'Raw Data'!N44</f>
        <v>No</v>
      </c>
    </row>
    <row r="46" customFormat="false" ht="15" hidden="false" customHeight="true" outlineLevel="0" collapsed="false">
      <c r="A46" s="1" t="str">
        <f aca="false">'Raw Data'!A45</f>
        <v>S00042</v>
      </c>
      <c r="B46" s="1" t="str">
        <f aca="false">'Raw Data'!B45</f>
        <v>P2683</v>
      </c>
      <c r="C46" s="1" t="str">
        <f aca="false">'Raw Data'!C45</f>
        <v>csanchez</v>
      </c>
      <c r="D46" s="1" t="str">
        <f aca="false">'Raw Data'!D45</f>
        <v>Clash of Realms</v>
      </c>
      <c r="E46" s="1" t="str">
        <f aca="false">'Raw Data'!E45</f>
        <v>Console</v>
      </c>
      <c r="F46" s="1" t="str">
        <f aca="false">'Raw Data'!F45</f>
        <v>South</v>
      </c>
      <c r="G46" s="23" t="n">
        <f aca="false">'Raw Data'!G45</f>
        <v>45783</v>
      </c>
      <c r="H46" s="1" t="n">
        <f aca="false">'Raw Data'!H45</f>
        <v>35</v>
      </c>
      <c r="I46" s="24" t="n">
        <f aca="false">'Raw Data'!I45</f>
        <v>0</v>
      </c>
      <c r="J46" s="1" t="str">
        <f aca="false">IF('Raw Data'!J45="None","None",IF(ISBLANK('Raw Data'!J45),"None",'Raw Data'!J45))</f>
        <v>None</v>
      </c>
      <c r="K46" s="1" t="str">
        <f aca="false">'Raw Data'!K45</f>
        <v>Completed</v>
      </c>
      <c r="L46" s="1" t="str">
        <f aca="false">'Raw Data'!L45</f>
        <v>Paid</v>
      </c>
      <c r="M46" s="1" t="n">
        <f aca="false">'Raw Data'!M45</f>
        <v>33</v>
      </c>
      <c r="N46" s="1" t="str">
        <f aca="false">'Raw Data'!N45</f>
        <v>No</v>
      </c>
    </row>
    <row r="47" customFormat="false" ht="15" hidden="false" customHeight="true" outlineLevel="0" collapsed="false">
      <c r="A47" s="1" t="str">
        <f aca="false">'Raw Data'!A46</f>
        <v>S00043</v>
      </c>
      <c r="B47" s="1" t="str">
        <f aca="false">'Raw Data'!B46</f>
        <v>P2171</v>
      </c>
      <c r="C47" s="1" t="str">
        <f aca="false">'Raw Data'!C46</f>
        <v>nnguyen</v>
      </c>
      <c r="D47" s="1" t="str">
        <f aca="false">'Raw Data'!D46</f>
        <v>BattleZone</v>
      </c>
      <c r="E47" s="1" t="str">
        <f aca="false">'Raw Data'!E46</f>
        <v>PC</v>
      </c>
      <c r="F47" s="1" t="str">
        <f aca="false">'Raw Data'!F46</f>
        <v>West</v>
      </c>
      <c r="G47" s="23" t="n">
        <f aca="false">'Raw Data'!G46</f>
        <v>45676</v>
      </c>
      <c r="H47" s="1" t="n">
        <f aca="false">'Raw Data'!H46</f>
        <v>112</v>
      </c>
      <c r="I47" s="24" t="n">
        <f aca="false">'Raw Data'!I46</f>
        <v>30.74</v>
      </c>
      <c r="J47" s="1" t="str">
        <f aca="false">IF('Raw Data'!J46="None","None",IF(ISBLANK('Raw Data'!J46),"None",'Raw Data'!J46))</f>
        <v>Subscriptions</v>
      </c>
      <c r="K47" s="1" t="str">
        <f aca="false">'Raw Data'!K46</f>
        <v>Completed</v>
      </c>
      <c r="L47" s="1" t="str">
        <f aca="false">'Raw Data'!L46</f>
        <v>Paid</v>
      </c>
      <c r="M47" s="1" t="n">
        <f aca="false">'Raw Data'!M46</f>
        <v>10</v>
      </c>
      <c r="N47" s="1" t="str">
        <f aca="false">'Raw Data'!N46</f>
        <v>No</v>
      </c>
    </row>
    <row r="48" customFormat="false" ht="15" hidden="false" customHeight="true" outlineLevel="0" collapsed="false">
      <c r="A48" s="1" t="str">
        <f aca="false">'Raw Data'!A47</f>
        <v>S00044</v>
      </c>
      <c r="B48" s="1" t="str">
        <f aca="false">'Raw Data'!B47</f>
        <v>P5497</v>
      </c>
      <c r="C48" s="1" t="str">
        <f aca="false">'Raw Data'!C47</f>
        <v>vmooney</v>
      </c>
      <c r="D48" s="1" t="str">
        <f aca="false">'Raw Data'!D47</f>
        <v>BattleZone</v>
      </c>
      <c r="E48" s="1" t="str">
        <f aca="false">'Raw Data'!E47</f>
        <v>Console</v>
      </c>
      <c r="F48" s="1" t="str">
        <f aca="false">'Raw Data'!F47</f>
        <v>West</v>
      </c>
      <c r="G48" s="23" t="n">
        <f aca="false">'Raw Data'!G47</f>
        <v>45692</v>
      </c>
      <c r="H48" s="1" t="n">
        <f aca="false">'Raw Data'!H47</f>
        <v>67</v>
      </c>
      <c r="I48" s="24" t="n">
        <f aca="false">'Raw Data'!I47</f>
        <v>0</v>
      </c>
      <c r="J48" s="1" t="str">
        <f aca="false">IF('Raw Data'!J47="None","None",IF(ISBLANK('Raw Data'!J47),"None",'Raw Data'!J47))</f>
        <v>None</v>
      </c>
      <c r="K48" s="1" t="str">
        <f aca="false">'Raw Data'!K47</f>
        <v>Exited Early</v>
      </c>
      <c r="L48" s="1" t="str">
        <f aca="false">'Raw Data'!L47</f>
        <v>Free</v>
      </c>
      <c r="M48" s="1" t="n">
        <f aca="false">'Raw Data'!M47</f>
        <v>16</v>
      </c>
      <c r="N48" s="1" t="str">
        <f aca="false">'Raw Data'!N47</f>
        <v>No</v>
      </c>
    </row>
    <row r="49" customFormat="false" ht="15" hidden="false" customHeight="true" outlineLevel="0" collapsed="false">
      <c r="A49" s="1" t="str">
        <f aca="false">'Raw Data'!A48</f>
        <v>S00045</v>
      </c>
      <c r="B49" s="1" t="str">
        <f aca="false">'Raw Data'!B48</f>
        <v>P7820</v>
      </c>
      <c r="C49" s="1" t="str">
        <f aca="false">'Raw Data'!C48</f>
        <v>jennifer87</v>
      </c>
      <c r="D49" s="1" t="str">
        <f aca="false">'Raw Data'!D48</f>
        <v>BattleZone</v>
      </c>
      <c r="E49" s="1" t="str">
        <f aca="false">'Raw Data'!E48</f>
        <v>PC</v>
      </c>
      <c r="F49" s="1" t="str">
        <f aca="false">'Raw Data'!F48</f>
        <v>West</v>
      </c>
      <c r="G49" s="23" t="n">
        <f aca="false">'Raw Data'!G48</f>
        <v>45676</v>
      </c>
      <c r="H49" s="1" t="n">
        <f aca="false">'Raw Data'!H48</f>
        <v>15</v>
      </c>
      <c r="I49" s="24" t="n">
        <f aca="false">'Raw Data'!I48</f>
        <v>0</v>
      </c>
      <c r="J49" s="1" t="str">
        <f aca="false">IF('Raw Data'!J48="None","None",IF(ISBLANK('Raw Data'!J48),"None",'Raw Data'!J48))</f>
        <v>None</v>
      </c>
      <c r="K49" s="1" t="str">
        <f aca="false">'Raw Data'!K48</f>
        <v>Crashed</v>
      </c>
      <c r="L49" s="1" t="str">
        <f aca="false">'Raw Data'!L48</f>
        <v>Free</v>
      </c>
      <c r="M49" s="1" t="n">
        <f aca="false">'Raw Data'!M48</f>
        <v>38</v>
      </c>
      <c r="N49" s="1" t="str">
        <f aca="false">'Raw Data'!N48</f>
        <v>No</v>
      </c>
    </row>
    <row r="50" customFormat="false" ht="15" hidden="false" customHeight="true" outlineLevel="0" collapsed="false">
      <c r="A50" s="1" t="str">
        <f aca="false">'Raw Data'!A49</f>
        <v>S00046</v>
      </c>
      <c r="B50" s="1" t="str">
        <f aca="false">'Raw Data'!B49</f>
        <v>P5339</v>
      </c>
      <c r="C50" s="1" t="str">
        <f aca="false">'Raw Data'!C49</f>
        <v>jcarter</v>
      </c>
      <c r="D50" s="1" t="str">
        <f aca="false">'Raw Data'!D49</f>
        <v>SpeedX</v>
      </c>
      <c r="E50" s="1" t="str">
        <f aca="false">'Raw Data'!E49</f>
        <v>Console</v>
      </c>
      <c r="F50" s="1" t="str">
        <f aca="false">'Raw Data'!F49</f>
        <v>South</v>
      </c>
      <c r="G50" s="23" t="n">
        <f aca="false">'Raw Data'!G49</f>
        <v>45717</v>
      </c>
      <c r="H50" s="1" t="n">
        <f aca="false">'Raw Data'!H49</f>
        <v>8</v>
      </c>
      <c r="I50" s="24" t="n">
        <f aca="false">'Raw Data'!I49</f>
        <v>0</v>
      </c>
      <c r="J50" s="1" t="str">
        <f aca="false">IF('Raw Data'!J49="None","None",IF(ISBLANK('Raw Data'!J49),"None",'Raw Data'!J49))</f>
        <v>None</v>
      </c>
      <c r="K50" s="1" t="str">
        <f aca="false">'Raw Data'!K49</f>
        <v>Completed</v>
      </c>
      <c r="L50" s="1" t="str">
        <f aca="false">'Raw Data'!L49</f>
        <v>Free</v>
      </c>
      <c r="M50" s="1" t="n">
        <f aca="false">'Raw Data'!M49</f>
        <v>33</v>
      </c>
      <c r="N50" s="1" t="str">
        <f aca="false">'Raw Data'!N49</f>
        <v>No</v>
      </c>
    </row>
    <row r="51" customFormat="false" ht="15" hidden="false" customHeight="true" outlineLevel="0" collapsed="false">
      <c r="A51" s="1" t="str">
        <f aca="false">'Raw Data'!A50</f>
        <v>S00047</v>
      </c>
      <c r="B51" s="1" t="str">
        <f aca="false">'Raw Data'!B50</f>
        <v>P2125</v>
      </c>
      <c r="C51" s="1" t="str">
        <f aca="false">'Raw Data'!C50</f>
        <v>jlane</v>
      </c>
      <c r="D51" s="1" t="str">
        <f aca="false">'Raw Data'!D50</f>
        <v>Clash of Realms</v>
      </c>
      <c r="E51" s="1" t="str">
        <f aca="false">'Raw Data'!E50</f>
        <v>Mobile</v>
      </c>
      <c r="F51" s="1" t="str">
        <f aca="false">'Raw Data'!F50</f>
        <v>West</v>
      </c>
      <c r="G51" s="23" t="n">
        <f aca="false">'Raw Data'!G50</f>
        <v>45643</v>
      </c>
      <c r="H51" s="1" t="n">
        <f aca="false">'Raw Data'!H50</f>
        <v>27</v>
      </c>
      <c r="I51" s="24" t="n">
        <f aca="false">'Raw Data'!I50</f>
        <v>0</v>
      </c>
      <c r="J51" s="1" t="str">
        <f aca="false">IF('Raw Data'!J50="None","None",IF(ISBLANK('Raw Data'!J50),"None",'Raw Data'!J50))</f>
        <v>None</v>
      </c>
      <c r="K51" s="1" t="str">
        <f aca="false">'Raw Data'!K50</f>
        <v>Completed</v>
      </c>
      <c r="L51" s="1" t="str">
        <f aca="false">'Raw Data'!L50</f>
        <v>Free</v>
      </c>
      <c r="M51" s="1" t="n">
        <f aca="false">'Raw Data'!M50</f>
        <v>19</v>
      </c>
      <c r="N51" s="1" t="str">
        <f aca="false">'Raw Data'!N50</f>
        <v>No</v>
      </c>
    </row>
    <row r="52" customFormat="false" ht="15" hidden="false" customHeight="true" outlineLevel="0" collapsed="false">
      <c r="A52" s="1" t="str">
        <f aca="false">'Raw Data'!A51</f>
        <v>S00048</v>
      </c>
      <c r="B52" s="1" t="str">
        <f aca="false">'Raw Data'!B51</f>
        <v>P1178</v>
      </c>
      <c r="C52" s="1" t="str">
        <f aca="false">'Raw Data'!C51</f>
        <v>nathan33</v>
      </c>
      <c r="D52" s="1" t="str">
        <f aca="false">'Raw Data'!D51</f>
        <v>BattleZone</v>
      </c>
      <c r="E52" s="1" t="str">
        <f aca="false">'Raw Data'!E51</f>
        <v>Console</v>
      </c>
      <c r="F52" s="1" t="str">
        <f aca="false">'Raw Data'!F51</f>
        <v>North</v>
      </c>
      <c r="G52" s="23" t="n">
        <f aca="false">'Raw Data'!G51</f>
        <v>45692</v>
      </c>
      <c r="H52" s="1" t="n">
        <f aca="false">'Raw Data'!H51</f>
        <v>115</v>
      </c>
      <c r="I52" s="24" t="n">
        <f aca="false">'Raw Data'!I51</f>
        <v>22.35</v>
      </c>
      <c r="J52" s="1" t="str">
        <f aca="false">IF('Raw Data'!J51="None","None",IF(ISBLANK('Raw Data'!J51),"None",'Raw Data'!J51))</f>
        <v>Subscriptions</v>
      </c>
      <c r="K52" s="1" t="str">
        <f aca="false">'Raw Data'!K51</f>
        <v>Completed</v>
      </c>
      <c r="L52" s="1" t="str">
        <f aca="false">'Raw Data'!L51</f>
        <v>Paid</v>
      </c>
      <c r="M52" s="1" t="n">
        <f aca="false">'Raw Data'!M51</f>
        <v>43</v>
      </c>
      <c r="N52" s="1" t="str">
        <f aca="false">'Raw Data'!N51</f>
        <v>No</v>
      </c>
    </row>
    <row r="53" customFormat="false" ht="15" hidden="false" customHeight="true" outlineLevel="0" collapsed="false">
      <c r="A53" s="1" t="str">
        <f aca="false">'Raw Data'!A52</f>
        <v>S00049</v>
      </c>
      <c r="B53" s="1" t="str">
        <f aca="false">'Raw Data'!B52</f>
        <v>P2502</v>
      </c>
      <c r="C53" s="1" t="str">
        <f aca="false">'Raw Data'!C52</f>
        <v>owensjoseph</v>
      </c>
      <c r="D53" s="1" t="str">
        <f aca="false">'Raw Data'!D52</f>
        <v>Zombie Rush</v>
      </c>
      <c r="E53" s="1" t="str">
        <f aca="false">'Raw Data'!E52</f>
        <v>Mobile</v>
      </c>
      <c r="F53" s="1" t="str">
        <f aca="false">'Raw Data'!F52</f>
        <v>Central</v>
      </c>
      <c r="G53" s="23" t="n">
        <f aca="false">'Raw Data'!G52</f>
        <v>45715</v>
      </c>
      <c r="H53" s="1" t="n">
        <f aca="false">'Raw Data'!H52</f>
        <v>27</v>
      </c>
      <c r="I53" s="24" t="n">
        <f aca="false">'Raw Data'!I52</f>
        <v>0</v>
      </c>
      <c r="J53" s="1" t="str">
        <f aca="false">IF('Raw Data'!J52="None","None",IF(ISBLANK('Raw Data'!J52),"None",'Raw Data'!J52))</f>
        <v>None</v>
      </c>
      <c r="K53" s="1" t="str">
        <f aca="false">'Raw Data'!K52</f>
        <v>Completed</v>
      </c>
      <c r="L53" s="1" t="str">
        <f aca="false">'Raw Data'!L52</f>
        <v>Free</v>
      </c>
      <c r="M53" s="1" t="n">
        <f aca="false">'Raw Data'!M52</f>
        <v>39</v>
      </c>
      <c r="N53" s="1" t="str">
        <f aca="false">'Raw Data'!N52</f>
        <v>No</v>
      </c>
    </row>
    <row r="54" customFormat="false" ht="15" hidden="false" customHeight="true" outlineLevel="0" collapsed="false">
      <c r="A54" s="1" t="str">
        <f aca="false">'Raw Data'!A53</f>
        <v>S00050</v>
      </c>
      <c r="B54" s="1" t="str">
        <f aca="false">'Raw Data'!B53</f>
        <v>P5155</v>
      </c>
      <c r="C54" s="1" t="str">
        <f aca="false">'Raw Data'!C53</f>
        <v>griffinsarah</v>
      </c>
      <c r="D54" s="1" t="str">
        <f aca="false">'Raw Data'!D53</f>
        <v>SpeedX</v>
      </c>
      <c r="E54" s="1" t="str">
        <f aca="false">'Raw Data'!E53</f>
        <v>Mobile</v>
      </c>
      <c r="F54" s="1" t="str">
        <f aca="false">'Raw Data'!F53</f>
        <v>Central</v>
      </c>
      <c r="G54" s="23" t="n">
        <f aca="false">'Raw Data'!G53</f>
        <v>45658</v>
      </c>
      <c r="H54" s="1" t="n">
        <f aca="false">'Raw Data'!H53</f>
        <v>82</v>
      </c>
      <c r="I54" s="24" t="n">
        <f aca="false">'Raw Data'!I53</f>
        <v>0</v>
      </c>
      <c r="J54" s="1" t="str">
        <f aca="false">IF('Raw Data'!J53="None","None",IF(ISBLANK('Raw Data'!J53),"None",'Raw Data'!J53))</f>
        <v>None</v>
      </c>
      <c r="K54" s="1" t="str">
        <f aca="false">'Raw Data'!K53</f>
        <v>Incomplete</v>
      </c>
      <c r="L54" s="1" t="str">
        <f aca="false">'Raw Data'!L53</f>
        <v>Free</v>
      </c>
      <c r="M54" s="1" t="n">
        <f aca="false">'Raw Data'!M53</f>
        <v>26</v>
      </c>
      <c r="N54" s="1" t="str">
        <f aca="false">'Raw Data'!N53</f>
        <v>No</v>
      </c>
    </row>
    <row r="55" customFormat="false" ht="15" hidden="false" customHeight="true" outlineLevel="0" collapsed="false">
      <c r="A55" s="1" t="str">
        <f aca="false">'Raw Data'!A54</f>
        <v>S00051</v>
      </c>
      <c r="B55" s="1" t="str">
        <f aca="false">'Raw Data'!B54</f>
        <v>P3174</v>
      </c>
      <c r="C55" s="1" t="str">
        <f aca="false">'Raw Data'!C54</f>
        <v>petersonlacey</v>
      </c>
      <c r="D55" s="1" t="str">
        <f aca="false">'Raw Data'!D54</f>
        <v>BattleZone</v>
      </c>
      <c r="E55" s="1" t="str">
        <f aca="false">'Raw Data'!E54</f>
        <v>Console</v>
      </c>
      <c r="F55" s="1" t="str">
        <f aca="false">'Raw Data'!F54</f>
        <v>South</v>
      </c>
      <c r="G55" s="23" t="n">
        <f aca="false">'Raw Data'!G54</f>
        <v>45781</v>
      </c>
      <c r="H55" s="1" t="n">
        <f aca="false">'Raw Data'!H54</f>
        <v>42</v>
      </c>
      <c r="I55" s="24" t="n">
        <f aca="false">'Raw Data'!I54</f>
        <v>0</v>
      </c>
      <c r="J55" s="1" t="str">
        <f aca="false">IF('Raw Data'!J54="None","None",IF(ISBLANK('Raw Data'!J54),"None",'Raw Data'!J54))</f>
        <v>None</v>
      </c>
      <c r="K55" s="1" t="str">
        <f aca="false">'Raw Data'!K54</f>
        <v>Completed</v>
      </c>
      <c r="L55" s="1" t="str">
        <f aca="false">'Raw Data'!L54</f>
        <v>Free</v>
      </c>
      <c r="M55" s="1" t="n">
        <f aca="false">'Raw Data'!M54</f>
        <v>18</v>
      </c>
      <c r="N55" s="1" t="str">
        <f aca="false">'Raw Data'!N54</f>
        <v>No</v>
      </c>
    </row>
    <row r="56" customFormat="false" ht="15" hidden="false" customHeight="true" outlineLevel="0" collapsed="false">
      <c r="A56" s="1" t="str">
        <f aca="false">'Raw Data'!A55</f>
        <v>S00052</v>
      </c>
      <c r="B56" s="1" t="str">
        <f aca="false">'Raw Data'!B55</f>
        <v>P8266</v>
      </c>
      <c r="C56" s="1" t="str">
        <f aca="false">'Raw Data'!C55</f>
        <v>cynthiapoole</v>
      </c>
      <c r="D56" s="1" t="str">
        <f aca="false">'Raw Data'!D55</f>
        <v>Zombie Rush</v>
      </c>
      <c r="E56" s="1" t="str">
        <f aca="false">'Raw Data'!E55</f>
        <v>PC</v>
      </c>
      <c r="F56" s="1" t="str">
        <f aca="false">'Raw Data'!F55</f>
        <v>East</v>
      </c>
      <c r="G56" s="23" t="n">
        <f aca="false">'Raw Data'!G55</f>
        <v>45645</v>
      </c>
      <c r="H56" s="1" t="n">
        <f aca="false">'Raw Data'!H55</f>
        <v>108</v>
      </c>
      <c r="I56" s="24" t="n">
        <f aca="false">'Raw Data'!I55</f>
        <v>0</v>
      </c>
      <c r="J56" s="1" t="str">
        <f aca="false">IF('Raw Data'!J55="None","None",IF(ISBLANK('Raw Data'!J55),"None",'Raw Data'!J55))</f>
        <v>None</v>
      </c>
      <c r="K56" s="1" t="str">
        <f aca="false">'Raw Data'!K55</f>
        <v>Completed</v>
      </c>
      <c r="L56" s="1" t="str">
        <f aca="false">'Raw Data'!L55</f>
        <v>Free</v>
      </c>
      <c r="M56" s="1" t="n">
        <f aca="false">'Raw Data'!M55</f>
        <v>35</v>
      </c>
      <c r="N56" s="1" t="str">
        <f aca="false">'Raw Data'!N55</f>
        <v>No</v>
      </c>
    </row>
    <row r="57" customFormat="false" ht="15" hidden="false" customHeight="true" outlineLevel="0" collapsed="false">
      <c r="A57" s="1" t="str">
        <f aca="false">'Raw Data'!A56</f>
        <v>S00053</v>
      </c>
      <c r="B57" s="1" t="str">
        <f aca="false">'Raw Data'!B56</f>
        <v>P9579</v>
      </c>
      <c r="C57" s="1" t="str">
        <f aca="false">'Raw Data'!C56</f>
        <v>richardsjessica</v>
      </c>
      <c r="D57" s="1" t="str">
        <f aca="false">'Raw Data'!D56</f>
        <v>SpeedX</v>
      </c>
      <c r="E57" s="1" t="str">
        <f aca="false">'Raw Data'!E56</f>
        <v>Console</v>
      </c>
      <c r="F57" s="1" t="str">
        <f aca="false">'Raw Data'!F56</f>
        <v>West</v>
      </c>
      <c r="G57" s="23" t="n">
        <f aca="false">'Raw Data'!G56</f>
        <v>45758</v>
      </c>
      <c r="H57" s="1" t="n">
        <f aca="false">'Raw Data'!H56</f>
        <v>38</v>
      </c>
      <c r="I57" s="24" t="n">
        <f aca="false">'Raw Data'!I56</f>
        <v>0</v>
      </c>
      <c r="J57" s="1" t="str">
        <f aca="false">IF('Raw Data'!J56="None","None",IF(ISBLANK('Raw Data'!J56),"None",'Raw Data'!J56))</f>
        <v>None</v>
      </c>
      <c r="K57" s="1" t="str">
        <f aca="false">'Raw Data'!K56</f>
        <v>Completed</v>
      </c>
      <c r="L57" s="1" t="str">
        <f aca="false">'Raw Data'!L56</f>
        <v>Free</v>
      </c>
      <c r="M57" s="1" t="n">
        <f aca="false">'Raw Data'!M56</f>
        <v>34</v>
      </c>
      <c r="N57" s="1" t="str">
        <f aca="false">'Raw Data'!N56</f>
        <v>No</v>
      </c>
    </row>
    <row r="58" customFormat="false" ht="15" hidden="false" customHeight="true" outlineLevel="0" collapsed="false">
      <c r="A58" s="1" t="str">
        <f aca="false">'Raw Data'!A57</f>
        <v>S00054</v>
      </c>
      <c r="B58" s="1" t="str">
        <f aca="false">'Raw Data'!B57</f>
        <v>P5714</v>
      </c>
      <c r="C58" s="1" t="str">
        <f aca="false">'Raw Data'!C57</f>
        <v>fforbes</v>
      </c>
      <c r="D58" s="1" t="str">
        <f aca="false">'Raw Data'!D57</f>
        <v>BattleZone</v>
      </c>
      <c r="E58" s="1" t="str">
        <f aca="false">'Raw Data'!E57</f>
        <v>PC</v>
      </c>
      <c r="F58" s="1" t="str">
        <f aca="false">'Raw Data'!F57</f>
        <v>West</v>
      </c>
      <c r="G58" s="23" t="n">
        <f aca="false">'Raw Data'!G57</f>
        <v>45727</v>
      </c>
      <c r="H58" s="1" t="n">
        <f aca="false">'Raw Data'!H57</f>
        <v>136</v>
      </c>
      <c r="I58" s="24" t="n">
        <f aca="false">'Raw Data'!I57</f>
        <v>0</v>
      </c>
      <c r="J58" s="1" t="str">
        <f aca="false">IF('Raw Data'!J57="None","None",IF(ISBLANK('Raw Data'!J57),"None",'Raw Data'!J57))</f>
        <v>None</v>
      </c>
      <c r="K58" s="1" t="str">
        <f aca="false">'Raw Data'!K57</f>
        <v>Completed</v>
      </c>
      <c r="L58" s="1" t="str">
        <f aca="false">'Raw Data'!L57</f>
        <v>Free</v>
      </c>
      <c r="M58" s="1" t="n">
        <f aca="false">'Raw Data'!M57</f>
        <v>11</v>
      </c>
      <c r="N58" s="1" t="str">
        <f aca="false">'Raw Data'!N57</f>
        <v>No</v>
      </c>
    </row>
    <row r="59" customFormat="false" ht="15" hidden="false" customHeight="true" outlineLevel="0" collapsed="false">
      <c r="A59" s="1" t="str">
        <f aca="false">'Raw Data'!A58</f>
        <v>S00055</v>
      </c>
      <c r="B59" s="1" t="str">
        <f aca="false">'Raw Data'!B58</f>
        <v>P4102</v>
      </c>
      <c r="C59" s="1" t="str">
        <f aca="false">'Raw Data'!C58</f>
        <v>odonnelljennifer</v>
      </c>
      <c r="D59" s="1" t="str">
        <f aca="false">'Raw Data'!D58</f>
        <v>BattleZone</v>
      </c>
      <c r="E59" s="1" t="str">
        <f aca="false">'Raw Data'!E58</f>
        <v>Mobile</v>
      </c>
      <c r="F59" s="1" t="str">
        <f aca="false">'Raw Data'!F58</f>
        <v>Central</v>
      </c>
      <c r="G59" s="23" t="n">
        <f aca="false">'Raw Data'!G58</f>
        <v>45814</v>
      </c>
      <c r="H59" s="1" t="n">
        <f aca="false">'Raw Data'!H58</f>
        <v>20</v>
      </c>
      <c r="I59" s="24" t="n">
        <f aca="false">'Raw Data'!I58</f>
        <v>0</v>
      </c>
      <c r="J59" s="1" t="str">
        <f aca="false">IF('Raw Data'!J58="None","None",IF(ISBLANK('Raw Data'!J58),"None",'Raw Data'!J58))</f>
        <v>None</v>
      </c>
      <c r="K59" s="1" t="str">
        <f aca="false">'Raw Data'!K58</f>
        <v>Incomplete</v>
      </c>
      <c r="L59" s="1" t="str">
        <f aca="false">'Raw Data'!L58</f>
        <v>Free</v>
      </c>
      <c r="M59" s="1" t="n">
        <f aca="false">'Raw Data'!M58</f>
        <v>49</v>
      </c>
      <c r="N59" s="1" t="str">
        <f aca="false">'Raw Data'!N58</f>
        <v>No</v>
      </c>
    </row>
    <row r="60" customFormat="false" ht="15" hidden="false" customHeight="true" outlineLevel="0" collapsed="false">
      <c r="A60" s="1" t="str">
        <f aca="false">'Raw Data'!A59</f>
        <v>S00056</v>
      </c>
      <c r="B60" s="1" t="str">
        <f aca="false">'Raw Data'!B59</f>
        <v>P1285</v>
      </c>
      <c r="C60" s="1" t="str">
        <f aca="false">'Raw Data'!C59</f>
        <v>amylong</v>
      </c>
      <c r="D60" s="1" t="str">
        <f aca="false">'Raw Data'!D59</f>
        <v>BattleZone</v>
      </c>
      <c r="E60" s="1" t="str">
        <f aca="false">'Raw Data'!E59</f>
        <v>Mobile</v>
      </c>
      <c r="F60" s="1" t="str">
        <f aca="false">'Raw Data'!F59</f>
        <v>North</v>
      </c>
      <c r="G60" s="23" t="n">
        <f aca="false">'Raw Data'!G59</f>
        <v>45788</v>
      </c>
      <c r="H60" s="1" t="n">
        <f aca="false">'Raw Data'!H59</f>
        <v>117</v>
      </c>
      <c r="I60" s="24" t="n">
        <f aca="false">'Raw Data'!I59</f>
        <v>0</v>
      </c>
      <c r="J60" s="1" t="str">
        <f aca="false">IF('Raw Data'!J59="None","None",IF(ISBLANK('Raw Data'!J59),"None",'Raw Data'!J59))</f>
        <v>None</v>
      </c>
      <c r="K60" s="1" t="str">
        <f aca="false">'Raw Data'!K59</f>
        <v>Exited Early</v>
      </c>
      <c r="L60" s="1" t="str">
        <f aca="false">'Raw Data'!L59</f>
        <v>Free</v>
      </c>
      <c r="M60" s="1" t="n">
        <f aca="false">'Raw Data'!M59</f>
        <v>11</v>
      </c>
      <c r="N60" s="1" t="str">
        <f aca="false">'Raw Data'!N59</f>
        <v>No</v>
      </c>
    </row>
    <row r="61" customFormat="false" ht="15" hidden="false" customHeight="true" outlineLevel="0" collapsed="false">
      <c r="A61" s="1" t="str">
        <f aca="false">'Raw Data'!A60</f>
        <v>S00057</v>
      </c>
      <c r="B61" s="1" t="str">
        <f aca="false">'Raw Data'!B60</f>
        <v>P7588</v>
      </c>
      <c r="C61" s="1" t="str">
        <f aca="false">'Raw Data'!C60</f>
        <v>usnyder</v>
      </c>
      <c r="D61" s="1" t="str">
        <f aca="false">'Raw Data'!D60</f>
        <v>BattleZone</v>
      </c>
      <c r="E61" s="1" t="str">
        <f aca="false">'Raw Data'!E60</f>
        <v>PC</v>
      </c>
      <c r="F61" s="1" t="str">
        <f aca="false">'Raw Data'!F60</f>
        <v>North</v>
      </c>
      <c r="G61" s="23" t="n">
        <f aca="false">'Raw Data'!G60</f>
        <v>45781</v>
      </c>
      <c r="H61" s="1" t="n">
        <f aca="false">'Raw Data'!H60</f>
        <v>139</v>
      </c>
      <c r="I61" s="24" t="n">
        <f aca="false">'Raw Data'!I60</f>
        <v>0</v>
      </c>
      <c r="J61" s="1" t="str">
        <f aca="false">IF('Raw Data'!J60="None","None",IF(ISBLANK('Raw Data'!J60),"None",'Raw Data'!J60))</f>
        <v>None</v>
      </c>
      <c r="K61" s="1" t="str">
        <f aca="false">'Raw Data'!K60</f>
        <v>Completed</v>
      </c>
      <c r="L61" s="1" t="str">
        <f aca="false">'Raw Data'!L60</f>
        <v>Free</v>
      </c>
      <c r="M61" s="1" t="n">
        <f aca="false">'Raw Data'!M60</f>
        <v>41</v>
      </c>
      <c r="N61" s="1" t="str">
        <f aca="false">'Raw Data'!N60</f>
        <v>No</v>
      </c>
    </row>
    <row r="62" customFormat="false" ht="15" hidden="false" customHeight="true" outlineLevel="0" collapsed="false">
      <c r="A62" s="1" t="str">
        <f aca="false">'Raw Data'!A61</f>
        <v>S00058</v>
      </c>
      <c r="B62" s="1" t="str">
        <f aca="false">'Raw Data'!B61</f>
        <v>P9514</v>
      </c>
      <c r="C62" s="1" t="str">
        <f aca="false">'Raw Data'!C61</f>
        <v>dianaburgess</v>
      </c>
      <c r="D62" s="1" t="str">
        <f aca="false">'Raw Data'!D61</f>
        <v>Zombie Rush</v>
      </c>
      <c r="E62" s="1" t="str">
        <f aca="false">'Raw Data'!E61</f>
        <v>Mobile</v>
      </c>
      <c r="F62" s="1" t="str">
        <f aca="false">'Raw Data'!F61</f>
        <v>East</v>
      </c>
      <c r="G62" s="23" t="n">
        <f aca="false">'Raw Data'!G61</f>
        <v>45756</v>
      </c>
      <c r="H62" s="1" t="n">
        <f aca="false">'Raw Data'!H61</f>
        <v>19</v>
      </c>
      <c r="I62" s="24" t="n">
        <f aca="false">'Raw Data'!I61</f>
        <v>44.21</v>
      </c>
      <c r="J62" s="1" t="str">
        <f aca="false">IF('Raw Data'!J61="None","None",IF(ISBLANK('Raw Data'!J61),"None",'Raw Data'!J61))</f>
        <v>Battle Pass</v>
      </c>
      <c r="K62" s="1" t="str">
        <f aca="false">'Raw Data'!K61</f>
        <v>Completed</v>
      </c>
      <c r="L62" s="1" t="str">
        <f aca="false">'Raw Data'!L61</f>
        <v>Paid</v>
      </c>
      <c r="M62" s="1" t="n">
        <f aca="false">'Raw Data'!M61</f>
        <v>24</v>
      </c>
      <c r="N62" s="1" t="str">
        <f aca="false">'Raw Data'!N61</f>
        <v>Yes</v>
      </c>
    </row>
    <row r="63" customFormat="false" ht="15" hidden="false" customHeight="true" outlineLevel="0" collapsed="false">
      <c r="A63" s="1" t="str">
        <f aca="false">'Raw Data'!A62</f>
        <v>S00059</v>
      </c>
      <c r="B63" s="1" t="str">
        <f aca="false">'Raw Data'!B62</f>
        <v>P1110</v>
      </c>
      <c r="C63" s="1" t="str">
        <f aca="false">'Raw Data'!C62</f>
        <v>joseph32</v>
      </c>
      <c r="D63" s="1" t="str">
        <f aca="false">'Raw Data'!D62</f>
        <v>BattleZone</v>
      </c>
      <c r="E63" s="1" t="str">
        <f aca="false">'Raw Data'!E62</f>
        <v>PC</v>
      </c>
      <c r="F63" s="1" t="str">
        <f aca="false">'Raw Data'!F62</f>
        <v>East</v>
      </c>
      <c r="G63" s="23" t="n">
        <f aca="false">'Raw Data'!G62</f>
        <v>45771</v>
      </c>
      <c r="H63" s="1" t="n">
        <f aca="false">'Raw Data'!H62</f>
        <v>76</v>
      </c>
      <c r="I63" s="24" t="n">
        <f aca="false">'Raw Data'!I62</f>
        <v>0</v>
      </c>
      <c r="J63" s="1" t="str">
        <f aca="false">IF('Raw Data'!J62="None","None",IF(ISBLANK('Raw Data'!J62),"None",'Raw Data'!J62))</f>
        <v>None</v>
      </c>
      <c r="K63" s="1" t="str">
        <f aca="false">'Raw Data'!K62</f>
        <v>Completed</v>
      </c>
      <c r="L63" s="1" t="str">
        <f aca="false">'Raw Data'!L62</f>
        <v>Free</v>
      </c>
      <c r="M63" s="1" t="n">
        <f aca="false">'Raw Data'!M62</f>
        <v>41</v>
      </c>
      <c r="N63" s="1" t="str">
        <f aca="false">'Raw Data'!N62</f>
        <v>No</v>
      </c>
    </row>
    <row r="64" customFormat="false" ht="15" hidden="false" customHeight="true" outlineLevel="0" collapsed="false">
      <c r="A64" s="1" t="str">
        <f aca="false">'Raw Data'!A63</f>
        <v>S00060</v>
      </c>
      <c r="B64" s="1" t="str">
        <f aca="false">'Raw Data'!B63</f>
        <v>P2205</v>
      </c>
      <c r="C64" s="1" t="str">
        <f aca="false">'Raw Data'!C63</f>
        <v>fstewart</v>
      </c>
      <c r="D64" s="1" t="str">
        <f aca="false">'Raw Data'!D63</f>
        <v>Empire Wars</v>
      </c>
      <c r="E64" s="1" t="str">
        <f aca="false">'Raw Data'!E63</f>
        <v>PC</v>
      </c>
      <c r="F64" s="1" t="str">
        <f aca="false">'Raw Data'!F63</f>
        <v>Central</v>
      </c>
      <c r="G64" s="23" t="n">
        <f aca="false">'Raw Data'!G63</f>
        <v>45767</v>
      </c>
      <c r="H64" s="1" t="n">
        <f aca="false">'Raw Data'!H63</f>
        <v>153</v>
      </c>
      <c r="I64" s="24" t="n">
        <f aca="false">'Raw Data'!I63</f>
        <v>0</v>
      </c>
      <c r="J64" s="1" t="str">
        <f aca="false">IF('Raw Data'!J63="None","None",IF(ISBLANK('Raw Data'!J63),"None",'Raw Data'!J63))</f>
        <v>None</v>
      </c>
      <c r="K64" s="1" t="str">
        <f aca="false">'Raw Data'!K63</f>
        <v>Completed</v>
      </c>
      <c r="L64" s="1" t="str">
        <f aca="false">'Raw Data'!L63</f>
        <v>Free</v>
      </c>
      <c r="M64" s="1" t="n">
        <f aca="false">'Raw Data'!M63</f>
        <v>2</v>
      </c>
      <c r="N64" s="1" t="str">
        <f aca="false">'Raw Data'!N63</f>
        <v>Yes</v>
      </c>
    </row>
    <row r="65" customFormat="false" ht="15" hidden="false" customHeight="true" outlineLevel="0" collapsed="false">
      <c r="A65" s="1" t="str">
        <f aca="false">'Raw Data'!A64</f>
        <v>S00061</v>
      </c>
      <c r="B65" s="1" t="str">
        <f aca="false">'Raw Data'!B64</f>
        <v>P7473</v>
      </c>
      <c r="C65" s="1" t="str">
        <f aca="false">'Raw Data'!C64</f>
        <v>sholmes</v>
      </c>
      <c r="D65" s="1" t="str">
        <f aca="false">'Raw Data'!D64</f>
        <v>SpeedX</v>
      </c>
      <c r="E65" s="1" t="str">
        <f aca="false">'Raw Data'!E64</f>
        <v>Console</v>
      </c>
      <c r="F65" s="1" t="str">
        <f aca="false">'Raw Data'!F64</f>
        <v>North</v>
      </c>
      <c r="G65" s="23" t="n">
        <f aca="false">'Raw Data'!G64</f>
        <v>45804</v>
      </c>
      <c r="H65" s="1" t="n">
        <f aca="false">'Raw Data'!H64</f>
        <v>156</v>
      </c>
      <c r="I65" s="24" t="n">
        <f aca="false">'Raw Data'!I64</f>
        <v>0</v>
      </c>
      <c r="J65" s="1" t="str">
        <f aca="false">IF('Raw Data'!J64="None","None",IF(ISBLANK('Raw Data'!J64),"None",'Raw Data'!J64))</f>
        <v>None</v>
      </c>
      <c r="K65" s="1" t="str">
        <f aca="false">'Raw Data'!K64</f>
        <v>Completed</v>
      </c>
      <c r="L65" s="1" t="str">
        <f aca="false">'Raw Data'!L64</f>
        <v>Paid</v>
      </c>
      <c r="M65" s="1" t="n">
        <f aca="false">'Raw Data'!M64</f>
        <v>50</v>
      </c>
      <c r="N65" s="1" t="str">
        <f aca="false">'Raw Data'!N64</f>
        <v>Yes</v>
      </c>
    </row>
    <row r="66" customFormat="false" ht="15" hidden="false" customHeight="true" outlineLevel="0" collapsed="false">
      <c r="A66" s="1" t="str">
        <f aca="false">'Raw Data'!A65</f>
        <v>S00062</v>
      </c>
      <c r="B66" s="1" t="str">
        <f aca="false">'Raw Data'!B65</f>
        <v>P1805</v>
      </c>
      <c r="C66" s="1" t="str">
        <f aca="false">'Raw Data'!C65</f>
        <v>charlesjohnson</v>
      </c>
      <c r="D66" s="1" t="str">
        <f aca="false">'Raw Data'!D65</f>
        <v>SpeedX</v>
      </c>
      <c r="E66" s="1" t="str">
        <f aca="false">'Raw Data'!E65</f>
        <v>Mobile</v>
      </c>
      <c r="F66" s="1" t="str">
        <f aca="false">'Raw Data'!F65</f>
        <v>West</v>
      </c>
      <c r="G66" s="23" t="n">
        <f aca="false">'Raw Data'!G65</f>
        <v>45739</v>
      </c>
      <c r="H66" s="1" t="n">
        <f aca="false">'Raw Data'!H65</f>
        <v>153</v>
      </c>
      <c r="I66" s="24" t="n">
        <f aca="false">'Raw Data'!I65</f>
        <v>0</v>
      </c>
      <c r="J66" s="1" t="str">
        <f aca="false">IF('Raw Data'!J65="None","None",IF(ISBLANK('Raw Data'!J65),"None",'Raw Data'!J65))</f>
        <v>None</v>
      </c>
      <c r="K66" s="1" t="str">
        <f aca="false">'Raw Data'!K65</f>
        <v>Completed</v>
      </c>
      <c r="L66" s="1" t="str">
        <f aca="false">'Raw Data'!L65</f>
        <v>Paid</v>
      </c>
      <c r="M66" s="1" t="n">
        <f aca="false">'Raw Data'!M65</f>
        <v>44</v>
      </c>
      <c r="N66" s="1" t="str">
        <f aca="false">'Raw Data'!N65</f>
        <v>Yes</v>
      </c>
    </row>
    <row r="67" customFormat="false" ht="15" hidden="false" customHeight="true" outlineLevel="0" collapsed="false">
      <c r="A67" s="1" t="str">
        <f aca="false">'Raw Data'!A66</f>
        <v>S00063</v>
      </c>
      <c r="B67" s="1" t="str">
        <f aca="false">'Raw Data'!B66</f>
        <v>P3641</v>
      </c>
      <c r="C67" s="1" t="str">
        <f aca="false">'Raw Data'!C66</f>
        <v>davischristopher</v>
      </c>
      <c r="D67" s="1" t="str">
        <f aca="false">'Raw Data'!D66</f>
        <v>Zombie Rush</v>
      </c>
      <c r="E67" s="1" t="str">
        <f aca="false">'Raw Data'!E66</f>
        <v>Console</v>
      </c>
      <c r="F67" s="1" t="str">
        <f aca="false">'Raw Data'!F66</f>
        <v>West</v>
      </c>
      <c r="G67" s="23" t="n">
        <f aca="false">'Raw Data'!G66</f>
        <v>45658</v>
      </c>
      <c r="H67" s="1" t="n">
        <f aca="false">'Raw Data'!H66</f>
        <v>77</v>
      </c>
      <c r="I67" s="24" t="n">
        <f aca="false">'Raw Data'!I66</f>
        <v>39.88</v>
      </c>
      <c r="J67" s="1" t="str">
        <f aca="false">IF('Raw Data'!J66="None","None",IF(ISBLANK('Raw Data'!J66),"None",'Raw Data'!J66))</f>
        <v>Skins</v>
      </c>
      <c r="K67" s="1" t="str">
        <f aca="false">'Raw Data'!K66</f>
        <v>Completed</v>
      </c>
      <c r="L67" s="1" t="str">
        <f aca="false">'Raw Data'!L66</f>
        <v>Paid</v>
      </c>
      <c r="M67" s="1" t="n">
        <f aca="false">'Raw Data'!M66</f>
        <v>25</v>
      </c>
      <c r="N67" s="1" t="str">
        <f aca="false">'Raw Data'!N66</f>
        <v>No</v>
      </c>
    </row>
    <row r="68" customFormat="false" ht="15" hidden="false" customHeight="true" outlineLevel="0" collapsed="false">
      <c r="A68" s="1" t="str">
        <f aca="false">'Raw Data'!A67</f>
        <v>S00064</v>
      </c>
      <c r="B68" s="1" t="str">
        <f aca="false">'Raw Data'!B67</f>
        <v>P6094</v>
      </c>
      <c r="C68" s="1" t="str">
        <f aca="false">'Raw Data'!C67</f>
        <v>jenniferarnold</v>
      </c>
      <c r="D68" s="1" t="str">
        <f aca="false">'Raw Data'!D67</f>
        <v>Zombie Rush</v>
      </c>
      <c r="E68" s="1" t="str">
        <f aca="false">'Raw Data'!E67</f>
        <v>PC</v>
      </c>
      <c r="F68" s="1" t="str">
        <f aca="false">'Raw Data'!F67</f>
        <v>South</v>
      </c>
      <c r="G68" s="23" t="n">
        <f aca="false">'Raw Data'!G67</f>
        <v>45818</v>
      </c>
      <c r="H68" s="1" t="n">
        <f aca="false">'Raw Data'!H67</f>
        <v>81</v>
      </c>
      <c r="I68" s="24" t="n">
        <f aca="false">'Raw Data'!I67</f>
        <v>10.1</v>
      </c>
      <c r="J68" s="1" t="str">
        <f aca="false">IF('Raw Data'!J67="None","None",IF(ISBLANK('Raw Data'!J67),"None",'Raw Data'!J67))</f>
        <v>Subscriptions</v>
      </c>
      <c r="K68" s="1" t="str">
        <f aca="false">'Raw Data'!K67</f>
        <v>Crashed</v>
      </c>
      <c r="L68" s="1" t="str">
        <f aca="false">'Raw Data'!L67</f>
        <v>Paid</v>
      </c>
      <c r="M68" s="1" t="n">
        <f aca="false">'Raw Data'!M67</f>
        <v>24</v>
      </c>
      <c r="N68" s="1" t="str">
        <f aca="false">'Raw Data'!N67</f>
        <v>No</v>
      </c>
    </row>
    <row r="69" customFormat="false" ht="15" hidden="false" customHeight="true" outlineLevel="0" collapsed="false">
      <c r="A69" s="1" t="str">
        <f aca="false">'Raw Data'!A68</f>
        <v>S00065</v>
      </c>
      <c r="B69" s="1" t="str">
        <f aca="false">'Raw Data'!B68</f>
        <v>P5717</v>
      </c>
      <c r="C69" s="1" t="str">
        <f aca="false">'Raw Data'!C68</f>
        <v>palmerashley</v>
      </c>
      <c r="D69" s="1" t="str">
        <f aca="false">'Raw Data'!D68</f>
        <v>Empire Wars</v>
      </c>
      <c r="E69" s="1" t="str">
        <f aca="false">'Raw Data'!E68</f>
        <v>PC</v>
      </c>
      <c r="F69" s="1" t="str">
        <f aca="false">'Raw Data'!F68</f>
        <v>East</v>
      </c>
      <c r="G69" s="23" t="n">
        <f aca="false">'Raw Data'!G68</f>
        <v>45713</v>
      </c>
      <c r="H69" s="1" t="n">
        <f aca="false">'Raw Data'!H68</f>
        <v>7</v>
      </c>
      <c r="I69" s="24" t="n">
        <f aca="false">'Raw Data'!I68</f>
        <v>0</v>
      </c>
      <c r="J69" s="1" t="str">
        <f aca="false">IF('Raw Data'!J68="None","None",IF(ISBLANK('Raw Data'!J68),"None",'Raw Data'!J68))</f>
        <v>None</v>
      </c>
      <c r="K69" s="1" t="str">
        <f aca="false">'Raw Data'!K68</f>
        <v>Incomplete</v>
      </c>
      <c r="L69" s="1" t="str">
        <f aca="false">'Raw Data'!L68</f>
        <v>Free</v>
      </c>
      <c r="M69" s="1" t="n">
        <f aca="false">'Raw Data'!M68</f>
        <v>32</v>
      </c>
      <c r="N69" s="1" t="str">
        <f aca="false">'Raw Data'!N68</f>
        <v>No</v>
      </c>
    </row>
    <row r="70" customFormat="false" ht="15" hidden="false" customHeight="true" outlineLevel="0" collapsed="false">
      <c r="A70" s="1" t="str">
        <f aca="false">'Raw Data'!A69</f>
        <v>S00066</v>
      </c>
      <c r="B70" s="1" t="str">
        <f aca="false">'Raw Data'!B69</f>
        <v>P2499</v>
      </c>
      <c r="C70" s="1" t="str">
        <f aca="false">'Raw Data'!C69</f>
        <v>mbowen</v>
      </c>
      <c r="D70" s="1" t="str">
        <f aca="false">'Raw Data'!D69</f>
        <v>Empire Wars</v>
      </c>
      <c r="E70" s="1" t="str">
        <f aca="false">'Raw Data'!E69</f>
        <v>PC</v>
      </c>
      <c r="F70" s="1" t="str">
        <f aca="false">'Raw Data'!F69</f>
        <v>Central</v>
      </c>
      <c r="G70" s="23" t="n">
        <f aca="false">'Raw Data'!G69</f>
        <v>45814</v>
      </c>
      <c r="H70" s="1" t="n">
        <f aca="false">'Raw Data'!H69</f>
        <v>152</v>
      </c>
      <c r="I70" s="24" t="n">
        <f aca="false">'Raw Data'!I69</f>
        <v>0</v>
      </c>
      <c r="J70" s="1" t="str">
        <f aca="false">IF('Raw Data'!J69="None","None",IF(ISBLANK('Raw Data'!J69),"None",'Raw Data'!J69))</f>
        <v>None</v>
      </c>
      <c r="K70" s="1" t="str">
        <f aca="false">'Raw Data'!K69</f>
        <v>Completed</v>
      </c>
      <c r="L70" s="1" t="str">
        <f aca="false">'Raw Data'!L69</f>
        <v>Free</v>
      </c>
      <c r="M70" s="1" t="n">
        <f aca="false">'Raw Data'!M69</f>
        <v>21</v>
      </c>
      <c r="N70" s="1" t="str">
        <f aca="false">'Raw Data'!N69</f>
        <v>Yes</v>
      </c>
    </row>
    <row r="71" customFormat="false" ht="15" hidden="false" customHeight="true" outlineLevel="0" collapsed="false">
      <c r="A71" s="1" t="str">
        <f aca="false">'Raw Data'!A70</f>
        <v>S00067</v>
      </c>
      <c r="B71" s="1" t="str">
        <f aca="false">'Raw Data'!B70</f>
        <v>P9667</v>
      </c>
      <c r="C71" s="1" t="str">
        <f aca="false">'Raw Data'!C70</f>
        <v>harrisonsteven</v>
      </c>
      <c r="D71" s="1" t="str">
        <f aca="false">'Raw Data'!D70</f>
        <v>SpeedX</v>
      </c>
      <c r="E71" s="1" t="str">
        <f aca="false">'Raw Data'!E70</f>
        <v>PC</v>
      </c>
      <c r="F71" s="1" t="str">
        <f aca="false">'Raw Data'!F70</f>
        <v>West</v>
      </c>
      <c r="G71" s="23" t="n">
        <f aca="false">'Raw Data'!G70</f>
        <v>45662</v>
      </c>
      <c r="H71" s="1" t="n">
        <f aca="false">'Raw Data'!H70</f>
        <v>64</v>
      </c>
      <c r="I71" s="24" t="n">
        <f aca="false">'Raw Data'!I70</f>
        <v>0</v>
      </c>
      <c r="J71" s="1" t="str">
        <f aca="false">IF('Raw Data'!J70="None","None",IF(ISBLANK('Raw Data'!J70),"None",'Raw Data'!J70))</f>
        <v>None</v>
      </c>
      <c r="K71" s="1" t="str">
        <f aca="false">'Raw Data'!K70</f>
        <v>Exited Early</v>
      </c>
      <c r="L71" s="1" t="str">
        <f aca="false">'Raw Data'!L70</f>
        <v>Free</v>
      </c>
      <c r="M71" s="1" t="n">
        <f aca="false">'Raw Data'!M70</f>
        <v>13</v>
      </c>
      <c r="N71" s="1" t="str">
        <f aca="false">'Raw Data'!N70</f>
        <v>No</v>
      </c>
    </row>
    <row r="72" customFormat="false" ht="15" hidden="false" customHeight="true" outlineLevel="0" collapsed="false">
      <c r="A72" s="1" t="str">
        <f aca="false">'Raw Data'!A71</f>
        <v>S00068</v>
      </c>
      <c r="B72" s="1" t="str">
        <f aca="false">'Raw Data'!B71</f>
        <v>P9995</v>
      </c>
      <c r="C72" s="1" t="str">
        <f aca="false">'Raw Data'!C71</f>
        <v>tinapreston</v>
      </c>
      <c r="D72" s="1" t="str">
        <f aca="false">'Raw Data'!D71</f>
        <v>BattleZone</v>
      </c>
      <c r="E72" s="1" t="str">
        <f aca="false">'Raw Data'!E71</f>
        <v>Console</v>
      </c>
      <c r="F72" s="1" t="str">
        <f aca="false">'Raw Data'!F71</f>
        <v>North</v>
      </c>
      <c r="G72" s="23" t="n">
        <f aca="false">'Raw Data'!G71</f>
        <v>45811</v>
      </c>
      <c r="H72" s="1" t="n">
        <f aca="false">'Raw Data'!H71</f>
        <v>165</v>
      </c>
      <c r="I72" s="24" t="n">
        <f aca="false">'Raw Data'!I71</f>
        <v>0</v>
      </c>
      <c r="J72" s="1" t="str">
        <f aca="false">IF('Raw Data'!J71="None","None",IF(ISBLANK('Raw Data'!J71),"None",'Raw Data'!J71))</f>
        <v>None</v>
      </c>
      <c r="K72" s="1" t="str">
        <f aca="false">'Raw Data'!K71</f>
        <v>Completed</v>
      </c>
      <c r="L72" s="1" t="str">
        <f aca="false">'Raw Data'!L71</f>
        <v>Free</v>
      </c>
      <c r="M72" s="1" t="n">
        <f aca="false">'Raw Data'!M71</f>
        <v>41</v>
      </c>
      <c r="N72" s="1" t="str">
        <f aca="false">'Raw Data'!N71</f>
        <v>Yes</v>
      </c>
    </row>
    <row r="73" customFormat="false" ht="15" hidden="false" customHeight="true" outlineLevel="0" collapsed="false">
      <c r="A73" s="1" t="str">
        <f aca="false">'Raw Data'!A72</f>
        <v>S00069</v>
      </c>
      <c r="B73" s="1" t="str">
        <f aca="false">'Raw Data'!B72</f>
        <v>P8527</v>
      </c>
      <c r="C73" s="1" t="str">
        <f aca="false">'Raw Data'!C72</f>
        <v>claudiasilva</v>
      </c>
      <c r="D73" s="1" t="str">
        <f aca="false">'Raw Data'!D72</f>
        <v>Empire Wars</v>
      </c>
      <c r="E73" s="1" t="str">
        <f aca="false">'Raw Data'!E72</f>
        <v>Console</v>
      </c>
      <c r="F73" s="1" t="str">
        <f aca="false">'Raw Data'!F72</f>
        <v>East</v>
      </c>
      <c r="G73" s="23" t="n">
        <f aca="false">'Raw Data'!G72</f>
        <v>45674</v>
      </c>
      <c r="H73" s="1" t="n">
        <f aca="false">'Raw Data'!H72</f>
        <v>165</v>
      </c>
      <c r="I73" s="24" t="n">
        <f aca="false">'Raw Data'!I72</f>
        <v>0</v>
      </c>
      <c r="J73" s="1" t="str">
        <f aca="false">IF('Raw Data'!J72="None","None",IF(ISBLANK('Raw Data'!J72),"None",'Raw Data'!J72))</f>
        <v>None</v>
      </c>
      <c r="K73" s="1" t="str">
        <f aca="false">'Raw Data'!K72</f>
        <v>Completed</v>
      </c>
      <c r="L73" s="1" t="str">
        <f aca="false">'Raw Data'!L72</f>
        <v>Free</v>
      </c>
      <c r="M73" s="1" t="n">
        <f aca="false">'Raw Data'!M72</f>
        <v>15</v>
      </c>
      <c r="N73" s="1" t="str">
        <f aca="false">'Raw Data'!N72</f>
        <v>Yes</v>
      </c>
    </row>
    <row r="74" customFormat="false" ht="15" hidden="false" customHeight="true" outlineLevel="0" collapsed="false">
      <c r="A74" s="1" t="str">
        <f aca="false">'Raw Data'!A73</f>
        <v>S00070</v>
      </c>
      <c r="B74" s="1" t="str">
        <f aca="false">'Raw Data'!B73</f>
        <v>P6322</v>
      </c>
      <c r="C74" s="1" t="str">
        <f aca="false">'Raw Data'!C73</f>
        <v>noah21</v>
      </c>
      <c r="D74" s="1" t="str">
        <f aca="false">'Raw Data'!D73</f>
        <v>Clash of Realms</v>
      </c>
      <c r="E74" s="1" t="str">
        <f aca="false">'Raw Data'!E73</f>
        <v>PC</v>
      </c>
      <c r="F74" s="1" t="str">
        <f aca="false">'Raw Data'!F73</f>
        <v>West</v>
      </c>
      <c r="G74" s="23" t="n">
        <f aca="false">'Raw Data'!G73</f>
        <v>45682</v>
      </c>
      <c r="H74" s="1" t="n">
        <f aca="false">'Raw Data'!H73</f>
        <v>79</v>
      </c>
      <c r="I74" s="24" t="n">
        <f aca="false">'Raw Data'!I73</f>
        <v>0</v>
      </c>
      <c r="J74" s="1" t="str">
        <f aca="false">IF('Raw Data'!J73="None","None",IF(ISBLANK('Raw Data'!J73),"None",'Raw Data'!J73))</f>
        <v>None</v>
      </c>
      <c r="K74" s="1" t="str">
        <f aca="false">'Raw Data'!K73</f>
        <v>Exited Early</v>
      </c>
      <c r="L74" s="1" t="str">
        <f aca="false">'Raw Data'!L73</f>
        <v>Free</v>
      </c>
      <c r="M74" s="1" t="n">
        <f aca="false">'Raw Data'!M73</f>
        <v>18</v>
      </c>
      <c r="N74" s="1" t="str">
        <f aca="false">'Raw Data'!N73</f>
        <v>No</v>
      </c>
    </row>
    <row r="75" customFormat="false" ht="15" hidden="false" customHeight="true" outlineLevel="0" collapsed="false">
      <c r="A75" s="1" t="str">
        <f aca="false">'Raw Data'!A74</f>
        <v>S00071</v>
      </c>
      <c r="B75" s="1" t="str">
        <f aca="false">'Raw Data'!B74</f>
        <v>P8019</v>
      </c>
      <c r="C75" s="1" t="str">
        <f aca="false">'Raw Data'!C74</f>
        <v>nwatkins</v>
      </c>
      <c r="D75" s="1" t="str">
        <f aca="false">'Raw Data'!D74</f>
        <v>Empire Wars</v>
      </c>
      <c r="E75" s="1" t="str">
        <f aca="false">'Raw Data'!E74</f>
        <v>PC</v>
      </c>
      <c r="F75" s="1" t="str">
        <f aca="false">'Raw Data'!F74</f>
        <v>Central</v>
      </c>
      <c r="G75" s="23" t="n">
        <f aca="false">'Raw Data'!G74</f>
        <v>45820</v>
      </c>
      <c r="H75" s="1" t="n">
        <f aca="false">'Raw Data'!H74</f>
        <v>81</v>
      </c>
      <c r="I75" s="24" t="n">
        <f aca="false">'Raw Data'!I74</f>
        <v>0</v>
      </c>
      <c r="J75" s="1" t="str">
        <f aca="false">IF('Raw Data'!J74="None","None",IF(ISBLANK('Raw Data'!J74),"None",'Raw Data'!J74))</f>
        <v>None</v>
      </c>
      <c r="K75" s="1" t="str">
        <f aca="false">'Raw Data'!K74</f>
        <v>Exited Early</v>
      </c>
      <c r="L75" s="1" t="str">
        <f aca="false">'Raw Data'!L74</f>
        <v>Free</v>
      </c>
      <c r="M75" s="1" t="n">
        <f aca="false">'Raw Data'!M74</f>
        <v>37</v>
      </c>
      <c r="N75" s="1" t="str">
        <f aca="false">'Raw Data'!N74</f>
        <v>No</v>
      </c>
    </row>
    <row r="76" customFormat="false" ht="15" hidden="false" customHeight="true" outlineLevel="0" collapsed="false">
      <c r="A76" s="1" t="str">
        <f aca="false">'Raw Data'!A75</f>
        <v>S00072</v>
      </c>
      <c r="B76" s="1" t="str">
        <f aca="false">'Raw Data'!B75</f>
        <v>P3539</v>
      </c>
      <c r="C76" s="1" t="str">
        <f aca="false">'Raw Data'!C75</f>
        <v>martinderrick</v>
      </c>
      <c r="D76" s="1" t="str">
        <f aca="false">'Raw Data'!D75</f>
        <v>Zombie Rush</v>
      </c>
      <c r="E76" s="1" t="str">
        <f aca="false">'Raw Data'!E75</f>
        <v>Console</v>
      </c>
      <c r="F76" s="1" t="str">
        <f aca="false">'Raw Data'!F75</f>
        <v>South</v>
      </c>
      <c r="G76" s="23" t="n">
        <f aca="false">'Raw Data'!G75</f>
        <v>45659</v>
      </c>
      <c r="H76" s="1" t="n">
        <f aca="false">'Raw Data'!H75</f>
        <v>84</v>
      </c>
      <c r="I76" s="24" t="n">
        <f aca="false">'Raw Data'!I75</f>
        <v>0</v>
      </c>
      <c r="J76" s="1" t="str">
        <f aca="false">IF('Raw Data'!J75="None","None",IF(ISBLANK('Raw Data'!J75),"None",'Raw Data'!J75))</f>
        <v>None</v>
      </c>
      <c r="K76" s="1" t="str">
        <f aca="false">'Raw Data'!K75</f>
        <v>Completed</v>
      </c>
      <c r="L76" s="1" t="str">
        <f aca="false">'Raw Data'!L75</f>
        <v>Free</v>
      </c>
      <c r="M76" s="1" t="n">
        <f aca="false">'Raw Data'!M75</f>
        <v>11</v>
      </c>
      <c r="N76" s="1" t="str">
        <f aca="false">'Raw Data'!N75</f>
        <v>No</v>
      </c>
    </row>
    <row r="77" customFormat="false" ht="15" hidden="false" customHeight="true" outlineLevel="0" collapsed="false">
      <c r="A77" s="1" t="str">
        <f aca="false">'Raw Data'!A76</f>
        <v>S00073</v>
      </c>
      <c r="B77" s="1" t="str">
        <f aca="false">'Raw Data'!B76</f>
        <v>P8666</v>
      </c>
      <c r="C77" s="1" t="str">
        <f aca="false">'Raw Data'!C76</f>
        <v>craiggail</v>
      </c>
      <c r="D77" s="1" t="str">
        <f aca="false">'Raw Data'!D76</f>
        <v>SpeedX</v>
      </c>
      <c r="E77" s="1" t="str">
        <f aca="false">'Raw Data'!E76</f>
        <v>Mobile</v>
      </c>
      <c r="F77" s="1" t="str">
        <f aca="false">'Raw Data'!F76</f>
        <v>North</v>
      </c>
      <c r="G77" s="23" t="n">
        <f aca="false">'Raw Data'!G76</f>
        <v>45782</v>
      </c>
      <c r="H77" s="1" t="n">
        <f aca="false">'Raw Data'!H76</f>
        <v>79</v>
      </c>
      <c r="I77" s="24" t="n">
        <f aca="false">'Raw Data'!I76</f>
        <v>0</v>
      </c>
      <c r="J77" s="1" t="str">
        <f aca="false">IF('Raw Data'!J76="None","None",IF(ISBLANK('Raw Data'!J76),"None",'Raw Data'!J76))</f>
        <v>None</v>
      </c>
      <c r="K77" s="1" t="str">
        <f aca="false">'Raw Data'!K76</f>
        <v>Completed</v>
      </c>
      <c r="L77" s="1" t="str">
        <f aca="false">'Raw Data'!L76</f>
        <v>Free</v>
      </c>
      <c r="M77" s="1" t="n">
        <f aca="false">'Raw Data'!M76</f>
        <v>49</v>
      </c>
      <c r="N77" s="1" t="str">
        <f aca="false">'Raw Data'!N76</f>
        <v>No</v>
      </c>
    </row>
    <row r="78" customFormat="false" ht="15" hidden="false" customHeight="true" outlineLevel="0" collapsed="false">
      <c r="A78" s="1" t="str">
        <f aca="false">'Raw Data'!A77</f>
        <v>S00074</v>
      </c>
      <c r="B78" s="1" t="str">
        <f aca="false">'Raw Data'!B77</f>
        <v>P8845</v>
      </c>
      <c r="C78" s="1" t="str">
        <f aca="false">'Raw Data'!C77</f>
        <v>connerkevin</v>
      </c>
      <c r="D78" s="1" t="str">
        <f aca="false">'Raw Data'!D77</f>
        <v>BattleZone</v>
      </c>
      <c r="E78" s="1" t="str">
        <f aca="false">'Raw Data'!E77</f>
        <v>Console</v>
      </c>
      <c r="F78" s="1" t="str">
        <f aca="false">'Raw Data'!F77</f>
        <v>North</v>
      </c>
      <c r="G78" s="23" t="n">
        <f aca="false">'Raw Data'!G77</f>
        <v>45665</v>
      </c>
      <c r="H78" s="1" t="n">
        <f aca="false">'Raw Data'!H77</f>
        <v>147</v>
      </c>
      <c r="I78" s="24" t="n">
        <f aca="false">'Raw Data'!I77</f>
        <v>0</v>
      </c>
      <c r="J78" s="1" t="str">
        <f aca="false">IF('Raw Data'!J77="None","None",IF(ISBLANK('Raw Data'!J77),"None",'Raw Data'!J77))</f>
        <v>None</v>
      </c>
      <c r="K78" s="1" t="str">
        <f aca="false">'Raw Data'!K77</f>
        <v>Completed</v>
      </c>
      <c r="L78" s="1" t="str">
        <f aca="false">'Raw Data'!L77</f>
        <v>Free</v>
      </c>
      <c r="M78" s="1" t="n">
        <f aca="false">'Raw Data'!M77</f>
        <v>14</v>
      </c>
      <c r="N78" s="1" t="str">
        <f aca="false">'Raw Data'!N77</f>
        <v>No</v>
      </c>
    </row>
    <row r="79" customFormat="false" ht="15" hidden="false" customHeight="true" outlineLevel="0" collapsed="false">
      <c r="A79" s="1" t="str">
        <f aca="false">'Raw Data'!A78</f>
        <v>S00075</v>
      </c>
      <c r="B79" s="1" t="str">
        <f aca="false">'Raw Data'!B78</f>
        <v>P3222</v>
      </c>
      <c r="C79" s="1" t="str">
        <f aca="false">'Raw Data'!C78</f>
        <v>fmayer</v>
      </c>
      <c r="D79" s="1" t="str">
        <f aca="false">'Raw Data'!D78</f>
        <v>Empire Wars</v>
      </c>
      <c r="E79" s="1" t="str">
        <f aca="false">'Raw Data'!E78</f>
        <v>Console</v>
      </c>
      <c r="F79" s="1" t="str">
        <f aca="false">'Raw Data'!F78</f>
        <v>West</v>
      </c>
      <c r="G79" s="23" t="n">
        <f aca="false">'Raw Data'!G78</f>
        <v>45750</v>
      </c>
      <c r="H79" s="1" t="n">
        <f aca="false">'Raw Data'!H78</f>
        <v>70</v>
      </c>
      <c r="I79" s="24" t="n">
        <f aca="false">'Raw Data'!I78</f>
        <v>0</v>
      </c>
      <c r="J79" s="1" t="str">
        <f aca="false">IF('Raw Data'!J78="None","None",IF(ISBLANK('Raw Data'!J78),"None",'Raw Data'!J78))</f>
        <v>None</v>
      </c>
      <c r="K79" s="1" t="str">
        <f aca="false">'Raw Data'!K78</f>
        <v>Completed</v>
      </c>
      <c r="L79" s="1" t="str">
        <f aca="false">'Raw Data'!L78</f>
        <v>Free</v>
      </c>
      <c r="M79" s="1" t="n">
        <f aca="false">'Raw Data'!M78</f>
        <v>12</v>
      </c>
      <c r="N79" s="1" t="str">
        <f aca="false">'Raw Data'!N78</f>
        <v>No</v>
      </c>
    </row>
    <row r="80" customFormat="false" ht="15" hidden="false" customHeight="true" outlineLevel="0" collapsed="false">
      <c r="A80" s="1" t="str">
        <f aca="false">'Raw Data'!A79</f>
        <v>S00076</v>
      </c>
      <c r="B80" s="1" t="str">
        <f aca="false">'Raw Data'!B79</f>
        <v>P1269</v>
      </c>
      <c r="C80" s="1" t="str">
        <f aca="false">'Raw Data'!C79</f>
        <v>bryantdawn</v>
      </c>
      <c r="D80" s="1" t="str">
        <f aca="false">'Raw Data'!D79</f>
        <v>SpeedX</v>
      </c>
      <c r="E80" s="1" t="str">
        <f aca="false">'Raw Data'!E79</f>
        <v>PC</v>
      </c>
      <c r="F80" s="1" t="str">
        <f aca="false">'Raw Data'!F79</f>
        <v>East</v>
      </c>
      <c r="G80" s="23" t="n">
        <f aca="false">'Raw Data'!G79</f>
        <v>45817</v>
      </c>
      <c r="H80" s="1" t="n">
        <f aca="false">'Raw Data'!H79</f>
        <v>33</v>
      </c>
      <c r="I80" s="24" t="n">
        <f aca="false">'Raw Data'!I79</f>
        <v>16.41</v>
      </c>
      <c r="J80" s="1" t="str">
        <f aca="false">IF('Raw Data'!J79="None","None",IF(ISBLANK('Raw Data'!J79),"None",'Raw Data'!J79))</f>
        <v>Boosters</v>
      </c>
      <c r="K80" s="1" t="str">
        <f aca="false">'Raw Data'!K79</f>
        <v>Incomplete</v>
      </c>
      <c r="L80" s="1" t="str">
        <f aca="false">'Raw Data'!L79</f>
        <v>Paid</v>
      </c>
      <c r="M80" s="1" t="n">
        <f aca="false">'Raw Data'!M79</f>
        <v>30</v>
      </c>
      <c r="N80" s="1" t="str">
        <f aca="false">'Raw Data'!N79</f>
        <v>No</v>
      </c>
    </row>
    <row r="81" customFormat="false" ht="15" hidden="false" customHeight="true" outlineLevel="0" collapsed="false">
      <c r="A81" s="1" t="str">
        <f aca="false">'Raw Data'!A80</f>
        <v>S00077</v>
      </c>
      <c r="B81" s="1" t="str">
        <f aca="false">'Raw Data'!B80</f>
        <v>P6534</v>
      </c>
      <c r="C81" s="1" t="str">
        <f aca="false">'Raw Data'!C80</f>
        <v>lindsay74</v>
      </c>
      <c r="D81" s="1" t="str">
        <f aca="false">'Raw Data'!D80</f>
        <v>SpeedX</v>
      </c>
      <c r="E81" s="1" t="str">
        <f aca="false">'Raw Data'!E80</f>
        <v>PC</v>
      </c>
      <c r="F81" s="1" t="str">
        <f aca="false">'Raw Data'!F80</f>
        <v>West</v>
      </c>
      <c r="G81" s="23" t="n">
        <f aca="false">'Raw Data'!G80</f>
        <v>45692</v>
      </c>
      <c r="H81" s="1" t="n">
        <f aca="false">'Raw Data'!H80</f>
        <v>128</v>
      </c>
      <c r="I81" s="24" t="n">
        <f aca="false">'Raw Data'!I80</f>
        <v>0</v>
      </c>
      <c r="J81" s="1" t="str">
        <f aca="false">IF('Raw Data'!J80="None","None",IF(ISBLANK('Raw Data'!J80),"None",'Raw Data'!J80))</f>
        <v>None</v>
      </c>
      <c r="K81" s="1" t="str">
        <f aca="false">'Raw Data'!K80</f>
        <v>Incomplete</v>
      </c>
      <c r="L81" s="1" t="str">
        <f aca="false">'Raw Data'!L80</f>
        <v>Free</v>
      </c>
      <c r="M81" s="1" t="n">
        <f aca="false">'Raw Data'!M80</f>
        <v>40</v>
      </c>
      <c r="N81" s="1" t="str">
        <f aca="false">'Raw Data'!N80</f>
        <v>No</v>
      </c>
    </row>
    <row r="82" customFormat="false" ht="15" hidden="false" customHeight="true" outlineLevel="0" collapsed="false">
      <c r="A82" s="1" t="str">
        <f aca="false">'Raw Data'!A81</f>
        <v>S00078</v>
      </c>
      <c r="B82" s="1" t="str">
        <f aca="false">'Raw Data'!B81</f>
        <v>P1662</v>
      </c>
      <c r="C82" s="1" t="str">
        <f aca="false">'Raw Data'!C81</f>
        <v>ehill</v>
      </c>
      <c r="D82" s="1" t="str">
        <f aca="false">'Raw Data'!D81</f>
        <v>SpeedX</v>
      </c>
      <c r="E82" s="1" t="str">
        <f aca="false">'Raw Data'!E81</f>
        <v>Console</v>
      </c>
      <c r="F82" s="1" t="str">
        <f aca="false">'Raw Data'!F81</f>
        <v>Central</v>
      </c>
      <c r="G82" s="23" t="n">
        <f aca="false">'Raw Data'!G81</f>
        <v>45815</v>
      </c>
      <c r="H82" s="1" t="n">
        <f aca="false">'Raw Data'!H81</f>
        <v>28</v>
      </c>
      <c r="I82" s="24" t="n">
        <f aca="false">'Raw Data'!I81</f>
        <v>0</v>
      </c>
      <c r="J82" s="1" t="str">
        <f aca="false">IF('Raw Data'!J81="None","None",IF(ISBLANK('Raw Data'!J81),"None",'Raw Data'!J81))</f>
        <v>None</v>
      </c>
      <c r="K82" s="1" t="str">
        <f aca="false">'Raw Data'!K81</f>
        <v>Completed</v>
      </c>
      <c r="L82" s="1" t="str">
        <f aca="false">'Raw Data'!L81</f>
        <v>Free</v>
      </c>
      <c r="M82" s="1" t="n">
        <f aca="false">'Raw Data'!M81</f>
        <v>4</v>
      </c>
      <c r="N82" s="1" t="str">
        <f aca="false">'Raw Data'!N81</f>
        <v>No</v>
      </c>
    </row>
    <row r="83" customFormat="false" ht="15" hidden="false" customHeight="true" outlineLevel="0" collapsed="false">
      <c r="A83" s="1" t="str">
        <f aca="false">'Raw Data'!A82</f>
        <v>S00079</v>
      </c>
      <c r="B83" s="1" t="str">
        <f aca="false">'Raw Data'!B82</f>
        <v>P9765</v>
      </c>
      <c r="C83" s="1" t="str">
        <f aca="false">'Raw Data'!C82</f>
        <v>hannah41</v>
      </c>
      <c r="D83" s="1" t="str">
        <f aca="false">'Raw Data'!D82</f>
        <v>SpeedX</v>
      </c>
      <c r="E83" s="1" t="str">
        <f aca="false">'Raw Data'!E82</f>
        <v>PC</v>
      </c>
      <c r="F83" s="1" t="str">
        <f aca="false">'Raw Data'!F82</f>
        <v>North</v>
      </c>
      <c r="G83" s="23" t="n">
        <f aca="false">'Raw Data'!G82</f>
        <v>45743</v>
      </c>
      <c r="H83" s="1" t="n">
        <f aca="false">'Raw Data'!H82</f>
        <v>112</v>
      </c>
      <c r="I83" s="24" t="n">
        <f aca="false">'Raw Data'!I82</f>
        <v>0</v>
      </c>
      <c r="J83" s="1" t="str">
        <f aca="false">IF('Raw Data'!J82="None","None",IF(ISBLANK('Raw Data'!J82),"None",'Raw Data'!J82))</f>
        <v>None</v>
      </c>
      <c r="K83" s="1" t="str">
        <f aca="false">'Raw Data'!K82</f>
        <v>Completed</v>
      </c>
      <c r="L83" s="1" t="str">
        <f aca="false">'Raw Data'!L82</f>
        <v>Free</v>
      </c>
      <c r="M83" s="1" t="n">
        <f aca="false">'Raw Data'!M82</f>
        <v>21</v>
      </c>
      <c r="N83" s="1" t="str">
        <f aca="false">'Raw Data'!N82</f>
        <v>No</v>
      </c>
    </row>
    <row r="84" customFormat="false" ht="15" hidden="false" customHeight="true" outlineLevel="0" collapsed="false">
      <c r="A84" s="1" t="str">
        <f aca="false">'Raw Data'!A83</f>
        <v>S00080</v>
      </c>
      <c r="B84" s="1" t="str">
        <f aca="false">'Raw Data'!B83</f>
        <v>P2463</v>
      </c>
      <c r="C84" s="1" t="str">
        <f aca="false">'Raw Data'!C83</f>
        <v>bentonashley</v>
      </c>
      <c r="D84" s="1" t="str">
        <f aca="false">'Raw Data'!D83</f>
        <v>SpeedX</v>
      </c>
      <c r="E84" s="1" t="str">
        <f aca="false">'Raw Data'!E83</f>
        <v>Mobile</v>
      </c>
      <c r="F84" s="1" t="str">
        <f aca="false">'Raw Data'!F83</f>
        <v>South</v>
      </c>
      <c r="G84" s="23" t="n">
        <f aca="false">'Raw Data'!G83</f>
        <v>45779</v>
      </c>
      <c r="H84" s="1" t="n">
        <f aca="false">'Raw Data'!H83</f>
        <v>175</v>
      </c>
      <c r="I84" s="24" t="n">
        <f aca="false">'Raw Data'!I83</f>
        <v>27.19</v>
      </c>
      <c r="J84" s="1" t="str">
        <f aca="false">IF('Raw Data'!J83="None","None",IF(ISBLANK('Raw Data'!J83),"None",'Raw Data'!J83))</f>
        <v>Skins</v>
      </c>
      <c r="K84" s="1" t="str">
        <f aca="false">'Raw Data'!K83</f>
        <v>Completed</v>
      </c>
      <c r="L84" s="1" t="str">
        <f aca="false">'Raw Data'!L83</f>
        <v>Paid</v>
      </c>
      <c r="M84" s="1" t="n">
        <f aca="false">'Raw Data'!M83</f>
        <v>1</v>
      </c>
      <c r="N84" s="1" t="str">
        <f aca="false">'Raw Data'!N83</f>
        <v>Yes</v>
      </c>
    </row>
    <row r="85" customFormat="false" ht="15" hidden="false" customHeight="true" outlineLevel="0" collapsed="false">
      <c r="A85" s="1" t="str">
        <f aca="false">'Raw Data'!A84</f>
        <v>S00081</v>
      </c>
      <c r="B85" s="1" t="str">
        <f aca="false">'Raw Data'!B84</f>
        <v>P3235</v>
      </c>
      <c r="C85" s="1" t="str">
        <f aca="false">'Raw Data'!C84</f>
        <v>kellyhill</v>
      </c>
      <c r="D85" s="1" t="str">
        <f aca="false">'Raw Data'!D84</f>
        <v>Clash of Realms</v>
      </c>
      <c r="E85" s="1" t="str">
        <f aca="false">'Raw Data'!E84</f>
        <v>PC</v>
      </c>
      <c r="F85" s="1" t="str">
        <f aca="false">'Raw Data'!F84</f>
        <v>Central</v>
      </c>
      <c r="G85" s="23" t="n">
        <f aca="false">'Raw Data'!G84</f>
        <v>45809</v>
      </c>
      <c r="H85" s="1" t="n">
        <f aca="false">'Raw Data'!H84</f>
        <v>60</v>
      </c>
      <c r="I85" s="24" t="n">
        <f aca="false">'Raw Data'!I84</f>
        <v>0</v>
      </c>
      <c r="J85" s="1" t="str">
        <f aca="false">IF('Raw Data'!J84="None","None",IF(ISBLANK('Raw Data'!J84),"None",'Raw Data'!J84))</f>
        <v>None</v>
      </c>
      <c r="K85" s="1" t="str">
        <f aca="false">'Raw Data'!K84</f>
        <v>Completed</v>
      </c>
      <c r="L85" s="1" t="str">
        <f aca="false">'Raw Data'!L84</f>
        <v>Free</v>
      </c>
      <c r="M85" s="1" t="n">
        <f aca="false">'Raw Data'!M84</f>
        <v>44</v>
      </c>
      <c r="N85" s="1" t="str">
        <f aca="false">'Raw Data'!N84</f>
        <v>No</v>
      </c>
    </row>
    <row r="86" customFormat="false" ht="15" hidden="false" customHeight="true" outlineLevel="0" collapsed="false">
      <c r="A86" s="1" t="str">
        <f aca="false">'Raw Data'!A85</f>
        <v>S00082</v>
      </c>
      <c r="B86" s="1" t="str">
        <f aca="false">'Raw Data'!B85</f>
        <v>P7193</v>
      </c>
      <c r="C86" s="1" t="str">
        <f aca="false">'Raw Data'!C85</f>
        <v>tlloyd</v>
      </c>
      <c r="D86" s="1" t="str">
        <f aca="false">'Raw Data'!D85</f>
        <v>Zombie Rush</v>
      </c>
      <c r="E86" s="1" t="str">
        <f aca="false">'Raw Data'!E85</f>
        <v>PC</v>
      </c>
      <c r="F86" s="1" t="str">
        <f aca="false">'Raw Data'!F85</f>
        <v>South</v>
      </c>
      <c r="G86" s="23" t="n">
        <f aca="false">'Raw Data'!G85</f>
        <v>45739</v>
      </c>
      <c r="H86" s="1" t="n">
        <f aca="false">'Raw Data'!H85</f>
        <v>144</v>
      </c>
      <c r="I86" s="24" t="n">
        <f aca="false">'Raw Data'!I85</f>
        <v>0</v>
      </c>
      <c r="J86" s="1" t="str">
        <f aca="false">IF('Raw Data'!J85="None","None",IF(ISBLANK('Raw Data'!J85),"None",'Raw Data'!J85))</f>
        <v>None</v>
      </c>
      <c r="K86" s="1" t="str">
        <f aca="false">'Raw Data'!K85</f>
        <v>Completed</v>
      </c>
      <c r="L86" s="1" t="str">
        <f aca="false">'Raw Data'!L85</f>
        <v>Free</v>
      </c>
      <c r="M86" s="1" t="n">
        <f aca="false">'Raw Data'!M85</f>
        <v>35</v>
      </c>
      <c r="N86" s="1" t="str">
        <f aca="false">'Raw Data'!N85</f>
        <v>No</v>
      </c>
    </row>
    <row r="87" customFormat="false" ht="15" hidden="false" customHeight="true" outlineLevel="0" collapsed="false">
      <c r="A87" s="1" t="str">
        <f aca="false">'Raw Data'!A86</f>
        <v>S00083</v>
      </c>
      <c r="B87" s="1" t="str">
        <f aca="false">'Raw Data'!B86</f>
        <v>P1366</v>
      </c>
      <c r="C87" s="1" t="str">
        <f aca="false">'Raw Data'!C86</f>
        <v>robinatkinson</v>
      </c>
      <c r="D87" s="1" t="str">
        <f aca="false">'Raw Data'!D86</f>
        <v>SpeedX</v>
      </c>
      <c r="E87" s="1" t="str">
        <f aca="false">'Raw Data'!E86</f>
        <v>PC</v>
      </c>
      <c r="F87" s="1" t="str">
        <f aca="false">'Raw Data'!F86</f>
        <v>East</v>
      </c>
      <c r="G87" s="23" t="n">
        <f aca="false">'Raw Data'!G86</f>
        <v>45778</v>
      </c>
      <c r="H87" s="1" t="n">
        <f aca="false">'Raw Data'!H86</f>
        <v>47</v>
      </c>
      <c r="I87" s="24" t="n">
        <f aca="false">'Raw Data'!I86</f>
        <v>0</v>
      </c>
      <c r="J87" s="1" t="str">
        <f aca="false">IF('Raw Data'!J86="None","None",IF(ISBLANK('Raw Data'!J86),"None",'Raw Data'!J86))</f>
        <v>None</v>
      </c>
      <c r="K87" s="1" t="str">
        <f aca="false">'Raw Data'!K86</f>
        <v>Crashed</v>
      </c>
      <c r="L87" s="1" t="str">
        <f aca="false">'Raw Data'!L86</f>
        <v>Free</v>
      </c>
      <c r="M87" s="1" t="n">
        <f aca="false">'Raw Data'!M86</f>
        <v>50</v>
      </c>
      <c r="N87" s="1" t="str">
        <f aca="false">'Raw Data'!N86</f>
        <v>No</v>
      </c>
    </row>
    <row r="88" customFormat="false" ht="15" hidden="false" customHeight="true" outlineLevel="0" collapsed="false">
      <c r="A88" s="1" t="str">
        <f aca="false">'Raw Data'!A87</f>
        <v>S00084</v>
      </c>
      <c r="B88" s="1" t="str">
        <f aca="false">'Raw Data'!B87</f>
        <v>P3144</v>
      </c>
      <c r="C88" s="1" t="str">
        <f aca="false">'Raw Data'!C87</f>
        <v>karen96</v>
      </c>
      <c r="D88" s="1" t="str">
        <f aca="false">'Raw Data'!D87</f>
        <v>Clash of Realms</v>
      </c>
      <c r="E88" s="1" t="str">
        <f aca="false">'Raw Data'!E87</f>
        <v>Mobile</v>
      </c>
      <c r="F88" s="1" t="str">
        <f aca="false">'Raw Data'!F87</f>
        <v>South</v>
      </c>
      <c r="G88" s="23" t="n">
        <f aca="false">'Raw Data'!G87</f>
        <v>45677</v>
      </c>
      <c r="H88" s="1" t="n">
        <f aca="false">'Raw Data'!H87</f>
        <v>53</v>
      </c>
      <c r="I88" s="24" t="n">
        <f aca="false">'Raw Data'!I87</f>
        <v>0</v>
      </c>
      <c r="J88" s="1" t="str">
        <f aca="false">IF('Raw Data'!J87="None","None",IF(ISBLANK('Raw Data'!J87),"None",'Raw Data'!J87))</f>
        <v>None</v>
      </c>
      <c r="K88" s="1" t="str">
        <f aca="false">'Raw Data'!K87</f>
        <v>Completed</v>
      </c>
      <c r="L88" s="1" t="str">
        <f aca="false">'Raw Data'!L87</f>
        <v>Free</v>
      </c>
      <c r="M88" s="1" t="n">
        <f aca="false">'Raw Data'!M87</f>
        <v>4</v>
      </c>
      <c r="N88" s="1" t="str">
        <f aca="false">'Raw Data'!N87</f>
        <v>No</v>
      </c>
    </row>
    <row r="89" customFormat="false" ht="15" hidden="false" customHeight="true" outlineLevel="0" collapsed="false">
      <c r="A89" s="1" t="str">
        <f aca="false">'Raw Data'!A88</f>
        <v>S00085</v>
      </c>
      <c r="B89" s="1" t="str">
        <f aca="false">'Raw Data'!B88</f>
        <v>P2977</v>
      </c>
      <c r="C89" s="1" t="str">
        <f aca="false">'Raw Data'!C88</f>
        <v>mark79</v>
      </c>
      <c r="D89" s="1" t="str">
        <f aca="false">'Raw Data'!D88</f>
        <v>Empire Wars</v>
      </c>
      <c r="E89" s="1" t="str">
        <f aca="false">'Raw Data'!E88</f>
        <v>Console</v>
      </c>
      <c r="F89" s="1" t="str">
        <f aca="false">'Raw Data'!F88</f>
        <v>East</v>
      </c>
      <c r="G89" s="23" t="n">
        <f aca="false">'Raw Data'!G88</f>
        <v>45756</v>
      </c>
      <c r="H89" s="1" t="n">
        <f aca="false">'Raw Data'!H88</f>
        <v>43</v>
      </c>
      <c r="I89" s="24" t="n">
        <f aca="false">'Raw Data'!I88</f>
        <v>0</v>
      </c>
      <c r="J89" s="1" t="str">
        <f aca="false">IF('Raw Data'!J88="None","None",IF(ISBLANK('Raw Data'!J88),"None",'Raw Data'!J88))</f>
        <v>None</v>
      </c>
      <c r="K89" s="1" t="str">
        <f aca="false">'Raw Data'!K88</f>
        <v>Completed</v>
      </c>
      <c r="L89" s="1" t="str">
        <f aca="false">'Raw Data'!L88</f>
        <v>Free</v>
      </c>
      <c r="M89" s="1" t="n">
        <f aca="false">'Raw Data'!M88</f>
        <v>20</v>
      </c>
      <c r="N89" s="1" t="str">
        <f aca="false">'Raw Data'!N88</f>
        <v>No</v>
      </c>
    </row>
    <row r="90" customFormat="false" ht="15" hidden="false" customHeight="true" outlineLevel="0" collapsed="false">
      <c r="A90" s="1" t="str">
        <f aca="false">'Raw Data'!A89</f>
        <v>S00086</v>
      </c>
      <c r="B90" s="1" t="str">
        <f aca="false">'Raw Data'!B89</f>
        <v>P8703</v>
      </c>
      <c r="C90" s="1" t="str">
        <f aca="false">'Raw Data'!C89</f>
        <v>wayne88</v>
      </c>
      <c r="D90" s="1" t="str">
        <f aca="false">'Raw Data'!D89</f>
        <v>BattleZone</v>
      </c>
      <c r="E90" s="1" t="str">
        <f aca="false">'Raw Data'!E89</f>
        <v>PC</v>
      </c>
      <c r="F90" s="1" t="str">
        <f aca="false">'Raw Data'!F89</f>
        <v>South</v>
      </c>
      <c r="G90" s="23" t="n">
        <f aca="false">'Raw Data'!G89</f>
        <v>45689</v>
      </c>
      <c r="H90" s="1" t="n">
        <f aca="false">'Raw Data'!H89</f>
        <v>11</v>
      </c>
      <c r="I90" s="24" t="n">
        <f aca="false">'Raw Data'!I89</f>
        <v>0</v>
      </c>
      <c r="J90" s="1" t="str">
        <f aca="false">IF('Raw Data'!J89="None","None",IF(ISBLANK('Raw Data'!J89),"None",'Raw Data'!J89))</f>
        <v>None</v>
      </c>
      <c r="K90" s="1" t="str">
        <f aca="false">'Raw Data'!K89</f>
        <v>Crashed</v>
      </c>
      <c r="L90" s="1" t="str">
        <f aca="false">'Raw Data'!L89</f>
        <v>Free</v>
      </c>
      <c r="M90" s="1" t="n">
        <f aca="false">'Raw Data'!M89</f>
        <v>18</v>
      </c>
      <c r="N90" s="1" t="str">
        <f aca="false">'Raw Data'!N89</f>
        <v>No</v>
      </c>
    </row>
    <row r="91" customFormat="false" ht="15" hidden="false" customHeight="true" outlineLevel="0" collapsed="false">
      <c r="A91" s="1" t="str">
        <f aca="false">'Raw Data'!A90</f>
        <v>S00087</v>
      </c>
      <c r="B91" s="1" t="str">
        <f aca="false">'Raw Data'!B90</f>
        <v>P9792</v>
      </c>
      <c r="C91" s="1" t="str">
        <f aca="false">'Raw Data'!C90</f>
        <v>jack75</v>
      </c>
      <c r="D91" s="1" t="str">
        <f aca="false">'Raw Data'!D90</f>
        <v>BattleZone</v>
      </c>
      <c r="E91" s="1" t="str">
        <f aca="false">'Raw Data'!E90</f>
        <v>Console</v>
      </c>
      <c r="F91" s="1" t="str">
        <f aca="false">'Raw Data'!F90</f>
        <v>South</v>
      </c>
      <c r="G91" s="23" t="n">
        <f aca="false">'Raw Data'!G90</f>
        <v>45719</v>
      </c>
      <c r="H91" s="1" t="n">
        <f aca="false">'Raw Data'!H90</f>
        <v>100</v>
      </c>
      <c r="I91" s="24" t="n">
        <f aca="false">'Raw Data'!I90</f>
        <v>0</v>
      </c>
      <c r="J91" s="1" t="str">
        <f aca="false">IF('Raw Data'!J90="None","None",IF(ISBLANK('Raw Data'!J90),"None",'Raw Data'!J90))</f>
        <v>None</v>
      </c>
      <c r="K91" s="1" t="str">
        <f aca="false">'Raw Data'!K90</f>
        <v>Completed</v>
      </c>
      <c r="L91" s="1" t="str">
        <f aca="false">'Raw Data'!L90</f>
        <v>Free</v>
      </c>
      <c r="M91" s="1" t="n">
        <f aca="false">'Raw Data'!M90</f>
        <v>50</v>
      </c>
      <c r="N91" s="1" t="str">
        <f aca="false">'Raw Data'!N90</f>
        <v>No</v>
      </c>
    </row>
    <row r="92" customFormat="false" ht="15" hidden="false" customHeight="true" outlineLevel="0" collapsed="false">
      <c r="A92" s="1" t="str">
        <f aca="false">'Raw Data'!A91</f>
        <v>S00088</v>
      </c>
      <c r="B92" s="1" t="str">
        <f aca="false">'Raw Data'!B91</f>
        <v>P5000</v>
      </c>
      <c r="C92" s="1" t="str">
        <f aca="false">'Raw Data'!C91</f>
        <v>shenderson</v>
      </c>
      <c r="D92" s="1" t="str">
        <f aca="false">'Raw Data'!D91</f>
        <v>SpeedX</v>
      </c>
      <c r="E92" s="1" t="str">
        <f aca="false">'Raw Data'!E91</f>
        <v>PC</v>
      </c>
      <c r="F92" s="1" t="str">
        <f aca="false">'Raw Data'!F91</f>
        <v>North</v>
      </c>
      <c r="G92" s="23" t="n">
        <f aca="false">'Raw Data'!G91</f>
        <v>45715</v>
      </c>
      <c r="H92" s="1" t="n">
        <f aca="false">'Raw Data'!H91</f>
        <v>54</v>
      </c>
      <c r="I92" s="24" t="n">
        <f aca="false">'Raw Data'!I91</f>
        <v>35.79</v>
      </c>
      <c r="J92" s="1" t="str">
        <f aca="false">IF('Raw Data'!J91="None","None",IF(ISBLANK('Raw Data'!J91),"None",'Raw Data'!J91))</f>
        <v>Skins</v>
      </c>
      <c r="K92" s="1" t="str">
        <f aca="false">'Raw Data'!K91</f>
        <v>Completed</v>
      </c>
      <c r="L92" s="1" t="str">
        <f aca="false">'Raw Data'!L91</f>
        <v>Paid</v>
      </c>
      <c r="M92" s="1" t="n">
        <f aca="false">'Raw Data'!M91</f>
        <v>42</v>
      </c>
      <c r="N92" s="1" t="str">
        <f aca="false">'Raw Data'!N91</f>
        <v>No</v>
      </c>
    </row>
    <row r="93" customFormat="false" ht="15" hidden="false" customHeight="true" outlineLevel="0" collapsed="false">
      <c r="A93" s="1" t="str">
        <f aca="false">'Raw Data'!A92</f>
        <v>S00089</v>
      </c>
      <c r="B93" s="1" t="str">
        <f aca="false">'Raw Data'!B92</f>
        <v>P5536</v>
      </c>
      <c r="C93" s="1" t="str">
        <f aca="false">'Raw Data'!C92</f>
        <v>manderson</v>
      </c>
      <c r="D93" s="1" t="str">
        <f aca="false">'Raw Data'!D92</f>
        <v>Zombie Rush</v>
      </c>
      <c r="E93" s="1" t="str">
        <f aca="false">'Raw Data'!E92</f>
        <v>Mobile</v>
      </c>
      <c r="F93" s="1" t="str">
        <f aca="false">'Raw Data'!F92</f>
        <v>East</v>
      </c>
      <c r="G93" s="23" t="n">
        <f aca="false">'Raw Data'!G92</f>
        <v>45651</v>
      </c>
      <c r="H93" s="1" t="n">
        <f aca="false">'Raw Data'!H92</f>
        <v>92</v>
      </c>
      <c r="I93" s="24" t="n">
        <f aca="false">'Raw Data'!I92</f>
        <v>0</v>
      </c>
      <c r="J93" s="1" t="str">
        <f aca="false">IF('Raw Data'!J92="None","None",IF(ISBLANK('Raw Data'!J92),"None",'Raw Data'!J92))</f>
        <v>None</v>
      </c>
      <c r="K93" s="1" t="str">
        <f aca="false">'Raw Data'!K92</f>
        <v>Incomplete</v>
      </c>
      <c r="L93" s="1" t="str">
        <f aca="false">'Raw Data'!L92</f>
        <v>Free</v>
      </c>
      <c r="M93" s="1" t="n">
        <f aca="false">'Raw Data'!M92</f>
        <v>21</v>
      </c>
      <c r="N93" s="1" t="str">
        <f aca="false">'Raw Data'!N92</f>
        <v>No</v>
      </c>
    </row>
    <row r="94" customFormat="false" ht="15" hidden="false" customHeight="true" outlineLevel="0" collapsed="false">
      <c r="A94" s="1" t="str">
        <f aca="false">'Raw Data'!A93</f>
        <v>S00090</v>
      </c>
      <c r="B94" s="1" t="str">
        <f aca="false">'Raw Data'!B93</f>
        <v>P3420</v>
      </c>
      <c r="C94" s="1" t="str">
        <f aca="false">'Raw Data'!C93</f>
        <v>boylejeffrey</v>
      </c>
      <c r="D94" s="1" t="str">
        <f aca="false">'Raw Data'!D93</f>
        <v>Empire Wars</v>
      </c>
      <c r="E94" s="1" t="str">
        <f aca="false">'Raw Data'!E93</f>
        <v>Mobile</v>
      </c>
      <c r="F94" s="1" t="str">
        <f aca="false">'Raw Data'!F93</f>
        <v>North-East</v>
      </c>
      <c r="G94" s="23" t="n">
        <f aca="false">'Raw Data'!G93</f>
        <v>45661</v>
      </c>
      <c r="H94" s="1" t="n">
        <f aca="false">'Raw Data'!H93</f>
        <v>115</v>
      </c>
      <c r="I94" s="24" t="n">
        <f aca="false">'Raw Data'!I93</f>
        <v>0</v>
      </c>
      <c r="J94" s="1" t="str">
        <f aca="false">IF('Raw Data'!J93="None","None",IF(ISBLANK('Raw Data'!J93),"None",'Raw Data'!J93))</f>
        <v>None</v>
      </c>
      <c r="K94" s="1" t="str">
        <f aca="false">'Raw Data'!K93</f>
        <v>Completed</v>
      </c>
      <c r="L94" s="1" t="str">
        <f aca="false">'Raw Data'!L93</f>
        <v>Free</v>
      </c>
      <c r="M94" s="1" t="n">
        <f aca="false">'Raw Data'!M93</f>
        <v>17</v>
      </c>
      <c r="N94" s="1" t="str">
        <f aca="false">'Raw Data'!N93</f>
        <v>No</v>
      </c>
    </row>
    <row r="95" customFormat="false" ht="15" hidden="false" customHeight="true" outlineLevel="0" collapsed="false">
      <c r="A95" s="1" t="str">
        <f aca="false">'Raw Data'!A94</f>
        <v>S00091</v>
      </c>
      <c r="B95" s="1" t="str">
        <f aca="false">'Raw Data'!B94</f>
        <v>P6128</v>
      </c>
      <c r="C95" s="1" t="str">
        <f aca="false">'Raw Data'!C94</f>
        <v>justinvargas</v>
      </c>
      <c r="D95" s="1" t="str">
        <f aca="false">'Raw Data'!D94</f>
        <v>Clash of Realms</v>
      </c>
      <c r="E95" s="1" t="str">
        <f aca="false">'Raw Data'!E94</f>
        <v>Console</v>
      </c>
      <c r="F95" s="1" t="str">
        <f aca="false">'Raw Data'!F94</f>
        <v>West</v>
      </c>
      <c r="G95" s="23" t="n">
        <f aca="false">'Raw Data'!G94</f>
        <v>45809</v>
      </c>
      <c r="H95" s="1" t="n">
        <f aca="false">'Raw Data'!H94</f>
        <v>76</v>
      </c>
      <c r="I95" s="24" t="n">
        <f aca="false">'Raw Data'!I94</f>
        <v>0</v>
      </c>
      <c r="J95" s="1" t="str">
        <f aca="false">IF('Raw Data'!J94="None","None",IF(ISBLANK('Raw Data'!J94),"None",'Raw Data'!J94))</f>
        <v>None</v>
      </c>
      <c r="K95" s="1" t="str">
        <f aca="false">'Raw Data'!K94</f>
        <v>Completed</v>
      </c>
      <c r="L95" s="1" t="str">
        <f aca="false">'Raw Data'!L94</f>
        <v>Free</v>
      </c>
      <c r="M95" s="1" t="n">
        <f aca="false">'Raw Data'!M94</f>
        <v>44</v>
      </c>
      <c r="N95" s="1" t="str">
        <f aca="false">'Raw Data'!N94</f>
        <v>No</v>
      </c>
    </row>
    <row r="96" customFormat="false" ht="15" hidden="false" customHeight="true" outlineLevel="0" collapsed="false">
      <c r="A96" s="1" t="str">
        <f aca="false">'Raw Data'!A95</f>
        <v>S00092</v>
      </c>
      <c r="B96" s="1" t="str">
        <f aca="false">'Raw Data'!B95</f>
        <v>P2205</v>
      </c>
      <c r="C96" s="1" t="str">
        <f aca="false">'Raw Data'!C95</f>
        <v>smullins</v>
      </c>
      <c r="D96" s="1" t="str">
        <f aca="false">'Raw Data'!D95</f>
        <v>BattleZone</v>
      </c>
      <c r="E96" s="1" t="str">
        <f aca="false">'Raw Data'!E95</f>
        <v>Console</v>
      </c>
      <c r="F96" s="1" t="str">
        <f aca="false">'Raw Data'!F95</f>
        <v>South</v>
      </c>
      <c r="G96" s="23" t="n">
        <f aca="false">'Raw Data'!G95</f>
        <v>45770</v>
      </c>
      <c r="H96" s="1" t="n">
        <f aca="false">'Raw Data'!H95</f>
        <v>81</v>
      </c>
      <c r="I96" s="24" t="n">
        <f aca="false">'Raw Data'!I95</f>
        <v>0</v>
      </c>
      <c r="J96" s="1" t="str">
        <f aca="false">IF('Raw Data'!J95="None","None",IF(ISBLANK('Raw Data'!J95),"None",'Raw Data'!J95))</f>
        <v>None</v>
      </c>
      <c r="K96" s="1" t="str">
        <f aca="false">'Raw Data'!K95</f>
        <v>Crashed</v>
      </c>
      <c r="L96" s="1" t="str">
        <f aca="false">'Raw Data'!L95</f>
        <v>Free</v>
      </c>
      <c r="M96" s="1" t="n">
        <f aca="false">'Raw Data'!M95</f>
        <v>46</v>
      </c>
      <c r="N96" s="1" t="str">
        <f aca="false">'Raw Data'!N95</f>
        <v>No</v>
      </c>
    </row>
    <row r="97" customFormat="false" ht="15" hidden="false" customHeight="true" outlineLevel="0" collapsed="false">
      <c r="A97" s="1" t="str">
        <f aca="false">'Raw Data'!A96</f>
        <v>S00093</v>
      </c>
      <c r="B97" s="1" t="str">
        <f aca="false">'Raw Data'!B96</f>
        <v>P5817</v>
      </c>
      <c r="C97" s="1" t="str">
        <f aca="false">'Raw Data'!C96</f>
        <v>cynthiasimmons</v>
      </c>
      <c r="D97" s="1" t="str">
        <f aca="false">'Raw Data'!D96</f>
        <v>BattleZone</v>
      </c>
      <c r="E97" s="1" t="str">
        <f aca="false">'Raw Data'!E96</f>
        <v>Mobile</v>
      </c>
      <c r="F97" s="1" t="str">
        <f aca="false">'Raw Data'!F96</f>
        <v>North</v>
      </c>
      <c r="G97" s="23" t="n">
        <f aca="false">'Raw Data'!G96</f>
        <v>45646</v>
      </c>
      <c r="H97" s="1" t="n">
        <f aca="false">'Raw Data'!H96</f>
        <v>154</v>
      </c>
      <c r="I97" s="24" t="n">
        <f aca="false">'Raw Data'!I96</f>
        <v>0</v>
      </c>
      <c r="J97" s="1" t="str">
        <f aca="false">IF('Raw Data'!J96="None","None",IF(ISBLANK('Raw Data'!J96),"None",'Raw Data'!J96))</f>
        <v>None</v>
      </c>
      <c r="K97" s="1" t="str">
        <f aca="false">'Raw Data'!K96</f>
        <v>Completed</v>
      </c>
      <c r="L97" s="1" t="str">
        <f aca="false">'Raw Data'!L96</f>
        <v>Free</v>
      </c>
      <c r="M97" s="1" t="n">
        <f aca="false">'Raw Data'!M96</f>
        <v>11</v>
      </c>
      <c r="N97" s="1" t="str">
        <f aca="false">'Raw Data'!N96</f>
        <v>Yes</v>
      </c>
    </row>
    <row r="98" customFormat="false" ht="15" hidden="false" customHeight="true" outlineLevel="0" collapsed="false">
      <c r="A98" s="1" t="str">
        <f aca="false">'Raw Data'!A97</f>
        <v>S00094</v>
      </c>
      <c r="B98" s="1" t="str">
        <f aca="false">'Raw Data'!B97</f>
        <v>P6677</v>
      </c>
      <c r="C98" s="1" t="str">
        <f aca="false">'Raw Data'!C97</f>
        <v>qwatson</v>
      </c>
      <c r="D98" s="1" t="str">
        <f aca="false">'Raw Data'!D97</f>
        <v>SpeedX</v>
      </c>
      <c r="E98" s="1" t="str">
        <f aca="false">'Raw Data'!E97</f>
        <v>Console</v>
      </c>
      <c r="F98" s="1" t="str">
        <f aca="false">'Raw Data'!F97</f>
        <v>North-East</v>
      </c>
      <c r="G98" s="23" t="n">
        <f aca="false">'Raw Data'!G97</f>
        <v>45731</v>
      </c>
      <c r="H98" s="1" t="n">
        <f aca="false">'Raw Data'!H97</f>
        <v>143</v>
      </c>
      <c r="I98" s="24" t="n">
        <f aca="false">'Raw Data'!I97</f>
        <v>0</v>
      </c>
      <c r="J98" s="1" t="str">
        <f aca="false">IF('Raw Data'!J97="None","None",IF(ISBLANK('Raw Data'!J97),"None",'Raw Data'!J97))</f>
        <v>None</v>
      </c>
      <c r="K98" s="1" t="str">
        <f aca="false">'Raw Data'!K97</f>
        <v>Exited Early</v>
      </c>
      <c r="L98" s="1" t="str">
        <f aca="false">'Raw Data'!L97</f>
        <v>Free</v>
      </c>
      <c r="M98" s="1" t="n">
        <f aca="false">'Raw Data'!M97</f>
        <v>10</v>
      </c>
      <c r="N98" s="1" t="str">
        <f aca="false">'Raw Data'!N97</f>
        <v>No</v>
      </c>
    </row>
    <row r="99" customFormat="false" ht="15" hidden="false" customHeight="true" outlineLevel="0" collapsed="false">
      <c r="A99" s="1" t="str">
        <f aca="false">'Raw Data'!A98</f>
        <v>S00095</v>
      </c>
      <c r="B99" s="1" t="str">
        <f aca="false">'Raw Data'!B98</f>
        <v>P5248</v>
      </c>
      <c r="C99" s="1" t="str">
        <f aca="false">'Raw Data'!C98</f>
        <v>xreed</v>
      </c>
      <c r="D99" s="1" t="str">
        <f aca="false">'Raw Data'!D98</f>
        <v>Clash of Realms</v>
      </c>
      <c r="E99" s="1" t="str">
        <f aca="false">'Raw Data'!E98</f>
        <v>PC</v>
      </c>
      <c r="F99" s="1" t="str">
        <f aca="false">'Raw Data'!F98</f>
        <v>South</v>
      </c>
      <c r="G99" s="23" t="n">
        <f aca="false">'Raw Data'!G98</f>
        <v>45779</v>
      </c>
      <c r="H99" s="1" t="n">
        <f aca="false">'Raw Data'!H98</f>
        <v>123</v>
      </c>
      <c r="I99" s="24" t="n">
        <f aca="false">'Raw Data'!I98</f>
        <v>26.85</v>
      </c>
      <c r="J99" s="1" t="str">
        <f aca="false">IF('Raw Data'!J98="None","None",IF(ISBLANK('Raw Data'!J98),"None",'Raw Data'!J98))</f>
        <v>Battle Pass</v>
      </c>
      <c r="K99" s="1" t="str">
        <f aca="false">'Raw Data'!K98</f>
        <v>Crashed</v>
      </c>
      <c r="L99" s="1" t="str">
        <f aca="false">'Raw Data'!L98</f>
        <v>Paid</v>
      </c>
      <c r="M99" s="1" t="n">
        <f aca="false">'Raw Data'!M98</f>
        <v>32</v>
      </c>
      <c r="N99" s="1" t="str">
        <f aca="false">'Raw Data'!N98</f>
        <v>No</v>
      </c>
    </row>
    <row r="100" customFormat="false" ht="15" hidden="false" customHeight="true" outlineLevel="0" collapsed="false">
      <c r="A100" s="1" t="str">
        <f aca="false">'Raw Data'!A99</f>
        <v>S00096</v>
      </c>
      <c r="B100" s="1" t="str">
        <f aca="false">'Raw Data'!B99</f>
        <v>P7669</v>
      </c>
      <c r="C100" s="1" t="str">
        <f aca="false">'Raw Data'!C99</f>
        <v>melanie00</v>
      </c>
      <c r="D100" s="1" t="str">
        <f aca="false">'Raw Data'!D99</f>
        <v>SpeedX</v>
      </c>
      <c r="E100" s="1" t="str">
        <f aca="false">'Raw Data'!E99</f>
        <v>Console</v>
      </c>
      <c r="F100" s="1" t="str">
        <f aca="false">'Raw Data'!F99</f>
        <v>Central</v>
      </c>
      <c r="G100" s="23" t="n">
        <f aca="false">'Raw Data'!G99</f>
        <v>45712</v>
      </c>
      <c r="H100" s="1" t="n">
        <f aca="false">'Raw Data'!H99</f>
        <v>158</v>
      </c>
      <c r="I100" s="24" t="n">
        <f aca="false">'Raw Data'!I99</f>
        <v>0</v>
      </c>
      <c r="J100" s="1" t="str">
        <f aca="false">IF('Raw Data'!J99="None","None",IF(ISBLANK('Raw Data'!J99),"None",'Raw Data'!J99))</f>
        <v>None</v>
      </c>
      <c r="K100" s="1" t="str">
        <f aca="false">'Raw Data'!K99</f>
        <v>Completed</v>
      </c>
      <c r="L100" s="1" t="str">
        <f aca="false">'Raw Data'!L99</f>
        <v>Paid</v>
      </c>
      <c r="M100" s="1" t="n">
        <f aca="false">'Raw Data'!M99</f>
        <v>17</v>
      </c>
      <c r="N100" s="1" t="str">
        <f aca="false">'Raw Data'!N99</f>
        <v>Yes</v>
      </c>
    </row>
    <row r="101" customFormat="false" ht="15" hidden="false" customHeight="true" outlineLevel="0" collapsed="false">
      <c r="A101" s="1" t="str">
        <f aca="false">'Raw Data'!A100</f>
        <v>S00097</v>
      </c>
      <c r="B101" s="1" t="str">
        <f aca="false">'Raw Data'!B100</f>
        <v>P1126</v>
      </c>
      <c r="C101" s="1" t="str">
        <f aca="false">'Raw Data'!C100</f>
        <v>richardward</v>
      </c>
      <c r="D101" s="1" t="str">
        <f aca="false">'Raw Data'!D100</f>
        <v>Zombie Rush</v>
      </c>
      <c r="E101" s="1" t="str">
        <f aca="false">'Raw Data'!E100</f>
        <v>PC</v>
      </c>
      <c r="F101" s="1" t="str">
        <f aca="false">'Raw Data'!F100</f>
        <v>West</v>
      </c>
      <c r="G101" s="23" t="n">
        <f aca="false">'Raw Data'!G100</f>
        <v>45710</v>
      </c>
      <c r="H101" s="1" t="n">
        <f aca="false">'Raw Data'!H100</f>
        <v>122</v>
      </c>
      <c r="I101" s="24" t="n">
        <f aca="false">'Raw Data'!I100</f>
        <v>0</v>
      </c>
      <c r="J101" s="1" t="str">
        <f aca="false">IF('Raw Data'!J100="None","None",IF(ISBLANK('Raw Data'!J100),"None",'Raw Data'!J100))</f>
        <v>None</v>
      </c>
      <c r="K101" s="1" t="str">
        <f aca="false">'Raw Data'!K100</f>
        <v>Completed</v>
      </c>
      <c r="L101" s="1" t="str">
        <f aca="false">'Raw Data'!L100</f>
        <v>Free</v>
      </c>
      <c r="M101" s="1" t="n">
        <f aca="false">'Raw Data'!M100</f>
        <v>9</v>
      </c>
      <c r="N101" s="1" t="str">
        <f aca="false">'Raw Data'!N100</f>
        <v>No</v>
      </c>
    </row>
    <row r="102" customFormat="false" ht="15" hidden="false" customHeight="true" outlineLevel="0" collapsed="false">
      <c r="A102" s="1" t="str">
        <f aca="false">'Raw Data'!A101</f>
        <v>S00098</v>
      </c>
      <c r="B102" s="1" t="str">
        <f aca="false">'Raw Data'!B101</f>
        <v>P8252</v>
      </c>
      <c r="C102" s="1" t="str">
        <f aca="false">'Raw Data'!C101</f>
        <v>riggsbarbara</v>
      </c>
      <c r="D102" s="1" t="str">
        <f aca="false">'Raw Data'!D101</f>
        <v>SpeedX</v>
      </c>
      <c r="E102" s="1" t="str">
        <f aca="false">'Raw Data'!E101</f>
        <v>Console</v>
      </c>
      <c r="F102" s="1" t="str">
        <f aca="false">'Raw Data'!F101</f>
        <v>North-East</v>
      </c>
      <c r="G102" s="23" t="n">
        <f aca="false">'Raw Data'!G101</f>
        <v>45646</v>
      </c>
      <c r="H102" s="1" t="n">
        <f aca="false">'Raw Data'!H101</f>
        <v>164</v>
      </c>
      <c r="I102" s="24" t="n">
        <f aca="false">'Raw Data'!I101</f>
        <v>0</v>
      </c>
      <c r="J102" s="1" t="str">
        <f aca="false">IF('Raw Data'!J101="None","None",IF(ISBLANK('Raw Data'!J101),"None",'Raw Data'!J101))</f>
        <v>None</v>
      </c>
      <c r="K102" s="1" t="str">
        <f aca="false">'Raw Data'!K101</f>
        <v>Completed</v>
      </c>
      <c r="L102" s="1" t="str">
        <f aca="false">'Raw Data'!L101</f>
        <v>Paid</v>
      </c>
      <c r="M102" s="1" t="n">
        <f aca="false">'Raw Data'!M101</f>
        <v>19</v>
      </c>
      <c r="N102" s="1" t="str">
        <f aca="false">'Raw Data'!N101</f>
        <v>Yes</v>
      </c>
    </row>
    <row r="103" customFormat="false" ht="15" hidden="false" customHeight="true" outlineLevel="0" collapsed="false">
      <c r="A103" s="1" t="str">
        <f aca="false">'Raw Data'!A102</f>
        <v>S00099</v>
      </c>
      <c r="B103" s="1" t="str">
        <f aca="false">'Raw Data'!B102</f>
        <v>P9800</v>
      </c>
      <c r="C103" s="1" t="str">
        <f aca="false">'Raw Data'!C102</f>
        <v>sroach</v>
      </c>
      <c r="D103" s="1" t="str">
        <f aca="false">'Raw Data'!D102</f>
        <v>Empire Wars</v>
      </c>
      <c r="E103" s="1" t="str">
        <f aca="false">'Raw Data'!E102</f>
        <v>Console</v>
      </c>
      <c r="F103" s="1" t="str">
        <f aca="false">'Raw Data'!F102</f>
        <v>East</v>
      </c>
      <c r="G103" s="23" t="n">
        <f aca="false">'Raw Data'!G102</f>
        <v>45738</v>
      </c>
      <c r="H103" s="1" t="n">
        <f aca="false">'Raw Data'!H102</f>
        <v>173</v>
      </c>
      <c r="I103" s="24" t="n">
        <f aca="false">'Raw Data'!I102</f>
        <v>0</v>
      </c>
      <c r="J103" s="1" t="str">
        <f aca="false">IF('Raw Data'!J102="None","None",IF(ISBLANK('Raw Data'!J102),"None",'Raw Data'!J102))</f>
        <v>None</v>
      </c>
      <c r="K103" s="1" t="str">
        <f aca="false">'Raw Data'!K102</f>
        <v>Completed</v>
      </c>
      <c r="L103" s="1" t="str">
        <f aca="false">'Raw Data'!L102</f>
        <v>Free</v>
      </c>
      <c r="M103" s="1" t="n">
        <f aca="false">'Raw Data'!M102</f>
        <v>37</v>
      </c>
      <c r="N103" s="1" t="str">
        <f aca="false">'Raw Data'!N102</f>
        <v>Yes</v>
      </c>
    </row>
    <row r="104" customFormat="false" ht="15" hidden="false" customHeight="true" outlineLevel="0" collapsed="false">
      <c r="A104" s="1" t="str">
        <f aca="false">'Raw Data'!A103</f>
        <v>S00100</v>
      </c>
      <c r="B104" s="1" t="str">
        <f aca="false">'Raw Data'!B103</f>
        <v>P5367</v>
      </c>
      <c r="C104" s="1" t="str">
        <f aca="false">'Raw Data'!C103</f>
        <v>jeffreyluna</v>
      </c>
      <c r="D104" s="1" t="str">
        <f aca="false">'Raw Data'!D103</f>
        <v>Empire Wars</v>
      </c>
      <c r="E104" s="1" t="str">
        <f aca="false">'Raw Data'!E103</f>
        <v>Console</v>
      </c>
      <c r="F104" s="1" t="str">
        <f aca="false">'Raw Data'!F103</f>
        <v>East</v>
      </c>
      <c r="G104" s="23" t="n">
        <f aca="false">'Raw Data'!G103</f>
        <v>45787</v>
      </c>
      <c r="H104" s="1" t="n">
        <f aca="false">'Raw Data'!H103</f>
        <v>107</v>
      </c>
      <c r="I104" s="24" t="n">
        <f aca="false">'Raw Data'!I103</f>
        <v>0</v>
      </c>
      <c r="J104" s="1" t="str">
        <f aca="false">IF('Raw Data'!J103="None","None",IF(ISBLANK('Raw Data'!J103),"None",'Raw Data'!J103))</f>
        <v>None</v>
      </c>
      <c r="K104" s="1" t="str">
        <f aca="false">'Raw Data'!K103</f>
        <v>Incomplete</v>
      </c>
      <c r="L104" s="1" t="str">
        <f aca="false">'Raw Data'!L103</f>
        <v>Free</v>
      </c>
      <c r="M104" s="1" t="n">
        <f aca="false">'Raw Data'!M103</f>
        <v>13</v>
      </c>
      <c r="N104" s="1" t="str">
        <f aca="false">'Raw Data'!N103</f>
        <v>No</v>
      </c>
    </row>
    <row r="105" customFormat="false" ht="15" hidden="false" customHeight="true" outlineLevel="0" collapsed="false">
      <c r="A105" s="1" t="str">
        <f aca="false">'Raw Data'!A104</f>
        <v>S00101</v>
      </c>
      <c r="B105" s="1" t="str">
        <f aca="false">'Raw Data'!B104</f>
        <v>P6401</v>
      </c>
      <c r="C105" s="1" t="str">
        <f aca="false">'Raw Data'!C104</f>
        <v>chavezmelissa</v>
      </c>
      <c r="D105" s="1" t="str">
        <f aca="false">'Raw Data'!D104</f>
        <v>BattleZone</v>
      </c>
      <c r="E105" s="1" t="str">
        <f aca="false">'Raw Data'!E104</f>
        <v>Mobile</v>
      </c>
      <c r="F105" s="1" t="str">
        <f aca="false">'Raw Data'!F104</f>
        <v>North</v>
      </c>
      <c r="G105" s="23" t="n">
        <f aca="false">'Raw Data'!G104</f>
        <v>45750</v>
      </c>
      <c r="H105" s="1" t="n">
        <f aca="false">'Raw Data'!H104</f>
        <v>34</v>
      </c>
      <c r="I105" s="24" t="n">
        <f aca="false">'Raw Data'!I104</f>
        <v>15.26</v>
      </c>
      <c r="J105" s="1" t="str">
        <f aca="false">IF('Raw Data'!J104="None","None",IF(ISBLANK('Raw Data'!J104),"None",'Raw Data'!J104))</f>
        <v>Skins</v>
      </c>
      <c r="K105" s="1" t="str">
        <f aca="false">'Raw Data'!K104</f>
        <v>Completed</v>
      </c>
      <c r="L105" s="1" t="str">
        <f aca="false">'Raw Data'!L104</f>
        <v>Paid</v>
      </c>
      <c r="M105" s="1" t="n">
        <f aca="false">'Raw Data'!M104</f>
        <v>11</v>
      </c>
      <c r="N105" s="1" t="str">
        <f aca="false">'Raw Data'!N104</f>
        <v>No</v>
      </c>
    </row>
    <row r="106" customFormat="false" ht="15" hidden="false" customHeight="true" outlineLevel="0" collapsed="false">
      <c r="A106" s="1" t="str">
        <f aca="false">'Raw Data'!A105</f>
        <v>S00102</v>
      </c>
      <c r="B106" s="1" t="str">
        <f aca="false">'Raw Data'!B105</f>
        <v>P1736</v>
      </c>
      <c r="C106" s="1" t="str">
        <f aca="false">'Raw Data'!C105</f>
        <v>qserrano</v>
      </c>
      <c r="D106" s="1" t="str">
        <f aca="false">'Raw Data'!D105</f>
        <v>Zombie Rush</v>
      </c>
      <c r="E106" s="1" t="str">
        <f aca="false">'Raw Data'!E105</f>
        <v>Mobile</v>
      </c>
      <c r="F106" s="1" t="str">
        <f aca="false">'Raw Data'!F105</f>
        <v>East</v>
      </c>
      <c r="G106" s="23" t="n">
        <f aca="false">'Raw Data'!G105</f>
        <v>45677</v>
      </c>
      <c r="H106" s="1" t="n">
        <f aca="false">'Raw Data'!H105</f>
        <v>180</v>
      </c>
      <c r="I106" s="24" t="n">
        <f aca="false">'Raw Data'!I105</f>
        <v>0</v>
      </c>
      <c r="J106" s="1" t="str">
        <f aca="false">IF('Raw Data'!J105="None","None",IF(ISBLANK('Raw Data'!J105),"None",'Raw Data'!J105))</f>
        <v>None</v>
      </c>
      <c r="K106" s="1" t="str">
        <f aca="false">'Raw Data'!K105</f>
        <v>Completed</v>
      </c>
      <c r="L106" s="1" t="str">
        <f aca="false">'Raw Data'!L105</f>
        <v>Free</v>
      </c>
      <c r="M106" s="1" t="n">
        <f aca="false">'Raw Data'!M105</f>
        <v>28</v>
      </c>
      <c r="N106" s="1" t="str">
        <f aca="false">'Raw Data'!N105</f>
        <v>Yes</v>
      </c>
    </row>
    <row r="107" customFormat="false" ht="15" hidden="false" customHeight="true" outlineLevel="0" collapsed="false">
      <c r="A107" s="1" t="str">
        <f aca="false">'Raw Data'!A106</f>
        <v>S00103</v>
      </c>
      <c r="B107" s="1" t="str">
        <f aca="false">'Raw Data'!B106</f>
        <v>P5013</v>
      </c>
      <c r="C107" s="1" t="str">
        <f aca="false">'Raw Data'!C106</f>
        <v>angelabutler</v>
      </c>
      <c r="D107" s="1" t="str">
        <f aca="false">'Raw Data'!D106</f>
        <v>Empire Wars</v>
      </c>
      <c r="E107" s="1" t="str">
        <f aca="false">'Raw Data'!E106</f>
        <v>Mobile</v>
      </c>
      <c r="F107" s="1" t="str">
        <f aca="false">'Raw Data'!F106</f>
        <v>North-East</v>
      </c>
      <c r="G107" s="23" t="n">
        <f aca="false">'Raw Data'!G106</f>
        <v>45668</v>
      </c>
      <c r="H107" s="1" t="n">
        <f aca="false">'Raw Data'!H106</f>
        <v>41</v>
      </c>
      <c r="I107" s="24" t="n">
        <f aca="false">'Raw Data'!I106</f>
        <v>0</v>
      </c>
      <c r="J107" s="1" t="str">
        <f aca="false">IF('Raw Data'!J106="None","None",IF(ISBLANK('Raw Data'!J106),"None",'Raw Data'!J106))</f>
        <v>None</v>
      </c>
      <c r="K107" s="1" t="str">
        <f aca="false">'Raw Data'!K106</f>
        <v>Exited Early</v>
      </c>
      <c r="L107" s="1" t="str">
        <f aca="false">'Raw Data'!L106</f>
        <v>Free</v>
      </c>
      <c r="M107" s="1" t="n">
        <f aca="false">'Raw Data'!M106</f>
        <v>47</v>
      </c>
      <c r="N107" s="1" t="str">
        <f aca="false">'Raw Data'!N106</f>
        <v>No</v>
      </c>
    </row>
    <row r="108" customFormat="false" ht="15" hidden="false" customHeight="true" outlineLevel="0" collapsed="false">
      <c r="A108" s="1" t="str">
        <f aca="false">'Raw Data'!A107</f>
        <v>S00104</v>
      </c>
      <c r="B108" s="1" t="str">
        <f aca="false">'Raw Data'!B107</f>
        <v>P9492</v>
      </c>
      <c r="C108" s="1" t="str">
        <f aca="false">'Raw Data'!C107</f>
        <v>ggriffith</v>
      </c>
      <c r="D108" s="1" t="str">
        <f aca="false">'Raw Data'!D107</f>
        <v>Empire Wars</v>
      </c>
      <c r="E108" s="1" t="str">
        <f aca="false">'Raw Data'!E107</f>
        <v>Console</v>
      </c>
      <c r="F108" s="1" t="str">
        <f aca="false">'Raw Data'!F107</f>
        <v>West</v>
      </c>
      <c r="G108" s="23" t="n">
        <f aca="false">'Raw Data'!G107</f>
        <v>45795</v>
      </c>
      <c r="H108" s="1" t="n">
        <f aca="false">'Raw Data'!H107</f>
        <v>90</v>
      </c>
      <c r="I108" s="24" t="n">
        <f aca="false">'Raw Data'!I107</f>
        <v>0</v>
      </c>
      <c r="J108" s="1" t="str">
        <f aca="false">IF('Raw Data'!J107="None","None",IF(ISBLANK('Raw Data'!J107),"None",'Raw Data'!J107))</f>
        <v>None</v>
      </c>
      <c r="K108" s="1" t="str">
        <f aca="false">'Raw Data'!K107</f>
        <v>Completed</v>
      </c>
      <c r="L108" s="1" t="str">
        <f aca="false">'Raw Data'!L107</f>
        <v>Free</v>
      </c>
      <c r="M108" s="1" t="n">
        <f aca="false">'Raw Data'!M107</f>
        <v>3</v>
      </c>
      <c r="N108" s="1" t="str">
        <f aca="false">'Raw Data'!N107</f>
        <v>No</v>
      </c>
    </row>
    <row r="109" customFormat="false" ht="15" hidden="false" customHeight="true" outlineLevel="0" collapsed="false">
      <c r="A109" s="1" t="str">
        <f aca="false">'Raw Data'!A108</f>
        <v>S00105</v>
      </c>
      <c r="B109" s="1" t="str">
        <f aca="false">'Raw Data'!B108</f>
        <v>P2590</v>
      </c>
      <c r="C109" s="1" t="str">
        <f aca="false">'Raw Data'!C108</f>
        <v>chrisperkins</v>
      </c>
      <c r="D109" s="1" t="str">
        <f aca="false">'Raw Data'!D108</f>
        <v>Clash of Realms</v>
      </c>
      <c r="E109" s="1" t="str">
        <f aca="false">'Raw Data'!E108</f>
        <v>Console</v>
      </c>
      <c r="F109" s="1" t="str">
        <f aca="false">'Raw Data'!F108</f>
        <v>Central</v>
      </c>
      <c r="G109" s="23" t="n">
        <f aca="false">'Raw Data'!G108</f>
        <v>45799</v>
      </c>
      <c r="H109" s="1" t="n">
        <f aca="false">'Raw Data'!H108</f>
        <v>64</v>
      </c>
      <c r="I109" s="24" t="n">
        <f aca="false">'Raw Data'!I108</f>
        <v>0</v>
      </c>
      <c r="J109" s="1" t="str">
        <f aca="false">IF('Raw Data'!J108="None","None",IF(ISBLANK('Raw Data'!J108),"None",'Raw Data'!J108))</f>
        <v>None</v>
      </c>
      <c r="K109" s="1" t="str">
        <f aca="false">'Raw Data'!K108</f>
        <v>Completed</v>
      </c>
      <c r="L109" s="1" t="str">
        <f aca="false">'Raw Data'!L108</f>
        <v>Free</v>
      </c>
      <c r="M109" s="1" t="n">
        <f aca="false">'Raw Data'!M108</f>
        <v>50</v>
      </c>
      <c r="N109" s="1" t="str">
        <f aca="false">'Raw Data'!N108</f>
        <v>No</v>
      </c>
    </row>
    <row r="110" customFormat="false" ht="15" hidden="false" customHeight="true" outlineLevel="0" collapsed="false">
      <c r="A110" s="1" t="str">
        <f aca="false">'Raw Data'!A109</f>
        <v>S00106</v>
      </c>
      <c r="B110" s="1" t="str">
        <f aca="false">'Raw Data'!B109</f>
        <v>P8823</v>
      </c>
      <c r="C110" s="1" t="str">
        <f aca="false">'Raw Data'!C109</f>
        <v>blakewallace</v>
      </c>
      <c r="D110" s="1" t="str">
        <f aca="false">'Raw Data'!D109</f>
        <v>BattleZone</v>
      </c>
      <c r="E110" s="1" t="str">
        <f aca="false">'Raw Data'!E109</f>
        <v>Mobile</v>
      </c>
      <c r="F110" s="1" t="str">
        <f aca="false">'Raw Data'!F109</f>
        <v>Central</v>
      </c>
      <c r="G110" s="23" t="n">
        <f aca="false">'Raw Data'!G109</f>
        <v>45685</v>
      </c>
      <c r="H110" s="1" t="n">
        <f aca="false">'Raw Data'!H109</f>
        <v>101</v>
      </c>
      <c r="I110" s="24" t="n">
        <f aca="false">'Raw Data'!I109</f>
        <v>0</v>
      </c>
      <c r="J110" s="1" t="str">
        <f aca="false">IF('Raw Data'!J109="None","None",IF(ISBLANK('Raw Data'!J109),"None",'Raw Data'!J109))</f>
        <v>None</v>
      </c>
      <c r="K110" s="1" t="str">
        <f aca="false">'Raw Data'!K109</f>
        <v>Completed</v>
      </c>
      <c r="L110" s="1" t="str">
        <f aca="false">'Raw Data'!L109</f>
        <v>Free</v>
      </c>
      <c r="M110" s="1" t="n">
        <f aca="false">'Raw Data'!M109</f>
        <v>6</v>
      </c>
      <c r="N110" s="1" t="str">
        <f aca="false">'Raw Data'!N109</f>
        <v>No</v>
      </c>
    </row>
    <row r="111" customFormat="false" ht="15" hidden="false" customHeight="true" outlineLevel="0" collapsed="false">
      <c r="A111" s="1" t="str">
        <f aca="false">'Raw Data'!A110</f>
        <v>S00107</v>
      </c>
      <c r="B111" s="1" t="str">
        <f aca="false">'Raw Data'!B110</f>
        <v>P1933</v>
      </c>
      <c r="C111" s="1" t="str">
        <f aca="false">'Raw Data'!C110</f>
        <v>ismith</v>
      </c>
      <c r="D111" s="1" t="str">
        <f aca="false">'Raw Data'!D110</f>
        <v>BattleZone</v>
      </c>
      <c r="E111" s="1" t="str">
        <f aca="false">'Raw Data'!E110</f>
        <v>PC</v>
      </c>
      <c r="F111" s="1" t="str">
        <f aca="false">'Raw Data'!F110</f>
        <v>North</v>
      </c>
      <c r="G111" s="23" t="n">
        <f aca="false">'Raw Data'!G110</f>
        <v>45762</v>
      </c>
      <c r="H111" s="1" t="n">
        <f aca="false">'Raw Data'!H110</f>
        <v>21</v>
      </c>
      <c r="I111" s="24" t="n">
        <f aca="false">'Raw Data'!I110</f>
        <v>36.34</v>
      </c>
      <c r="J111" s="1" t="str">
        <f aca="false">IF('Raw Data'!J110="None","None",IF(ISBLANK('Raw Data'!J110),"None",'Raw Data'!J110))</f>
        <v>Subscriptions</v>
      </c>
      <c r="K111" s="1" t="str">
        <f aca="false">'Raw Data'!K110</f>
        <v>Completed</v>
      </c>
      <c r="L111" s="1" t="str">
        <f aca="false">'Raw Data'!L110</f>
        <v>Paid</v>
      </c>
      <c r="M111" s="1" t="n">
        <f aca="false">'Raw Data'!M110</f>
        <v>24</v>
      </c>
      <c r="N111" s="1" t="str">
        <f aca="false">'Raw Data'!N110</f>
        <v>No</v>
      </c>
    </row>
    <row r="112" customFormat="false" ht="15" hidden="false" customHeight="true" outlineLevel="0" collapsed="false">
      <c r="A112" s="1" t="str">
        <f aca="false">'Raw Data'!A111</f>
        <v>S00108</v>
      </c>
      <c r="B112" s="1" t="str">
        <f aca="false">'Raw Data'!B111</f>
        <v>P4776</v>
      </c>
      <c r="C112" s="1" t="str">
        <f aca="false">'Raw Data'!C111</f>
        <v>amydunn</v>
      </c>
      <c r="D112" s="1" t="str">
        <f aca="false">'Raw Data'!D111</f>
        <v>Empire Wars</v>
      </c>
      <c r="E112" s="1" t="str">
        <f aca="false">'Raw Data'!E111</f>
        <v>Console</v>
      </c>
      <c r="F112" s="1" t="str">
        <f aca="false">'Raw Data'!F111</f>
        <v>West</v>
      </c>
      <c r="G112" s="23" t="n">
        <f aca="false">'Raw Data'!G111</f>
        <v>45747</v>
      </c>
      <c r="H112" s="1" t="n">
        <f aca="false">'Raw Data'!H111</f>
        <v>153</v>
      </c>
      <c r="I112" s="24" t="n">
        <f aca="false">'Raw Data'!I111</f>
        <v>0</v>
      </c>
      <c r="J112" s="1" t="str">
        <f aca="false">IF('Raw Data'!J111="None","None",IF(ISBLANK('Raw Data'!J111),"None",'Raw Data'!J111))</f>
        <v>None</v>
      </c>
      <c r="K112" s="1" t="str">
        <f aca="false">'Raw Data'!K111</f>
        <v>Crashed</v>
      </c>
      <c r="L112" s="1" t="str">
        <f aca="false">'Raw Data'!L111</f>
        <v>Free</v>
      </c>
      <c r="M112" s="1" t="n">
        <f aca="false">'Raw Data'!M111</f>
        <v>25</v>
      </c>
      <c r="N112" s="1" t="str">
        <f aca="false">'Raw Data'!N111</f>
        <v>Yes</v>
      </c>
    </row>
    <row r="113" customFormat="false" ht="15" hidden="false" customHeight="true" outlineLevel="0" collapsed="false">
      <c r="A113" s="1" t="str">
        <f aca="false">'Raw Data'!A112</f>
        <v>S00109</v>
      </c>
      <c r="B113" s="1" t="str">
        <f aca="false">'Raw Data'!B112</f>
        <v>P2082</v>
      </c>
      <c r="C113" s="1" t="str">
        <f aca="false">'Raw Data'!C112</f>
        <v>awise</v>
      </c>
      <c r="D113" s="1" t="str">
        <f aca="false">'Raw Data'!D112</f>
        <v>Empire Wars</v>
      </c>
      <c r="E113" s="1" t="str">
        <f aca="false">'Raw Data'!E112</f>
        <v>PC</v>
      </c>
      <c r="F113" s="1" t="str">
        <f aca="false">'Raw Data'!F112</f>
        <v>North-East</v>
      </c>
      <c r="G113" s="23" t="n">
        <f aca="false">'Raw Data'!G112</f>
        <v>45819</v>
      </c>
      <c r="H113" s="1" t="n">
        <f aca="false">'Raw Data'!H112</f>
        <v>153</v>
      </c>
      <c r="I113" s="24" t="n">
        <f aca="false">'Raw Data'!I112</f>
        <v>0</v>
      </c>
      <c r="J113" s="1" t="str">
        <f aca="false">IF('Raw Data'!J112="None","None",IF(ISBLANK('Raw Data'!J112),"None",'Raw Data'!J112))</f>
        <v>None</v>
      </c>
      <c r="K113" s="1" t="str">
        <f aca="false">'Raw Data'!K112</f>
        <v>Completed</v>
      </c>
      <c r="L113" s="1" t="str">
        <f aca="false">'Raw Data'!L112</f>
        <v>Free</v>
      </c>
      <c r="M113" s="1" t="n">
        <f aca="false">'Raw Data'!M112</f>
        <v>48</v>
      </c>
      <c r="N113" s="1" t="str">
        <f aca="false">'Raw Data'!N112</f>
        <v>Yes</v>
      </c>
    </row>
    <row r="114" customFormat="false" ht="15" hidden="false" customHeight="true" outlineLevel="0" collapsed="false">
      <c r="A114" s="1" t="str">
        <f aca="false">'Raw Data'!A113</f>
        <v>S00110</v>
      </c>
      <c r="B114" s="1" t="str">
        <f aca="false">'Raw Data'!B113</f>
        <v>P9730</v>
      </c>
      <c r="C114" s="1" t="str">
        <f aca="false">'Raw Data'!C113</f>
        <v>jennifer33</v>
      </c>
      <c r="D114" s="1" t="str">
        <f aca="false">'Raw Data'!D113</f>
        <v>BattleZone</v>
      </c>
      <c r="E114" s="1" t="str">
        <f aca="false">'Raw Data'!E113</f>
        <v>PC</v>
      </c>
      <c r="F114" s="1" t="str">
        <f aca="false">'Raw Data'!F113</f>
        <v>North</v>
      </c>
      <c r="G114" s="23" t="n">
        <f aca="false">'Raw Data'!G113</f>
        <v>45798</v>
      </c>
      <c r="H114" s="1" t="n">
        <f aca="false">'Raw Data'!H113</f>
        <v>164</v>
      </c>
      <c r="I114" s="24" t="n">
        <f aca="false">'Raw Data'!I113</f>
        <v>0</v>
      </c>
      <c r="J114" s="1" t="str">
        <f aca="false">IF('Raw Data'!J113="None","None",IF(ISBLANK('Raw Data'!J113),"None",'Raw Data'!J113))</f>
        <v>None</v>
      </c>
      <c r="K114" s="1" t="str">
        <f aca="false">'Raw Data'!K113</f>
        <v>Crashed</v>
      </c>
      <c r="L114" s="1" t="str">
        <f aca="false">'Raw Data'!L113</f>
        <v>Paid</v>
      </c>
      <c r="M114" s="1" t="n">
        <f aca="false">'Raw Data'!M113</f>
        <v>39</v>
      </c>
      <c r="N114" s="1" t="str">
        <f aca="false">'Raw Data'!N113</f>
        <v>Yes</v>
      </c>
    </row>
    <row r="115" customFormat="false" ht="15" hidden="false" customHeight="true" outlineLevel="0" collapsed="false">
      <c r="A115" s="1" t="str">
        <f aca="false">'Raw Data'!A114</f>
        <v>S00111</v>
      </c>
      <c r="B115" s="1" t="str">
        <f aca="false">'Raw Data'!B114</f>
        <v>P1583</v>
      </c>
      <c r="C115" s="1" t="str">
        <f aca="false">'Raw Data'!C114</f>
        <v>heatherpayne</v>
      </c>
      <c r="D115" s="1" t="str">
        <f aca="false">'Raw Data'!D114</f>
        <v>BattleZone</v>
      </c>
      <c r="E115" s="1" t="str">
        <f aca="false">'Raw Data'!E114</f>
        <v>PC</v>
      </c>
      <c r="F115" s="1" t="str">
        <f aca="false">'Raw Data'!F114</f>
        <v>Central</v>
      </c>
      <c r="G115" s="23" t="n">
        <f aca="false">'Raw Data'!G114</f>
        <v>45656</v>
      </c>
      <c r="H115" s="1" t="n">
        <f aca="false">'Raw Data'!H114</f>
        <v>165</v>
      </c>
      <c r="I115" s="24" t="n">
        <f aca="false">'Raw Data'!I114</f>
        <v>0</v>
      </c>
      <c r="J115" s="1" t="str">
        <f aca="false">IF('Raw Data'!J114="None","None",IF(ISBLANK('Raw Data'!J114),"None",'Raw Data'!J114))</f>
        <v>None</v>
      </c>
      <c r="K115" s="1" t="str">
        <f aca="false">'Raw Data'!K114</f>
        <v>Crashed</v>
      </c>
      <c r="L115" s="1" t="str">
        <f aca="false">'Raw Data'!L114</f>
        <v>Free</v>
      </c>
      <c r="M115" s="1" t="n">
        <f aca="false">'Raw Data'!M114</f>
        <v>48</v>
      </c>
      <c r="N115" s="1" t="str">
        <f aca="false">'Raw Data'!N114</f>
        <v>Yes</v>
      </c>
    </row>
    <row r="116" customFormat="false" ht="15" hidden="false" customHeight="true" outlineLevel="0" collapsed="false">
      <c r="A116" s="1" t="str">
        <f aca="false">'Raw Data'!A115</f>
        <v>S00112</v>
      </c>
      <c r="B116" s="1" t="str">
        <f aca="false">'Raw Data'!B115</f>
        <v>P3011</v>
      </c>
      <c r="C116" s="1" t="str">
        <f aca="false">'Raw Data'!C115</f>
        <v>keithmaddox</v>
      </c>
      <c r="D116" s="1" t="str">
        <f aca="false">'Raw Data'!D115</f>
        <v>BattleZone</v>
      </c>
      <c r="E116" s="1" t="str">
        <f aca="false">'Raw Data'!E115</f>
        <v>Mobile</v>
      </c>
      <c r="F116" s="1" t="str">
        <f aca="false">'Raw Data'!F115</f>
        <v>Central</v>
      </c>
      <c r="G116" s="23" t="n">
        <f aca="false">'Raw Data'!G115</f>
        <v>45802</v>
      </c>
      <c r="H116" s="1" t="n">
        <f aca="false">'Raw Data'!H115</f>
        <v>172</v>
      </c>
      <c r="I116" s="24" t="n">
        <f aca="false">'Raw Data'!I115</f>
        <v>0</v>
      </c>
      <c r="J116" s="1" t="str">
        <f aca="false">IF('Raw Data'!J115="None","None",IF(ISBLANK('Raw Data'!J115),"None",'Raw Data'!J115))</f>
        <v>None</v>
      </c>
      <c r="K116" s="1" t="str">
        <f aca="false">'Raw Data'!K115</f>
        <v>Completed</v>
      </c>
      <c r="L116" s="1" t="str">
        <f aca="false">'Raw Data'!L115</f>
        <v>Free</v>
      </c>
      <c r="M116" s="1" t="n">
        <f aca="false">'Raw Data'!M115</f>
        <v>50</v>
      </c>
      <c r="N116" s="1" t="str">
        <f aca="false">'Raw Data'!N115</f>
        <v>Yes</v>
      </c>
    </row>
    <row r="117" customFormat="false" ht="15" hidden="false" customHeight="true" outlineLevel="0" collapsed="false">
      <c r="A117" s="1" t="str">
        <f aca="false">'Raw Data'!A116</f>
        <v>S00113</v>
      </c>
      <c r="B117" s="1" t="str">
        <f aca="false">'Raw Data'!B116</f>
        <v>P7599</v>
      </c>
      <c r="C117" s="1" t="str">
        <f aca="false">'Raw Data'!C116</f>
        <v>fuentesmelanie</v>
      </c>
      <c r="D117" s="1" t="str">
        <f aca="false">'Raw Data'!D116</f>
        <v>BattleZone</v>
      </c>
      <c r="E117" s="1" t="str">
        <f aca="false">'Raw Data'!E116</f>
        <v>PC</v>
      </c>
      <c r="F117" s="1" t="str">
        <f aca="false">'Raw Data'!F116</f>
        <v>North</v>
      </c>
      <c r="G117" s="23" t="n">
        <f aca="false">'Raw Data'!G116</f>
        <v>45715</v>
      </c>
      <c r="H117" s="1" t="n">
        <f aca="false">'Raw Data'!H116</f>
        <v>33</v>
      </c>
      <c r="I117" s="24" t="n">
        <f aca="false">'Raw Data'!I116</f>
        <v>0</v>
      </c>
      <c r="J117" s="1" t="str">
        <f aca="false">IF('Raw Data'!J116="None","None",IF(ISBLANK('Raw Data'!J116),"None",'Raw Data'!J116))</f>
        <v>None</v>
      </c>
      <c r="K117" s="1" t="str">
        <f aca="false">'Raw Data'!K116</f>
        <v>Completed</v>
      </c>
      <c r="L117" s="1" t="str">
        <f aca="false">'Raw Data'!L116</f>
        <v>Free</v>
      </c>
      <c r="M117" s="1" t="n">
        <f aca="false">'Raw Data'!M116</f>
        <v>46</v>
      </c>
      <c r="N117" s="1" t="str">
        <f aca="false">'Raw Data'!N116</f>
        <v>No</v>
      </c>
    </row>
    <row r="118" customFormat="false" ht="15" hidden="false" customHeight="true" outlineLevel="0" collapsed="false">
      <c r="A118" s="1" t="str">
        <f aca="false">'Raw Data'!A117</f>
        <v>S00114</v>
      </c>
      <c r="B118" s="1" t="str">
        <f aca="false">'Raw Data'!B117</f>
        <v>P2615</v>
      </c>
      <c r="C118" s="1" t="str">
        <f aca="false">'Raw Data'!C117</f>
        <v>melissa89</v>
      </c>
      <c r="D118" s="1" t="str">
        <f aca="false">'Raw Data'!D117</f>
        <v>Zombie Rush</v>
      </c>
      <c r="E118" s="1" t="str">
        <f aca="false">'Raw Data'!E117</f>
        <v>Mobile</v>
      </c>
      <c r="F118" s="1" t="str">
        <f aca="false">'Raw Data'!F117</f>
        <v>Central</v>
      </c>
      <c r="G118" s="23" t="n">
        <f aca="false">'Raw Data'!G117</f>
        <v>45644</v>
      </c>
      <c r="H118" s="1" t="n">
        <f aca="false">'Raw Data'!H117</f>
        <v>89</v>
      </c>
      <c r="I118" s="24" t="n">
        <f aca="false">'Raw Data'!I117</f>
        <v>30.92</v>
      </c>
      <c r="J118" s="1" t="str">
        <f aca="false">IF('Raw Data'!J117="None","None",IF(ISBLANK('Raw Data'!J117),"None",'Raw Data'!J117))</f>
        <v>Boosters</v>
      </c>
      <c r="K118" s="1" t="str">
        <f aca="false">'Raw Data'!K117</f>
        <v>Completed</v>
      </c>
      <c r="L118" s="1" t="str">
        <f aca="false">'Raw Data'!L117</f>
        <v>Paid</v>
      </c>
      <c r="M118" s="1" t="n">
        <f aca="false">'Raw Data'!M117</f>
        <v>48</v>
      </c>
      <c r="N118" s="1" t="str">
        <f aca="false">'Raw Data'!N117</f>
        <v>No</v>
      </c>
    </row>
    <row r="119" customFormat="false" ht="15" hidden="false" customHeight="true" outlineLevel="0" collapsed="false">
      <c r="A119" s="1" t="str">
        <f aca="false">'Raw Data'!A118</f>
        <v>S00115</v>
      </c>
      <c r="B119" s="1" t="str">
        <f aca="false">'Raw Data'!B118</f>
        <v>P5890</v>
      </c>
      <c r="C119" s="1" t="str">
        <f aca="false">'Raw Data'!C118</f>
        <v>jill75</v>
      </c>
      <c r="D119" s="1" t="str">
        <f aca="false">'Raw Data'!D118</f>
        <v>Zombie Rush</v>
      </c>
      <c r="E119" s="1" t="str">
        <f aca="false">'Raw Data'!E118</f>
        <v>Mobile</v>
      </c>
      <c r="F119" s="1" t="str">
        <f aca="false">'Raw Data'!F118</f>
        <v>South</v>
      </c>
      <c r="G119" s="23" t="n">
        <f aca="false">'Raw Data'!G118</f>
        <v>45703</v>
      </c>
      <c r="H119" s="1" t="n">
        <f aca="false">'Raw Data'!H118</f>
        <v>22</v>
      </c>
      <c r="I119" s="24" t="n">
        <f aca="false">'Raw Data'!I118</f>
        <v>28.43</v>
      </c>
      <c r="J119" s="1" t="str">
        <f aca="false">IF('Raw Data'!J118="None","None",IF(ISBLANK('Raw Data'!J118),"None",'Raw Data'!J118))</f>
        <v>Battle Pass</v>
      </c>
      <c r="K119" s="1" t="str">
        <f aca="false">'Raw Data'!K118</f>
        <v>Crashed</v>
      </c>
      <c r="L119" s="1" t="str">
        <f aca="false">'Raw Data'!L118</f>
        <v>Paid</v>
      </c>
      <c r="M119" s="1" t="n">
        <f aca="false">'Raw Data'!M118</f>
        <v>36</v>
      </c>
      <c r="N119" s="1" t="str">
        <f aca="false">'Raw Data'!N118</f>
        <v>No</v>
      </c>
    </row>
    <row r="120" customFormat="false" ht="15" hidden="false" customHeight="true" outlineLevel="0" collapsed="false">
      <c r="A120" s="1" t="str">
        <f aca="false">'Raw Data'!A119</f>
        <v>S00116</v>
      </c>
      <c r="B120" s="1" t="str">
        <f aca="false">'Raw Data'!B119</f>
        <v>P7715</v>
      </c>
      <c r="C120" s="1" t="str">
        <f aca="false">'Raw Data'!C119</f>
        <v>vhart</v>
      </c>
      <c r="D120" s="1" t="str">
        <f aca="false">'Raw Data'!D119</f>
        <v>Zombie Rush</v>
      </c>
      <c r="E120" s="1" t="str">
        <f aca="false">'Raw Data'!E119</f>
        <v>Console</v>
      </c>
      <c r="F120" s="1" t="str">
        <f aca="false">'Raw Data'!F119</f>
        <v>North-East</v>
      </c>
      <c r="G120" s="23" t="n">
        <f aca="false">'Raw Data'!G119</f>
        <v>45749</v>
      </c>
      <c r="H120" s="1" t="n">
        <f aca="false">'Raw Data'!H119</f>
        <v>65</v>
      </c>
      <c r="I120" s="24" t="n">
        <f aca="false">'Raw Data'!I119</f>
        <v>0</v>
      </c>
      <c r="J120" s="1" t="str">
        <f aca="false">IF('Raw Data'!J119="None","None",IF(ISBLANK('Raw Data'!J119),"None",'Raw Data'!J119))</f>
        <v>None</v>
      </c>
      <c r="K120" s="1" t="str">
        <f aca="false">'Raw Data'!K119</f>
        <v>Completed</v>
      </c>
      <c r="L120" s="1" t="str">
        <f aca="false">'Raw Data'!L119</f>
        <v>Free</v>
      </c>
      <c r="M120" s="1" t="n">
        <f aca="false">'Raw Data'!M119</f>
        <v>8</v>
      </c>
      <c r="N120" s="1" t="str">
        <f aca="false">'Raw Data'!N119</f>
        <v>No</v>
      </c>
    </row>
    <row r="121" customFormat="false" ht="15" hidden="false" customHeight="true" outlineLevel="0" collapsed="false">
      <c r="A121" s="1" t="str">
        <f aca="false">'Raw Data'!A120</f>
        <v>S00117</v>
      </c>
      <c r="B121" s="1" t="str">
        <f aca="false">'Raw Data'!B120</f>
        <v>P4728</v>
      </c>
      <c r="C121" s="1" t="str">
        <f aca="false">'Raw Data'!C120</f>
        <v>marilynharrison</v>
      </c>
      <c r="D121" s="1" t="str">
        <f aca="false">'Raw Data'!D120</f>
        <v>BattleZone</v>
      </c>
      <c r="E121" s="1" t="str">
        <f aca="false">'Raw Data'!E120</f>
        <v>PC</v>
      </c>
      <c r="F121" s="1" t="str">
        <f aca="false">'Raw Data'!F120</f>
        <v>South</v>
      </c>
      <c r="G121" s="23" t="n">
        <f aca="false">'Raw Data'!G120</f>
        <v>45707</v>
      </c>
      <c r="H121" s="1" t="n">
        <f aca="false">'Raw Data'!H120</f>
        <v>22</v>
      </c>
      <c r="I121" s="24" t="n">
        <f aca="false">'Raw Data'!I120</f>
        <v>0</v>
      </c>
      <c r="J121" s="1" t="str">
        <f aca="false">IF('Raw Data'!J120="None","None",IF(ISBLANK('Raw Data'!J120),"None",'Raw Data'!J120))</f>
        <v>None</v>
      </c>
      <c r="K121" s="1" t="str">
        <f aca="false">'Raw Data'!K120</f>
        <v>Completed</v>
      </c>
      <c r="L121" s="1" t="str">
        <f aca="false">'Raw Data'!L120</f>
        <v>Free</v>
      </c>
      <c r="M121" s="1" t="n">
        <f aca="false">'Raw Data'!M120</f>
        <v>7</v>
      </c>
      <c r="N121" s="1" t="str">
        <f aca="false">'Raw Data'!N120</f>
        <v>No</v>
      </c>
    </row>
    <row r="122" customFormat="false" ht="15" hidden="false" customHeight="true" outlineLevel="0" collapsed="false">
      <c r="A122" s="1" t="str">
        <f aca="false">'Raw Data'!A121</f>
        <v>S00118</v>
      </c>
      <c r="B122" s="1" t="str">
        <f aca="false">'Raw Data'!B121</f>
        <v>P8621</v>
      </c>
      <c r="C122" s="1" t="str">
        <f aca="false">'Raw Data'!C121</f>
        <v>davisamy</v>
      </c>
      <c r="D122" s="1" t="str">
        <f aca="false">'Raw Data'!D121</f>
        <v>Empire Wars</v>
      </c>
      <c r="E122" s="1" t="str">
        <f aca="false">'Raw Data'!E121</f>
        <v>Mobile</v>
      </c>
      <c r="F122" s="1" t="str">
        <f aca="false">'Raw Data'!F121</f>
        <v>North-East</v>
      </c>
      <c r="G122" s="23" t="n">
        <f aca="false">'Raw Data'!G121</f>
        <v>45791</v>
      </c>
      <c r="H122" s="1" t="n">
        <f aca="false">'Raw Data'!H121</f>
        <v>98</v>
      </c>
      <c r="I122" s="24" t="n">
        <f aca="false">'Raw Data'!I121</f>
        <v>0</v>
      </c>
      <c r="J122" s="1" t="str">
        <f aca="false">IF('Raw Data'!J121="None","None",IF(ISBLANK('Raw Data'!J121),"None",'Raw Data'!J121))</f>
        <v>None</v>
      </c>
      <c r="K122" s="1" t="str">
        <f aca="false">'Raw Data'!K121</f>
        <v>Crashed</v>
      </c>
      <c r="L122" s="1" t="str">
        <f aca="false">'Raw Data'!L121</f>
        <v>Free</v>
      </c>
      <c r="M122" s="1" t="n">
        <f aca="false">'Raw Data'!M121</f>
        <v>7</v>
      </c>
      <c r="N122" s="1" t="str">
        <f aca="false">'Raw Data'!N121</f>
        <v>No</v>
      </c>
    </row>
    <row r="123" customFormat="false" ht="15" hidden="false" customHeight="true" outlineLevel="0" collapsed="false">
      <c r="A123" s="1" t="str">
        <f aca="false">'Raw Data'!A122</f>
        <v>S00119</v>
      </c>
      <c r="B123" s="1" t="str">
        <f aca="false">'Raw Data'!B122</f>
        <v>P4118</v>
      </c>
      <c r="C123" s="1" t="str">
        <f aca="false">'Raw Data'!C122</f>
        <v>dorseyemily</v>
      </c>
      <c r="D123" s="1" t="str">
        <f aca="false">'Raw Data'!D122</f>
        <v>BattleZone</v>
      </c>
      <c r="E123" s="1" t="str">
        <f aca="false">'Raw Data'!E122</f>
        <v>Console</v>
      </c>
      <c r="F123" s="1" t="str">
        <f aca="false">'Raw Data'!F122</f>
        <v>North</v>
      </c>
      <c r="G123" s="23" t="n">
        <f aca="false">'Raw Data'!G122</f>
        <v>45781</v>
      </c>
      <c r="H123" s="1" t="n">
        <f aca="false">'Raw Data'!H122</f>
        <v>63</v>
      </c>
      <c r="I123" s="24" t="n">
        <f aca="false">'Raw Data'!I122</f>
        <v>0</v>
      </c>
      <c r="J123" s="1" t="str">
        <f aca="false">IF('Raw Data'!J122="None","None",IF(ISBLANK('Raw Data'!J122),"None",'Raw Data'!J122))</f>
        <v>None</v>
      </c>
      <c r="K123" s="1" t="str">
        <f aca="false">'Raw Data'!K122</f>
        <v>Completed</v>
      </c>
      <c r="L123" s="1" t="str">
        <f aca="false">'Raw Data'!L122</f>
        <v>Free</v>
      </c>
      <c r="M123" s="1" t="n">
        <f aca="false">'Raw Data'!M122</f>
        <v>13</v>
      </c>
      <c r="N123" s="1" t="str">
        <f aca="false">'Raw Data'!N122</f>
        <v>No</v>
      </c>
    </row>
    <row r="124" customFormat="false" ht="15" hidden="false" customHeight="true" outlineLevel="0" collapsed="false">
      <c r="A124" s="1" t="str">
        <f aca="false">'Raw Data'!A123</f>
        <v>S00120</v>
      </c>
      <c r="B124" s="1" t="str">
        <f aca="false">'Raw Data'!B123</f>
        <v>P1199</v>
      </c>
      <c r="C124" s="1" t="str">
        <f aca="false">'Raw Data'!C123</f>
        <v>garymeyers</v>
      </c>
      <c r="D124" s="1" t="str">
        <f aca="false">'Raw Data'!D123</f>
        <v>Clash of Realms</v>
      </c>
      <c r="E124" s="1" t="str">
        <f aca="false">'Raw Data'!E123</f>
        <v>PC</v>
      </c>
      <c r="F124" s="1" t="str">
        <f aca="false">'Raw Data'!F123</f>
        <v>North</v>
      </c>
      <c r="G124" s="23" t="n">
        <f aca="false">'Raw Data'!G123</f>
        <v>45726</v>
      </c>
      <c r="H124" s="1" t="n">
        <f aca="false">'Raw Data'!H123</f>
        <v>45</v>
      </c>
      <c r="I124" s="24" t="n">
        <f aca="false">'Raw Data'!I123</f>
        <v>31.67</v>
      </c>
      <c r="J124" s="1" t="str">
        <f aca="false">IF('Raw Data'!J123="None","None",IF(ISBLANK('Raw Data'!J123),"None",'Raw Data'!J123))</f>
        <v>Subscriptions</v>
      </c>
      <c r="K124" s="1" t="str">
        <f aca="false">'Raw Data'!K123</f>
        <v>Completed</v>
      </c>
      <c r="L124" s="1" t="str">
        <f aca="false">'Raw Data'!L123</f>
        <v>Paid</v>
      </c>
      <c r="M124" s="1" t="n">
        <f aca="false">'Raw Data'!M123</f>
        <v>45</v>
      </c>
      <c r="N124" s="1" t="str">
        <f aca="false">'Raw Data'!N123</f>
        <v>No</v>
      </c>
    </row>
    <row r="125" customFormat="false" ht="15" hidden="false" customHeight="true" outlineLevel="0" collapsed="false">
      <c r="A125" s="1" t="str">
        <f aca="false">'Raw Data'!A124</f>
        <v>S00121</v>
      </c>
      <c r="B125" s="1" t="str">
        <f aca="false">'Raw Data'!B124</f>
        <v>P7130</v>
      </c>
      <c r="C125" s="1" t="str">
        <f aca="false">'Raw Data'!C124</f>
        <v>elee</v>
      </c>
      <c r="D125" s="1" t="str">
        <f aca="false">'Raw Data'!D124</f>
        <v>Clash of Realms</v>
      </c>
      <c r="E125" s="1" t="str">
        <f aca="false">'Raw Data'!E124</f>
        <v>Console</v>
      </c>
      <c r="F125" s="1" t="str">
        <f aca="false">'Raw Data'!F124</f>
        <v>North</v>
      </c>
      <c r="G125" s="23" t="n">
        <f aca="false">'Raw Data'!G124</f>
        <v>45688</v>
      </c>
      <c r="H125" s="1" t="n">
        <f aca="false">'Raw Data'!H124</f>
        <v>142</v>
      </c>
      <c r="I125" s="24" t="n">
        <f aca="false">'Raw Data'!I124</f>
        <v>0</v>
      </c>
      <c r="J125" s="1" t="str">
        <f aca="false">IF('Raw Data'!J124="None","None",IF(ISBLANK('Raw Data'!J124),"None",'Raw Data'!J124))</f>
        <v>None</v>
      </c>
      <c r="K125" s="1" t="str">
        <f aca="false">'Raw Data'!K124</f>
        <v>Completed</v>
      </c>
      <c r="L125" s="1" t="str">
        <f aca="false">'Raw Data'!L124</f>
        <v>Free</v>
      </c>
      <c r="M125" s="1" t="n">
        <f aca="false">'Raw Data'!M124</f>
        <v>3</v>
      </c>
      <c r="N125" s="1" t="str">
        <f aca="false">'Raw Data'!N124</f>
        <v>No</v>
      </c>
    </row>
    <row r="126" customFormat="false" ht="15" hidden="false" customHeight="true" outlineLevel="0" collapsed="false">
      <c r="A126" s="1" t="str">
        <f aca="false">'Raw Data'!A125</f>
        <v>S00122</v>
      </c>
      <c r="B126" s="1" t="str">
        <f aca="false">'Raw Data'!B125</f>
        <v>P1992</v>
      </c>
      <c r="C126" s="1" t="str">
        <f aca="false">'Raw Data'!C125</f>
        <v>jennifer29</v>
      </c>
      <c r="D126" s="1" t="str">
        <f aca="false">'Raw Data'!D125</f>
        <v>SpeedX</v>
      </c>
      <c r="E126" s="1" t="str">
        <f aca="false">'Raw Data'!E125</f>
        <v>Console</v>
      </c>
      <c r="F126" s="1" t="str">
        <f aca="false">'Raw Data'!F125</f>
        <v>Central</v>
      </c>
      <c r="G126" s="23" t="n">
        <f aca="false">'Raw Data'!G125</f>
        <v>45817</v>
      </c>
      <c r="H126" s="1" t="n">
        <f aca="false">'Raw Data'!H125</f>
        <v>56</v>
      </c>
      <c r="I126" s="24" t="n">
        <f aca="false">'Raw Data'!I125</f>
        <v>4.07</v>
      </c>
      <c r="J126" s="1" t="str">
        <f aca="false">IF('Raw Data'!J125="None","None",IF(ISBLANK('Raw Data'!J125),"None",'Raw Data'!J125))</f>
        <v>Subscriptions</v>
      </c>
      <c r="K126" s="1" t="str">
        <f aca="false">'Raw Data'!K125</f>
        <v>Completed</v>
      </c>
      <c r="L126" s="1" t="str">
        <f aca="false">'Raw Data'!L125</f>
        <v>Paid</v>
      </c>
      <c r="M126" s="1" t="n">
        <f aca="false">'Raw Data'!M125</f>
        <v>45</v>
      </c>
      <c r="N126" s="1" t="str">
        <f aca="false">'Raw Data'!N125</f>
        <v>No</v>
      </c>
    </row>
    <row r="127" customFormat="false" ht="15" hidden="false" customHeight="true" outlineLevel="0" collapsed="false">
      <c r="A127" s="1" t="str">
        <f aca="false">'Raw Data'!A126</f>
        <v>S00123</v>
      </c>
      <c r="B127" s="1" t="str">
        <f aca="false">'Raw Data'!B126</f>
        <v>P2064</v>
      </c>
      <c r="C127" s="1" t="str">
        <f aca="false">'Raw Data'!C126</f>
        <v>davidkelley</v>
      </c>
      <c r="D127" s="1" t="str">
        <f aca="false">'Raw Data'!D126</f>
        <v>Zombie Rush</v>
      </c>
      <c r="E127" s="1" t="str">
        <f aca="false">'Raw Data'!E126</f>
        <v>Mobile</v>
      </c>
      <c r="F127" s="1" t="str">
        <f aca="false">'Raw Data'!F126</f>
        <v>South</v>
      </c>
      <c r="G127" s="23" t="n">
        <f aca="false">'Raw Data'!G126</f>
        <v>45648</v>
      </c>
      <c r="H127" s="1" t="n">
        <f aca="false">'Raw Data'!H126</f>
        <v>156</v>
      </c>
      <c r="I127" s="24" t="n">
        <f aca="false">'Raw Data'!I126</f>
        <v>0</v>
      </c>
      <c r="J127" s="1" t="str">
        <f aca="false">IF('Raw Data'!J126="None","None",IF(ISBLANK('Raw Data'!J126),"None",'Raw Data'!J126))</f>
        <v>None</v>
      </c>
      <c r="K127" s="1" t="str">
        <f aca="false">'Raw Data'!K126</f>
        <v>Completed</v>
      </c>
      <c r="L127" s="1" t="str">
        <f aca="false">'Raw Data'!L126</f>
        <v>Paid</v>
      </c>
      <c r="M127" s="1" t="n">
        <f aca="false">'Raw Data'!M126</f>
        <v>45</v>
      </c>
      <c r="N127" s="1" t="str">
        <f aca="false">'Raw Data'!N126</f>
        <v>Yes</v>
      </c>
    </row>
    <row r="128" customFormat="false" ht="15" hidden="false" customHeight="true" outlineLevel="0" collapsed="false">
      <c r="A128" s="1" t="str">
        <f aca="false">'Raw Data'!A127</f>
        <v>S00124</v>
      </c>
      <c r="B128" s="1" t="str">
        <f aca="false">'Raw Data'!B127</f>
        <v>P9571</v>
      </c>
      <c r="C128" s="1" t="str">
        <f aca="false">'Raw Data'!C127</f>
        <v>haroldsawyer</v>
      </c>
      <c r="D128" s="1" t="str">
        <f aca="false">'Raw Data'!D127</f>
        <v>Empire Wars</v>
      </c>
      <c r="E128" s="1" t="str">
        <f aca="false">'Raw Data'!E127</f>
        <v>PC</v>
      </c>
      <c r="F128" s="1" t="str">
        <f aca="false">'Raw Data'!F127</f>
        <v>South</v>
      </c>
      <c r="G128" s="23" t="n">
        <f aca="false">'Raw Data'!G127</f>
        <v>45667</v>
      </c>
      <c r="H128" s="1" t="n">
        <f aca="false">'Raw Data'!H127</f>
        <v>123</v>
      </c>
      <c r="I128" s="24" t="n">
        <f aca="false">'Raw Data'!I127</f>
        <v>0</v>
      </c>
      <c r="J128" s="1" t="str">
        <f aca="false">IF('Raw Data'!J127="None","None",IF(ISBLANK('Raw Data'!J127),"None",'Raw Data'!J127))</f>
        <v>None</v>
      </c>
      <c r="K128" s="1" t="str">
        <f aca="false">'Raw Data'!K127</f>
        <v>Crashed</v>
      </c>
      <c r="L128" s="1" t="str">
        <f aca="false">'Raw Data'!L127</f>
        <v>Free</v>
      </c>
      <c r="M128" s="1" t="n">
        <f aca="false">'Raw Data'!M127</f>
        <v>12</v>
      </c>
      <c r="N128" s="1" t="str">
        <f aca="false">'Raw Data'!N127</f>
        <v>No</v>
      </c>
    </row>
    <row r="129" customFormat="false" ht="15" hidden="false" customHeight="true" outlineLevel="0" collapsed="false">
      <c r="A129" s="1" t="str">
        <f aca="false">'Raw Data'!A128</f>
        <v>S00125</v>
      </c>
      <c r="B129" s="1" t="str">
        <f aca="false">'Raw Data'!B128</f>
        <v>P9017</v>
      </c>
      <c r="C129" s="1" t="str">
        <f aca="false">'Raw Data'!C128</f>
        <v>albertkelly</v>
      </c>
      <c r="D129" s="1" t="str">
        <f aca="false">'Raw Data'!D128</f>
        <v>Zombie Rush</v>
      </c>
      <c r="E129" s="1" t="str">
        <f aca="false">'Raw Data'!E128</f>
        <v>PC</v>
      </c>
      <c r="F129" s="1" t="str">
        <f aca="false">'Raw Data'!F128</f>
        <v>South</v>
      </c>
      <c r="G129" s="23" t="n">
        <f aca="false">'Raw Data'!G128</f>
        <v>45819</v>
      </c>
      <c r="H129" s="1" t="n">
        <f aca="false">'Raw Data'!H128</f>
        <v>172</v>
      </c>
      <c r="I129" s="24" t="n">
        <f aca="false">'Raw Data'!I128</f>
        <v>0</v>
      </c>
      <c r="J129" s="1" t="str">
        <f aca="false">IF('Raw Data'!J128="None","None",IF(ISBLANK('Raw Data'!J128),"None",'Raw Data'!J128))</f>
        <v>None</v>
      </c>
      <c r="K129" s="1" t="str">
        <f aca="false">'Raw Data'!K128</f>
        <v>Exited Early</v>
      </c>
      <c r="L129" s="1" t="str">
        <f aca="false">'Raw Data'!L128</f>
        <v>Free</v>
      </c>
      <c r="M129" s="1" t="n">
        <f aca="false">'Raw Data'!M128</f>
        <v>21</v>
      </c>
      <c r="N129" s="1" t="str">
        <f aca="false">'Raw Data'!N128</f>
        <v>Yes</v>
      </c>
    </row>
    <row r="130" customFormat="false" ht="15" hidden="false" customHeight="true" outlineLevel="0" collapsed="false">
      <c r="A130" s="1" t="str">
        <f aca="false">'Raw Data'!A129</f>
        <v>S00126</v>
      </c>
      <c r="B130" s="1" t="str">
        <f aca="false">'Raw Data'!B129</f>
        <v>P8062</v>
      </c>
      <c r="C130" s="1" t="str">
        <f aca="false">'Raw Data'!C129</f>
        <v>chambersnicole</v>
      </c>
      <c r="D130" s="1" t="str">
        <f aca="false">'Raw Data'!D129</f>
        <v>Zombie Rush</v>
      </c>
      <c r="E130" s="1" t="str">
        <f aca="false">'Raw Data'!E129</f>
        <v>Mobile</v>
      </c>
      <c r="F130" s="1" t="str">
        <f aca="false">'Raw Data'!F129</f>
        <v>East</v>
      </c>
      <c r="G130" s="23" t="n">
        <f aca="false">'Raw Data'!G129</f>
        <v>45686</v>
      </c>
      <c r="H130" s="1" t="n">
        <f aca="false">'Raw Data'!H129</f>
        <v>46</v>
      </c>
      <c r="I130" s="24" t="n">
        <f aca="false">'Raw Data'!I129</f>
        <v>14.47</v>
      </c>
      <c r="J130" s="1" t="str">
        <f aca="false">IF('Raw Data'!J129="None","None",IF(ISBLANK('Raw Data'!J129),"None",'Raw Data'!J129))</f>
        <v>Boosters</v>
      </c>
      <c r="K130" s="1" t="str">
        <f aca="false">'Raw Data'!K129</f>
        <v>Exited Early</v>
      </c>
      <c r="L130" s="1" t="str">
        <f aca="false">'Raw Data'!L129</f>
        <v>Paid</v>
      </c>
      <c r="M130" s="1" t="n">
        <f aca="false">'Raw Data'!M129</f>
        <v>30</v>
      </c>
      <c r="N130" s="1" t="str">
        <f aca="false">'Raw Data'!N129</f>
        <v>No</v>
      </c>
    </row>
    <row r="131" customFormat="false" ht="15" hidden="false" customHeight="true" outlineLevel="0" collapsed="false">
      <c r="A131" s="1" t="str">
        <f aca="false">'Raw Data'!A130</f>
        <v>S00127</v>
      </c>
      <c r="B131" s="1" t="str">
        <f aca="false">'Raw Data'!B130</f>
        <v>P6411</v>
      </c>
      <c r="C131" s="1" t="str">
        <f aca="false">'Raw Data'!C130</f>
        <v>jacobsonmichael</v>
      </c>
      <c r="D131" s="1" t="str">
        <f aca="false">'Raw Data'!D130</f>
        <v>BattleZone</v>
      </c>
      <c r="E131" s="1" t="str">
        <f aca="false">'Raw Data'!E130</f>
        <v>Console</v>
      </c>
      <c r="F131" s="1" t="str">
        <f aca="false">'Raw Data'!F130</f>
        <v>West</v>
      </c>
      <c r="G131" s="23" t="n">
        <f aca="false">'Raw Data'!G130</f>
        <v>45661</v>
      </c>
      <c r="H131" s="1" t="n">
        <f aca="false">'Raw Data'!H130</f>
        <v>153</v>
      </c>
      <c r="I131" s="24" t="n">
        <f aca="false">'Raw Data'!I130</f>
        <v>0</v>
      </c>
      <c r="J131" s="1" t="str">
        <f aca="false">IF('Raw Data'!J130="None","None",IF(ISBLANK('Raw Data'!J130),"None",'Raw Data'!J130))</f>
        <v>None</v>
      </c>
      <c r="K131" s="1" t="str">
        <f aca="false">'Raw Data'!K130</f>
        <v>Exited Early</v>
      </c>
      <c r="L131" s="1" t="str">
        <f aca="false">'Raw Data'!L130</f>
        <v>Free</v>
      </c>
      <c r="M131" s="1" t="n">
        <f aca="false">'Raw Data'!M130</f>
        <v>15</v>
      </c>
      <c r="N131" s="1" t="str">
        <f aca="false">'Raw Data'!N130</f>
        <v>Yes</v>
      </c>
    </row>
    <row r="132" customFormat="false" ht="15" hidden="false" customHeight="true" outlineLevel="0" collapsed="false">
      <c r="A132" s="1" t="str">
        <f aca="false">'Raw Data'!A131</f>
        <v>S00128</v>
      </c>
      <c r="B132" s="1" t="str">
        <f aca="false">'Raw Data'!B131</f>
        <v>P4959</v>
      </c>
      <c r="C132" s="1" t="str">
        <f aca="false">'Raw Data'!C131</f>
        <v>robert48</v>
      </c>
      <c r="D132" s="1" t="str">
        <f aca="false">'Raw Data'!D131</f>
        <v>BattleZone</v>
      </c>
      <c r="E132" s="1" t="str">
        <f aca="false">'Raw Data'!E131</f>
        <v>Mobile</v>
      </c>
      <c r="F132" s="1" t="str">
        <f aca="false">'Raw Data'!F131</f>
        <v>North-East</v>
      </c>
      <c r="G132" s="23" t="n">
        <f aca="false">'Raw Data'!G131</f>
        <v>45815</v>
      </c>
      <c r="H132" s="1" t="n">
        <f aca="false">'Raw Data'!H131</f>
        <v>128</v>
      </c>
      <c r="I132" s="24" t="n">
        <f aca="false">'Raw Data'!I131</f>
        <v>0</v>
      </c>
      <c r="J132" s="1" t="str">
        <f aca="false">IF('Raw Data'!J131="None","None",IF(ISBLANK('Raw Data'!J131),"None",'Raw Data'!J131))</f>
        <v>None</v>
      </c>
      <c r="K132" s="1" t="str">
        <f aca="false">'Raw Data'!K131</f>
        <v>Crashed</v>
      </c>
      <c r="L132" s="1" t="str">
        <f aca="false">'Raw Data'!L131</f>
        <v>Free</v>
      </c>
      <c r="M132" s="1" t="n">
        <f aca="false">'Raw Data'!M131</f>
        <v>32</v>
      </c>
      <c r="N132" s="1" t="str">
        <f aca="false">'Raw Data'!N131</f>
        <v>No</v>
      </c>
    </row>
    <row r="133" customFormat="false" ht="15" hidden="false" customHeight="true" outlineLevel="0" collapsed="false">
      <c r="A133" s="1" t="str">
        <f aca="false">'Raw Data'!A132</f>
        <v>S00129</v>
      </c>
      <c r="B133" s="1" t="str">
        <f aca="false">'Raw Data'!B132</f>
        <v>P8564</v>
      </c>
      <c r="C133" s="1" t="str">
        <f aca="false">'Raw Data'!C132</f>
        <v>wyattsanchez</v>
      </c>
      <c r="D133" s="1" t="str">
        <f aca="false">'Raw Data'!D132</f>
        <v>Zombie Rush</v>
      </c>
      <c r="E133" s="1" t="str">
        <f aca="false">'Raw Data'!E132</f>
        <v>PC</v>
      </c>
      <c r="F133" s="1" t="str">
        <f aca="false">'Raw Data'!F132</f>
        <v>South</v>
      </c>
      <c r="G133" s="23" t="n">
        <f aca="false">'Raw Data'!G132</f>
        <v>45814</v>
      </c>
      <c r="H133" s="1" t="n">
        <f aca="false">'Raw Data'!H132</f>
        <v>54</v>
      </c>
      <c r="I133" s="24" t="n">
        <f aca="false">'Raw Data'!I132</f>
        <v>0</v>
      </c>
      <c r="J133" s="1" t="str">
        <f aca="false">IF('Raw Data'!J132="None","None",IF(ISBLANK('Raw Data'!J132),"None",'Raw Data'!J132))</f>
        <v>None</v>
      </c>
      <c r="K133" s="1" t="str">
        <f aca="false">'Raw Data'!K132</f>
        <v>Completed</v>
      </c>
      <c r="L133" s="1" t="str">
        <f aca="false">'Raw Data'!L132</f>
        <v>Free</v>
      </c>
      <c r="M133" s="1" t="n">
        <f aca="false">'Raw Data'!M132</f>
        <v>15</v>
      </c>
      <c r="N133" s="1" t="str">
        <f aca="false">'Raw Data'!N132</f>
        <v>No</v>
      </c>
    </row>
    <row r="134" customFormat="false" ht="15" hidden="false" customHeight="true" outlineLevel="0" collapsed="false">
      <c r="A134" s="1" t="str">
        <f aca="false">'Raw Data'!A133</f>
        <v>S00130</v>
      </c>
      <c r="B134" s="1" t="str">
        <f aca="false">'Raw Data'!B133</f>
        <v>P9652</v>
      </c>
      <c r="C134" s="1" t="str">
        <f aca="false">'Raw Data'!C133</f>
        <v>vedwards</v>
      </c>
      <c r="D134" s="1" t="str">
        <f aca="false">'Raw Data'!D133</f>
        <v>Zombie Rush</v>
      </c>
      <c r="E134" s="1" t="str">
        <f aca="false">'Raw Data'!E133</f>
        <v>Mobile</v>
      </c>
      <c r="F134" s="1" t="str">
        <f aca="false">'Raw Data'!F133</f>
        <v>East</v>
      </c>
      <c r="G134" s="23" t="n">
        <f aca="false">'Raw Data'!G133</f>
        <v>45670</v>
      </c>
      <c r="H134" s="1" t="n">
        <f aca="false">'Raw Data'!H133</f>
        <v>133</v>
      </c>
      <c r="I134" s="24" t="n">
        <f aca="false">'Raw Data'!I133</f>
        <v>0</v>
      </c>
      <c r="J134" s="1" t="str">
        <f aca="false">IF('Raw Data'!J133="None","None",IF(ISBLANK('Raw Data'!J133),"None",'Raw Data'!J133))</f>
        <v>None</v>
      </c>
      <c r="K134" s="1" t="str">
        <f aca="false">'Raw Data'!K133</f>
        <v>Completed</v>
      </c>
      <c r="L134" s="1" t="str">
        <f aca="false">'Raw Data'!L133</f>
        <v>Free</v>
      </c>
      <c r="M134" s="1" t="n">
        <f aca="false">'Raw Data'!M133</f>
        <v>35</v>
      </c>
      <c r="N134" s="1" t="str">
        <f aca="false">'Raw Data'!N133</f>
        <v>No</v>
      </c>
    </row>
    <row r="135" customFormat="false" ht="15" hidden="false" customHeight="true" outlineLevel="0" collapsed="false">
      <c r="A135" s="1" t="str">
        <f aca="false">'Raw Data'!A134</f>
        <v>S00131</v>
      </c>
      <c r="B135" s="1" t="str">
        <f aca="false">'Raw Data'!B134</f>
        <v>P6617</v>
      </c>
      <c r="C135" s="1" t="str">
        <f aca="false">'Raw Data'!C134</f>
        <v>figueroadoris</v>
      </c>
      <c r="D135" s="1" t="str">
        <f aca="false">'Raw Data'!D134</f>
        <v>Clash of Realms</v>
      </c>
      <c r="E135" s="1" t="str">
        <f aca="false">'Raw Data'!E134</f>
        <v>Mobile</v>
      </c>
      <c r="F135" s="1" t="str">
        <f aca="false">'Raw Data'!F134</f>
        <v>South</v>
      </c>
      <c r="G135" s="23" t="n">
        <f aca="false">'Raw Data'!G134</f>
        <v>45778</v>
      </c>
      <c r="H135" s="1" t="n">
        <f aca="false">'Raw Data'!H134</f>
        <v>116</v>
      </c>
      <c r="I135" s="24" t="n">
        <f aca="false">'Raw Data'!I134</f>
        <v>0</v>
      </c>
      <c r="J135" s="1" t="str">
        <f aca="false">IF('Raw Data'!J134="None","None",IF(ISBLANK('Raw Data'!J134),"None",'Raw Data'!J134))</f>
        <v>None</v>
      </c>
      <c r="K135" s="1" t="str">
        <f aca="false">'Raw Data'!K134</f>
        <v>Crashed</v>
      </c>
      <c r="L135" s="1" t="str">
        <f aca="false">'Raw Data'!L134</f>
        <v>Free</v>
      </c>
      <c r="M135" s="1" t="n">
        <f aca="false">'Raw Data'!M134</f>
        <v>30</v>
      </c>
      <c r="N135" s="1" t="str">
        <f aca="false">'Raw Data'!N134</f>
        <v>No</v>
      </c>
    </row>
    <row r="136" customFormat="false" ht="15" hidden="false" customHeight="true" outlineLevel="0" collapsed="false">
      <c r="A136" s="1" t="str">
        <f aca="false">'Raw Data'!A135</f>
        <v>S00132</v>
      </c>
      <c r="B136" s="1" t="str">
        <f aca="false">'Raw Data'!B135</f>
        <v>P2180</v>
      </c>
      <c r="C136" s="1" t="str">
        <f aca="false">'Raw Data'!C135</f>
        <v>briansteele</v>
      </c>
      <c r="D136" s="1" t="str">
        <f aca="false">'Raw Data'!D135</f>
        <v>Zombie Rush</v>
      </c>
      <c r="E136" s="1" t="str">
        <f aca="false">'Raw Data'!E135</f>
        <v>Console</v>
      </c>
      <c r="F136" s="1" t="str">
        <f aca="false">'Raw Data'!F135</f>
        <v>North-East</v>
      </c>
      <c r="G136" s="23" t="n">
        <f aca="false">'Raw Data'!G135</f>
        <v>45644</v>
      </c>
      <c r="H136" s="1" t="n">
        <f aca="false">'Raw Data'!H135</f>
        <v>95</v>
      </c>
      <c r="I136" s="24" t="n">
        <f aca="false">'Raw Data'!I135</f>
        <v>0</v>
      </c>
      <c r="J136" s="1" t="str">
        <f aca="false">IF('Raw Data'!J135="None","None",IF(ISBLANK('Raw Data'!J135),"None",'Raw Data'!J135))</f>
        <v>None</v>
      </c>
      <c r="K136" s="1" t="str">
        <f aca="false">'Raw Data'!K135</f>
        <v>Completed</v>
      </c>
      <c r="L136" s="1" t="str">
        <f aca="false">'Raw Data'!L135</f>
        <v>Free</v>
      </c>
      <c r="M136" s="1" t="n">
        <f aca="false">'Raw Data'!M135</f>
        <v>20</v>
      </c>
      <c r="N136" s="1" t="str">
        <f aca="false">'Raw Data'!N135</f>
        <v>No</v>
      </c>
    </row>
    <row r="137" customFormat="false" ht="15" hidden="false" customHeight="true" outlineLevel="0" collapsed="false">
      <c r="A137" s="1" t="str">
        <f aca="false">'Raw Data'!A136</f>
        <v>S00133</v>
      </c>
      <c r="B137" s="1" t="str">
        <f aca="false">'Raw Data'!B136</f>
        <v>P2956</v>
      </c>
      <c r="C137" s="1" t="str">
        <f aca="false">'Raw Data'!C136</f>
        <v>huangdana</v>
      </c>
      <c r="D137" s="1" t="str">
        <f aca="false">'Raw Data'!D136</f>
        <v>SpeedX</v>
      </c>
      <c r="E137" s="1" t="str">
        <f aca="false">'Raw Data'!E136</f>
        <v>PC</v>
      </c>
      <c r="F137" s="1" t="str">
        <f aca="false">'Raw Data'!F136</f>
        <v>North</v>
      </c>
      <c r="G137" s="23" t="n">
        <f aca="false">'Raw Data'!G136</f>
        <v>45648</v>
      </c>
      <c r="H137" s="1" t="n">
        <f aca="false">'Raw Data'!H136</f>
        <v>107</v>
      </c>
      <c r="I137" s="24" t="n">
        <f aca="false">'Raw Data'!I136</f>
        <v>0</v>
      </c>
      <c r="J137" s="1" t="str">
        <f aca="false">IF('Raw Data'!J136="None","None",IF(ISBLANK('Raw Data'!J136),"None",'Raw Data'!J136))</f>
        <v>None</v>
      </c>
      <c r="K137" s="1" t="str">
        <f aca="false">'Raw Data'!K136</f>
        <v>Incomplete</v>
      </c>
      <c r="L137" s="1" t="str">
        <f aca="false">'Raw Data'!L136</f>
        <v>Free</v>
      </c>
      <c r="M137" s="1" t="n">
        <f aca="false">'Raw Data'!M136</f>
        <v>7</v>
      </c>
      <c r="N137" s="1" t="str">
        <f aca="false">'Raw Data'!N136</f>
        <v>No</v>
      </c>
    </row>
    <row r="138" customFormat="false" ht="15" hidden="false" customHeight="true" outlineLevel="0" collapsed="false">
      <c r="A138" s="1" t="str">
        <f aca="false">'Raw Data'!A137</f>
        <v>S00134</v>
      </c>
      <c r="B138" s="1" t="str">
        <f aca="false">'Raw Data'!B137</f>
        <v>P3200</v>
      </c>
      <c r="C138" s="1" t="str">
        <f aca="false">'Raw Data'!C137</f>
        <v>robert23</v>
      </c>
      <c r="D138" s="1" t="str">
        <f aca="false">'Raw Data'!D137</f>
        <v>SpeedX</v>
      </c>
      <c r="E138" s="1" t="str">
        <f aca="false">'Raw Data'!E137</f>
        <v>PC</v>
      </c>
      <c r="F138" s="1" t="str">
        <f aca="false">'Raw Data'!F137</f>
        <v>North</v>
      </c>
      <c r="G138" s="23" t="n">
        <f aca="false">'Raw Data'!G137</f>
        <v>45748</v>
      </c>
      <c r="H138" s="1" t="n">
        <f aca="false">'Raw Data'!H137</f>
        <v>150</v>
      </c>
      <c r="I138" s="24" t="n">
        <f aca="false">'Raw Data'!I137</f>
        <v>0</v>
      </c>
      <c r="J138" s="1" t="str">
        <f aca="false">IF('Raw Data'!J137="None","None",IF(ISBLANK('Raw Data'!J137),"None",'Raw Data'!J137))</f>
        <v>None</v>
      </c>
      <c r="K138" s="1" t="str">
        <f aca="false">'Raw Data'!K137</f>
        <v>Completed</v>
      </c>
      <c r="L138" s="1" t="str">
        <f aca="false">'Raw Data'!L137</f>
        <v>Free</v>
      </c>
      <c r="M138" s="1" t="n">
        <f aca="false">'Raw Data'!M137</f>
        <v>47</v>
      </c>
      <c r="N138" s="1" t="str">
        <f aca="false">'Raw Data'!N137</f>
        <v>No</v>
      </c>
    </row>
    <row r="139" customFormat="false" ht="15" hidden="false" customHeight="true" outlineLevel="0" collapsed="false">
      <c r="A139" s="1" t="str">
        <f aca="false">'Raw Data'!A138</f>
        <v>S00135</v>
      </c>
      <c r="B139" s="1" t="str">
        <f aca="false">'Raw Data'!B138</f>
        <v>P9368</v>
      </c>
      <c r="C139" s="1" t="str">
        <f aca="false">'Raw Data'!C138</f>
        <v>thomasmonica</v>
      </c>
      <c r="D139" s="1" t="str">
        <f aca="false">'Raw Data'!D138</f>
        <v>SpeedX</v>
      </c>
      <c r="E139" s="1" t="str">
        <f aca="false">'Raw Data'!E138</f>
        <v>PC</v>
      </c>
      <c r="F139" s="1" t="str">
        <f aca="false">'Raw Data'!F138</f>
        <v>East</v>
      </c>
      <c r="G139" s="23" t="n">
        <f aca="false">'Raw Data'!G138</f>
        <v>45658</v>
      </c>
      <c r="H139" s="1" t="n">
        <f aca="false">'Raw Data'!H138</f>
        <v>175</v>
      </c>
      <c r="I139" s="24" t="n">
        <f aca="false">'Raw Data'!I138</f>
        <v>0</v>
      </c>
      <c r="J139" s="1" t="str">
        <f aca="false">IF('Raw Data'!J138="None","None",IF(ISBLANK('Raw Data'!J138),"None",'Raw Data'!J138))</f>
        <v>None</v>
      </c>
      <c r="K139" s="1" t="str">
        <f aca="false">'Raw Data'!K138</f>
        <v>Completed</v>
      </c>
      <c r="L139" s="1" t="str">
        <f aca="false">'Raw Data'!L138</f>
        <v>Free</v>
      </c>
      <c r="M139" s="1" t="n">
        <f aca="false">'Raw Data'!M138</f>
        <v>49</v>
      </c>
      <c r="N139" s="1" t="str">
        <f aca="false">'Raw Data'!N138</f>
        <v>Yes</v>
      </c>
    </row>
    <row r="140" customFormat="false" ht="15" hidden="false" customHeight="true" outlineLevel="0" collapsed="false">
      <c r="A140" s="1" t="str">
        <f aca="false">'Raw Data'!A139</f>
        <v>S00136</v>
      </c>
      <c r="B140" s="1" t="str">
        <f aca="false">'Raw Data'!B139</f>
        <v>P7857</v>
      </c>
      <c r="C140" s="1" t="str">
        <f aca="false">'Raw Data'!C139</f>
        <v>griffithbilly</v>
      </c>
      <c r="D140" s="1" t="str">
        <f aca="false">'Raw Data'!D139</f>
        <v>Zombie Rush</v>
      </c>
      <c r="E140" s="1" t="str">
        <f aca="false">'Raw Data'!E139</f>
        <v>PC</v>
      </c>
      <c r="F140" s="1" t="str">
        <f aca="false">'Raw Data'!F139</f>
        <v>North</v>
      </c>
      <c r="G140" s="23" t="n">
        <f aca="false">'Raw Data'!G139</f>
        <v>45679</v>
      </c>
      <c r="H140" s="1" t="n">
        <f aca="false">'Raw Data'!H139</f>
        <v>26</v>
      </c>
      <c r="I140" s="24" t="n">
        <f aca="false">'Raw Data'!I139</f>
        <v>23.57</v>
      </c>
      <c r="J140" s="1" t="str">
        <f aca="false">IF('Raw Data'!J139="None","None",IF(ISBLANK('Raw Data'!J139),"None",'Raw Data'!J139))</f>
        <v>Battle Pass</v>
      </c>
      <c r="K140" s="1" t="str">
        <f aca="false">'Raw Data'!K139</f>
        <v>Completed</v>
      </c>
      <c r="L140" s="1" t="str">
        <f aca="false">'Raw Data'!L139</f>
        <v>Paid</v>
      </c>
      <c r="M140" s="1" t="n">
        <f aca="false">'Raw Data'!M139</f>
        <v>10</v>
      </c>
      <c r="N140" s="1" t="str">
        <f aca="false">'Raw Data'!N139</f>
        <v>No</v>
      </c>
    </row>
    <row r="141" customFormat="false" ht="15" hidden="false" customHeight="true" outlineLevel="0" collapsed="false">
      <c r="A141" s="1" t="str">
        <f aca="false">'Raw Data'!A140</f>
        <v>S00137</v>
      </c>
      <c r="B141" s="1" t="str">
        <f aca="false">'Raw Data'!B140</f>
        <v>P4039</v>
      </c>
      <c r="C141" s="1" t="str">
        <f aca="false">'Raw Data'!C140</f>
        <v>alanguerrero</v>
      </c>
      <c r="D141" s="1" t="str">
        <f aca="false">'Raw Data'!D140</f>
        <v>SpeedX</v>
      </c>
      <c r="E141" s="1" t="str">
        <f aca="false">'Raw Data'!E140</f>
        <v>PC</v>
      </c>
      <c r="F141" s="1" t="str">
        <f aca="false">'Raw Data'!F140</f>
        <v>Central</v>
      </c>
      <c r="G141" s="23" t="n">
        <f aca="false">'Raw Data'!G140</f>
        <v>45794</v>
      </c>
      <c r="H141" s="1" t="n">
        <f aca="false">'Raw Data'!H140</f>
        <v>115</v>
      </c>
      <c r="I141" s="24" t="n">
        <f aca="false">'Raw Data'!I140</f>
        <v>0</v>
      </c>
      <c r="J141" s="1" t="str">
        <f aca="false">IF('Raw Data'!J140="None","None",IF(ISBLANK('Raw Data'!J140),"None",'Raw Data'!J140))</f>
        <v>None</v>
      </c>
      <c r="K141" s="1" t="str">
        <f aca="false">'Raw Data'!K140</f>
        <v>Crashed</v>
      </c>
      <c r="L141" s="1" t="str">
        <f aca="false">'Raw Data'!L140</f>
        <v>Free</v>
      </c>
      <c r="M141" s="1" t="n">
        <f aca="false">'Raw Data'!M140</f>
        <v>42</v>
      </c>
      <c r="N141" s="1" t="str">
        <f aca="false">'Raw Data'!N140</f>
        <v>No</v>
      </c>
    </row>
    <row r="142" customFormat="false" ht="15" hidden="false" customHeight="true" outlineLevel="0" collapsed="false">
      <c r="A142" s="1" t="str">
        <f aca="false">'Raw Data'!A141</f>
        <v>S00138</v>
      </c>
      <c r="B142" s="1" t="str">
        <f aca="false">'Raw Data'!B141</f>
        <v>P8823</v>
      </c>
      <c r="C142" s="1" t="str">
        <f aca="false">'Raw Data'!C141</f>
        <v>timothy18</v>
      </c>
      <c r="D142" s="1" t="str">
        <f aca="false">'Raw Data'!D141</f>
        <v>BattleZone</v>
      </c>
      <c r="E142" s="1" t="str">
        <f aca="false">'Raw Data'!E141</f>
        <v>PC</v>
      </c>
      <c r="F142" s="1" t="str">
        <f aca="false">'Raw Data'!F141</f>
        <v>North</v>
      </c>
      <c r="G142" s="23" t="n">
        <f aca="false">'Raw Data'!G141</f>
        <v>45774</v>
      </c>
      <c r="H142" s="1" t="n">
        <f aca="false">'Raw Data'!H141</f>
        <v>72</v>
      </c>
      <c r="I142" s="24" t="n">
        <f aca="false">'Raw Data'!I141</f>
        <v>0</v>
      </c>
      <c r="J142" s="1" t="str">
        <f aca="false">IF('Raw Data'!J141="None","None",IF(ISBLANK('Raw Data'!J141),"None",'Raw Data'!J141))</f>
        <v>None</v>
      </c>
      <c r="K142" s="1" t="str">
        <f aca="false">'Raw Data'!K141</f>
        <v>Completed</v>
      </c>
      <c r="L142" s="1" t="str">
        <f aca="false">'Raw Data'!L141</f>
        <v>Paid</v>
      </c>
      <c r="M142" s="1" t="n">
        <f aca="false">'Raw Data'!M141</f>
        <v>6</v>
      </c>
      <c r="N142" s="1" t="str">
        <f aca="false">'Raw Data'!N141</f>
        <v>No</v>
      </c>
    </row>
    <row r="143" customFormat="false" ht="15" hidden="false" customHeight="true" outlineLevel="0" collapsed="false">
      <c r="A143" s="1" t="str">
        <f aca="false">'Raw Data'!A142</f>
        <v>S00139</v>
      </c>
      <c r="B143" s="1" t="str">
        <f aca="false">'Raw Data'!B142</f>
        <v>P4544</v>
      </c>
      <c r="C143" s="1" t="str">
        <f aca="false">'Raw Data'!C142</f>
        <v>martinrobert</v>
      </c>
      <c r="D143" s="1" t="str">
        <f aca="false">'Raw Data'!D142</f>
        <v>Clash of Realms</v>
      </c>
      <c r="E143" s="1" t="str">
        <f aca="false">'Raw Data'!E142</f>
        <v>Console</v>
      </c>
      <c r="F143" s="1" t="str">
        <f aca="false">'Raw Data'!F142</f>
        <v>West</v>
      </c>
      <c r="G143" s="23" t="n">
        <f aca="false">'Raw Data'!G142</f>
        <v>45814</v>
      </c>
      <c r="H143" s="1" t="n">
        <f aca="false">'Raw Data'!H142</f>
        <v>137</v>
      </c>
      <c r="I143" s="24" t="n">
        <f aca="false">'Raw Data'!I142</f>
        <v>0</v>
      </c>
      <c r="J143" s="1" t="str">
        <f aca="false">IF('Raw Data'!J142="None","None",IF(ISBLANK('Raw Data'!J142),"None",'Raw Data'!J142))</f>
        <v>None</v>
      </c>
      <c r="K143" s="1" t="str">
        <f aca="false">'Raw Data'!K142</f>
        <v>Incomplete</v>
      </c>
      <c r="L143" s="1" t="str">
        <f aca="false">'Raw Data'!L142</f>
        <v>Free</v>
      </c>
      <c r="M143" s="1" t="n">
        <f aca="false">'Raw Data'!M142</f>
        <v>28</v>
      </c>
      <c r="N143" s="1" t="str">
        <f aca="false">'Raw Data'!N142</f>
        <v>No</v>
      </c>
    </row>
    <row r="144" customFormat="false" ht="15" hidden="false" customHeight="true" outlineLevel="0" collapsed="false">
      <c r="A144" s="1" t="str">
        <f aca="false">'Raw Data'!A143</f>
        <v>S00140</v>
      </c>
      <c r="B144" s="1" t="str">
        <f aca="false">'Raw Data'!B143</f>
        <v>P4842</v>
      </c>
      <c r="C144" s="1" t="str">
        <f aca="false">'Raw Data'!C143</f>
        <v>deckeramanda</v>
      </c>
      <c r="D144" s="1" t="str">
        <f aca="false">'Raw Data'!D143</f>
        <v>SpeedX</v>
      </c>
      <c r="E144" s="1" t="str">
        <f aca="false">'Raw Data'!E143</f>
        <v>Console</v>
      </c>
      <c r="F144" s="1" t="str">
        <f aca="false">'Raw Data'!F143</f>
        <v>West</v>
      </c>
      <c r="G144" s="23" t="n">
        <f aca="false">'Raw Data'!G143</f>
        <v>45759</v>
      </c>
      <c r="H144" s="1" t="n">
        <f aca="false">'Raw Data'!H143</f>
        <v>145</v>
      </c>
      <c r="I144" s="24" t="n">
        <f aca="false">'Raw Data'!I143</f>
        <v>0</v>
      </c>
      <c r="J144" s="1" t="str">
        <f aca="false">IF('Raw Data'!J143="None","None",IF(ISBLANK('Raw Data'!J143),"None",'Raw Data'!J143))</f>
        <v>None</v>
      </c>
      <c r="K144" s="1" t="str">
        <f aca="false">'Raw Data'!K143</f>
        <v>Completed</v>
      </c>
      <c r="L144" s="1" t="str">
        <f aca="false">'Raw Data'!L143</f>
        <v>Paid</v>
      </c>
      <c r="M144" s="1" t="n">
        <f aca="false">'Raw Data'!M143</f>
        <v>36</v>
      </c>
      <c r="N144" s="1" t="str">
        <f aca="false">'Raw Data'!N143</f>
        <v>No</v>
      </c>
    </row>
    <row r="145" customFormat="false" ht="15" hidden="false" customHeight="true" outlineLevel="0" collapsed="false">
      <c r="A145" s="1" t="str">
        <f aca="false">'Raw Data'!A144</f>
        <v>S00141</v>
      </c>
      <c r="B145" s="1" t="str">
        <f aca="false">'Raw Data'!B144</f>
        <v>P2727</v>
      </c>
      <c r="C145" s="1" t="str">
        <f aca="false">'Raw Data'!C144</f>
        <v>allison25</v>
      </c>
      <c r="D145" s="1" t="str">
        <f aca="false">'Raw Data'!D144</f>
        <v>SpeedX</v>
      </c>
      <c r="E145" s="1" t="str">
        <f aca="false">'Raw Data'!E144</f>
        <v>Mobile</v>
      </c>
      <c r="F145" s="1" t="str">
        <f aca="false">'Raw Data'!F144</f>
        <v>North-East</v>
      </c>
      <c r="G145" s="23" t="n">
        <f aca="false">'Raw Data'!G144</f>
        <v>45741</v>
      </c>
      <c r="H145" s="1" t="n">
        <f aca="false">'Raw Data'!H144</f>
        <v>46</v>
      </c>
      <c r="I145" s="24" t="n">
        <f aca="false">'Raw Data'!I144</f>
        <v>0</v>
      </c>
      <c r="J145" s="1" t="str">
        <f aca="false">IF('Raw Data'!J144="None","None",IF(ISBLANK('Raw Data'!J144),"None",'Raw Data'!J144))</f>
        <v>None</v>
      </c>
      <c r="K145" s="1" t="str">
        <f aca="false">'Raw Data'!K144</f>
        <v>Completed</v>
      </c>
      <c r="L145" s="1" t="str">
        <f aca="false">'Raw Data'!L144</f>
        <v>Free</v>
      </c>
      <c r="M145" s="1" t="n">
        <f aca="false">'Raw Data'!M144</f>
        <v>17</v>
      </c>
      <c r="N145" s="1" t="str">
        <f aca="false">'Raw Data'!N144</f>
        <v>No</v>
      </c>
    </row>
    <row r="146" customFormat="false" ht="15" hidden="false" customHeight="true" outlineLevel="0" collapsed="false">
      <c r="A146" s="1" t="str">
        <f aca="false">'Raw Data'!A145</f>
        <v>S00142</v>
      </c>
      <c r="B146" s="1" t="str">
        <f aca="false">'Raw Data'!B145</f>
        <v>P7235</v>
      </c>
      <c r="C146" s="1" t="str">
        <f aca="false">'Raw Data'!C145</f>
        <v>reedchad</v>
      </c>
      <c r="D146" s="1" t="str">
        <f aca="false">'Raw Data'!D145</f>
        <v>Clash of Realms</v>
      </c>
      <c r="E146" s="1" t="str">
        <f aca="false">'Raw Data'!E145</f>
        <v>PC</v>
      </c>
      <c r="F146" s="1" t="str">
        <f aca="false">'Raw Data'!F145</f>
        <v>West</v>
      </c>
      <c r="G146" s="23" t="n">
        <f aca="false">'Raw Data'!G145</f>
        <v>45685</v>
      </c>
      <c r="H146" s="1" t="n">
        <f aca="false">'Raw Data'!H145</f>
        <v>106</v>
      </c>
      <c r="I146" s="24" t="n">
        <f aca="false">'Raw Data'!I145</f>
        <v>0</v>
      </c>
      <c r="J146" s="1" t="str">
        <f aca="false">IF('Raw Data'!J145="None","None",IF(ISBLANK('Raw Data'!J145),"None",'Raw Data'!J145))</f>
        <v>None</v>
      </c>
      <c r="K146" s="1" t="str">
        <f aca="false">'Raw Data'!K145</f>
        <v>Completed</v>
      </c>
      <c r="L146" s="1" t="str">
        <f aca="false">'Raw Data'!L145</f>
        <v>Free</v>
      </c>
      <c r="M146" s="1" t="n">
        <f aca="false">'Raw Data'!M145</f>
        <v>15</v>
      </c>
      <c r="N146" s="1" t="str">
        <f aca="false">'Raw Data'!N145</f>
        <v>No</v>
      </c>
    </row>
    <row r="147" customFormat="false" ht="15" hidden="false" customHeight="true" outlineLevel="0" collapsed="false">
      <c r="A147" s="1" t="str">
        <f aca="false">'Raw Data'!A146</f>
        <v>S00143</v>
      </c>
      <c r="B147" s="1" t="str">
        <f aca="false">'Raw Data'!B146</f>
        <v>P8203</v>
      </c>
      <c r="C147" s="1" t="str">
        <f aca="false">'Raw Data'!C146</f>
        <v>kennedyjacob</v>
      </c>
      <c r="D147" s="1" t="str">
        <f aca="false">'Raw Data'!D146</f>
        <v>BattleZone</v>
      </c>
      <c r="E147" s="1" t="str">
        <f aca="false">'Raw Data'!E146</f>
        <v>Mobile</v>
      </c>
      <c r="F147" s="1" t="str">
        <f aca="false">'Raw Data'!F146</f>
        <v>North-East</v>
      </c>
      <c r="G147" s="23" t="n">
        <f aca="false">'Raw Data'!G146</f>
        <v>45705</v>
      </c>
      <c r="H147" s="1" t="n">
        <f aca="false">'Raw Data'!H146</f>
        <v>48</v>
      </c>
      <c r="I147" s="24" t="n">
        <f aca="false">'Raw Data'!I146</f>
        <v>46.63</v>
      </c>
      <c r="J147" s="1" t="str">
        <f aca="false">IF('Raw Data'!J146="None","None",IF(ISBLANK('Raw Data'!J146),"None",'Raw Data'!J146))</f>
        <v>Battle Pass</v>
      </c>
      <c r="K147" s="1" t="str">
        <f aca="false">'Raw Data'!K146</f>
        <v>Completed</v>
      </c>
      <c r="L147" s="1" t="str">
        <f aca="false">'Raw Data'!L146</f>
        <v>Paid</v>
      </c>
      <c r="M147" s="1" t="n">
        <f aca="false">'Raw Data'!M146</f>
        <v>42</v>
      </c>
      <c r="N147" s="1" t="str">
        <f aca="false">'Raw Data'!N146</f>
        <v>Yes</v>
      </c>
    </row>
    <row r="148" customFormat="false" ht="15" hidden="false" customHeight="true" outlineLevel="0" collapsed="false">
      <c r="A148" s="1" t="str">
        <f aca="false">'Raw Data'!A147</f>
        <v>S00144</v>
      </c>
      <c r="B148" s="1" t="str">
        <f aca="false">'Raw Data'!B147</f>
        <v>P2317</v>
      </c>
      <c r="C148" s="1" t="str">
        <f aca="false">'Raw Data'!C147</f>
        <v>robertohobbs</v>
      </c>
      <c r="D148" s="1" t="str">
        <f aca="false">'Raw Data'!D147</f>
        <v>Zombie Rush</v>
      </c>
      <c r="E148" s="1" t="str">
        <f aca="false">'Raw Data'!E147</f>
        <v>Console</v>
      </c>
      <c r="F148" s="1" t="str">
        <f aca="false">'Raw Data'!F147</f>
        <v>West</v>
      </c>
      <c r="G148" s="23" t="n">
        <f aca="false">'Raw Data'!G147</f>
        <v>45769</v>
      </c>
      <c r="H148" s="1" t="n">
        <f aca="false">'Raw Data'!H147</f>
        <v>83</v>
      </c>
      <c r="I148" s="24" t="n">
        <f aca="false">'Raw Data'!I147</f>
        <v>0</v>
      </c>
      <c r="J148" s="1" t="str">
        <f aca="false">IF('Raw Data'!J147="None","None",IF(ISBLANK('Raw Data'!J147),"None",'Raw Data'!J147))</f>
        <v>None</v>
      </c>
      <c r="K148" s="1" t="str">
        <f aca="false">'Raw Data'!K147</f>
        <v>Completed</v>
      </c>
      <c r="L148" s="1" t="str">
        <f aca="false">'Raw Data'!L147</f>
        <v>Free</v>
      </c>
      <c r="M148" s="1" t="n">
        <f aca="false">'Raw Data'!M147</f>
        <v>25</v>
      </c>
      <c r="N148" s="1" t="str">
        <f aca="false">'Raw Data'!N147</f>
        <v>No</v>
      </c>
    </row>
    <row r="149" customFormat="false" ht="15" hidden="false" customHeight="true" outlineLevel="0" collapsed="false">
      <c r="A149" s="1" t="str">
        <f aca="false">'Raw Data'!A148</f>
        <v>S00145</v>
      </c>
      <c r="B149" s="1" t="str">
        <f aca="false">'Raw Data'!B148</f>
        <v>P1686</v>
      </c>
      <c r="C149" s="1" t="str">
        <f aca="false">'Raw Data'!C148</f>
        <v>michellemurphy</v>
      </c>
      <c r="D149" s="1" t="str">
        <f aca="false">'Raw Data'!D148</f>
        <v>Clash of Realms</v>
      </c>
      <c r="E149" s="1" t="str">
        <f aca="false">'Raw Data'!E148</f>
        <v>Console</v>
      </c>
      <c r="F149" s="1" t="str">
        <f aca="false">'Raw Data'!F148</f>
        <v>Central</v>
      </c>
      <c r="G149" s="23" t="n">
        <f aca="false">'Raw Data'!G148</f>
        <v>45650</v>
      </c>
      <c r="H149" s="1" t="n">
        <f aca="false">'Raw Data'!H148</f>
        <v>146</v>
      </c>
      <c r="I149" s="24" t="n">
        <f aca="false">'Raw Data'!I148</f>
        <v>0</v>
      </c>
      <c r="J149" s="1" t="str">
        <f aca="false">IF('Raw Data'!J148="None","None",IF(ISBLANK('Raw Data'!J148),"None",'Raw Data'!J148))</f>
        <v>None</v>
      </c>
      <c r="K149" s="1" t="str">
        <f aca="false">'Raw Data'!K148</f>
        <v>Completed</v>
      </c>
      <c r="L149" s="1" t="str">
        <f aca="false">'Raw Data'!L148</f>
        <v>Free</v>
      </c>
      <c r="M149" s="1" t="n">
        <f aca="false">'Raw Data'!M148</f>
        <v>28</v>
      </c>
      <c r="N149" s="1" t="str">
        <f aca="false">'Raw Data'!N148</f>
        <v>No</v>
      </c>
    </row>
    <row r="150" customFormat="false" ht="15" hidden="false" customHeight="true" outlineLevel="0" collapsed="false">
      <c r="A150" s="1" t="str">
        <f aca="false">'Raw Data'!A149</f>
        <v>S00146</v>
      </c>
      <c r="B150" s="1" t="str">
        <f aca="false">'Raw Data'!B149</f>
        <v>P3775</v>
      </c>
      <c r="C150" s="1" t="str">
        <f aca="false">'Raw Data'!C149</f>
        <v>castillowilliam</v>
      </c>
      <c r="D150" s="1" t="str">
        <f aca="false">'Raw Data'!D149</f>
        <v>Clash of Realms</v>
      </c>
      <c r="E150" s="1" t="str">
        <f aca="false">'Raw Data'!E149</f>
        <v>Console</v>
      </c>
      <c r="F150" s="1" t="str">
        <f aca="false">'Raw Data'!F149</f>
        <v>North</v>
      </c>
      <c r="G150" s="23" t="n">
        <f aca="false">'Raw Data'!G149</f>
        <v>45713</v>
      </c>
      <c r="H150" s="1" t="n">
        <f aca="false">'Raw Data'!H149</f>
        <v>18</v>
      </c>
      <c r="I150" s="24" t="n">
        <f aca="false">'Raw Data'!I149</f>
        <v>0</v>
      </c>
      <c r="J150" s="1" t="str">
        <f aca="false">IF('Raw Data'!J149="None","None",IF(ISBLANK('Raw Data'!J149),"None",'Raw Data'!J149))</f>
        <v>None</v>
      </c>
      <c r="K150" s="1" t="str">
        <f aca="false">'Raw Data'!K149</f>
        <v>Completed</v>
      </c>
      <c r="L150" s="1" t="str">
        <f aca="false">'Raw Data'!L149</f>
        <v>Free</v>
      </c>
      <c r="M150" s="1" t="n">
        <f aca="false">'Raw Data'!M149</f>
        <v>47</v>
      </c>
      <c r="N150" s="1" t="str">
        <f aca="false">'Raw Data'!N149</f>
        <v>No</v>
      </c>
    </row>
    <row r="151" customFormat="false" ht="15" hidden="false" customHeight="true" outlineLevel="0" collapsed="false">
      <c r="A151" s="1" t="str">
        <f aca="false">'Raw Data'!A150</f>
        <v>S00147</v>
      </c>
      <c r="B151" s="1" t="str">
        <f aca="false">'Raw Data'!B150</f>
        <v>P2026</v>
      </c>
      <c r="C151" s="1" t="str">
        <f aca="false">'Raw Data'!C150</f>
        <v>manuel15</v>
      </c>
      <c r="D151" s="1" t="str">
        <f aca="false">'Raw Data'!D150</f>
        <v>SpeedX</v>
      </c>
      <c r="E151" s="1" t="str">
        <f aca="false">'Raw Data'!E150</f>
        <v>PC</v>
      </c>
      <c r="F151" s="1" t="str">
        <f aca="false">'Raw Data'!F150</f>
        <v>North</v>
      </c>
      <c r="G151" s="23" t="n">
        <f aca="false">'Raw Data'!G150</f>
        <v>45770</v>
      </c>
      <c r="H151" s="1" t="n">
        <f aca="false">'Raw Data'!H150</f>
        <v>136</v>
      </c>
      <c r="I151" s="24" t="n">
        <f aca="false">'Raw Data'!I150</f>
        <v>0</v>
      </c>
      <c r="J151" s="1" t="str">
        <f aca="false">IF('Raw Data'!J150="None","None",IF(ISBLANK('Raw Data'!J150),"None",'Raw Data'!J150))</f>
        <v>None</v>
      </c>
      <c r="K151" s="1" t="str">
        <f aca="false">'Raw Data'!K150</f>
        <v>Completed</v>
      </c>
      <c r="L151" s="1" t="str">
        <f aca="false">'Raw Data'!L150</f>
        <v>Free</v>
      </c>
      <c r="M151" s="1" t="n">
        <f aca="false">'Raw Data'!M150</f>
        <v>23</v>
      </c>
      <c r="N151" s="1" t="str">
        <f aca="false">'Raw Data'!N150</f>
        <v>No</v>
      </c>
    </row>
    <row r="152" customFormat="false" ht="15" hidden="false" customHeight="true" outlineLevel="0" collapsed="false">
      <c r="A152" s="1" t="str">
        <f aca="false">'Raw Data'!A151</f>
        <v>S00148</v>
      </c>
      <c r="B152" s="1" t="str">
        <f aca="false">'Raw Data'!B151</f>
        <v>P6441</v>
      </c>
      <c r="C152" s="1" t="str">
        <f aca="false">'Raw Data'!C151</f>
        <v>melissa77</v>
      </c>
      <c r="D152" s="1" t="str">
        <f aca="false">'Raw Data'!D151</f>
        <v>Empire Wars</v>
      </c>
      <c r="E152" s="1" t="str">
        <f aca="false">'Raw Data'!E151</f>
        <v>Console</v>
      </c>
      <c r="F152" s="1" t="str">
        <f aca="false">'Raw Data'!F151</f>
        <v>East</v>
      </c>
      <c r="G152" s="23" t="n">
        <f aca="false">'Raw Data'!G151</f>
        <v>45683</v>
      </c>
      <c r="H152" s="1" t="n">
        <f aca="false">'Raw Data'!H151</f>
        <v>99</v>
      </c>
      <c r="I152" s="24" t="n">
        <f aca="false">'Raw Data'!I151</f>
        <v>0</v>
      </c>
      <c r="J152" s="1" t="str">
        <f aca="false">IF('Raw Data'!J151="None","None",IF(ISBLANK('Raw Data'!J151),"None",'Raw Data'!J151))</f>
        <v>None</v>
      </c>
      <c r="K152" s="1" t="str">
        <f aca="false">'Raw Data'!K151</f>
        <v>Completed</v>
      </c>
      <c r="L152" s="1" t="str">
        <f aca="false">'Raw Data'!L151</f>
        <v>Free</v>
      </c>
      <c r="M152" s="1" t="n">
        <f aca="false">'Raw Data'!M151</f>
        <v>2</v>
      </c>
      <c r="N152" s="1" t="str">
        <f aca="false">'Raw Data'!N151</f>
        <v>No</v>
      </c>
    </row>
    <row r="153" customFormat="false" ht="15" hidden="false" customHeight="true" outlineLevel="0" collapsed="false">
      <c r="A153" s="1" t="str">
        <f aca="false">'Raw Data'!A152</f>
        <v>S00149</v>
      </c>
      <c r="B153" s="1" t="str">
        <f aca="false">'Raw Data'!B152</f>
        <v>P2573</v>
      </c>
      <c r="C153" s="1" t="str">
        <f aca="false">'Raw Data'!C152</f>
        <v>pkim</v>
      </c>
      <c r="D153" s="1" t="str">
        <f aca="false">'Raw Data'!D152</f>
        <v>Empire Wars</v>
      </c>
      <c r="E153" s="1" t="str">
        <f aca="false">'Raw Data'!E152</f>
        <v>Mobile</v>
      </c>
      <c r="F153" s="1" t="str">
        <f aca="false">'Raw Data'!F152</f>
        <v>Central</v>
      </c>
      <c r="G153" s="23" t="n">
        <f aca="false">'Raw Data'!G152</f>
        <v>45693</v>
      </c>
      <c r="H153" s="1" t="n">
        <f aca="false">'Raw Data'!H152</f>
        <v>133</v>
      </c>
      <c r="I153" s="24" t="n">
        <f aca="false">'Raw Data'!I152</f>
        <v>0</v>
      </c>
      <c r="J153" s="1" t="str">
        <f aca="false">IF('Raw Data'!J152="None","None",IF(ISBLANK('Raw Data'!J152),"None",'Raw Data'!J152))</f>
        <v>None</v>
      </c>
      <c r="K153" s="1" t="str">
        <f aca="false">'Raw Data'!K152</f>
        <v>Completed</v>
      </c>
      <c r="L153" s="1" t="str">
        <f aca="false">'Raw Data'!L152</f>
        <v>Free</v>
      </c>
      <c r="M153" s="1" t="n">
        <f aca="false">'Raw Data'!M152</f>
        <v>26</v>
      </c>
      <c r="N153" s="1" t="str">
        <f aca="false">'Raw Data'!N152</f>
        <v>No</v>
      </c>
    </row>
    <row r="154" customFormat="false" ht="15" hidden="false" customHeight="true" outlineLevel="0" collapsed="false">
      <c r="A154" s="1" t="str">
        <f aca="false">'Raw Data'!A153</f>
        <v>S00150</v>
      </c>
      <c r="B154" s="1" t="str">
        <f aca="false">'Raw Data'!B153</f>
        <v>P2593</v>
      </c>
      <c r="C154" s="1" t="str">
        <f aca="false">'Raw Data'!C153</f>
        <v>erinjones</v>
      </c>
      <c r="D154" s="1" t="str">
        <f aca="false">'Raw Data'!D153</f>
        <v>BattleZone</v>
      </c>
      <c r="E154" s="1" t="str">
        <f aca="false">'Raw Data'!E153</f>
        <v>Console</v>
      </c>
      <c r="F154" s="1" t="str">
        <f aca="false">'Raw Data'!F153</f>
        <v>Central</v>
      </c>
      <c r="G154" s="23" t="n">
        <f aca="false">'Raw Data'!G153</f>
        <v>45728</v>
      </c>
      <c r="H154" s="1" t="n">
        <f aca="false">'Raw Data'!H153</f>
        <v>54</v>
      </c>
      <c r="I154" s="24" t="n">
        <f aca="false">'Raw Data'!I153</f>
        <v>0</v>
      </c>
      <c r="J154" s="1" t="str">
        <f aca="false">IF('Raw Data'!J153="None","None",IF(ISBLANK('Raw Data'!J153),"None",'Raw Data'!J153))</f>
        <v>None</v>
      </c>
      <c r="K154" s="1" t="str">
        <f aca="false">'Raw Data'!K153</f>
        <v>Completed</v>
      </c>
      <c r="L154" s="1" t="str">
        <f aca="false">'Raw Data'!L153</f>
        <v>Free</v>
      </c>
      <c r="M154" s="1" t="n">
        <f aca="false">'Raw Data'!M153</f>
        <v>5</v>
      </c>
      <c r="N154" s="1" t="str">
        <f aca="false">'Raw Data'!N153</f>
        <v>No</v>
      </c>
    </row>
    <row r="155" customFormat="false" ht="15" hidden="false" customHeight="true" outlineLevel="0" collapsed="false">
      <c r="A155" s="1" t="str">
        <f aca="false">'Raw Data'!A154</f>
        <v>S00151</v>
      </c>
      <c r="B155" s="1" t="str">
        <f aca="false">'Raw Data'!B154</f>
        <v>P5644</v>
      </c>
      <c r="C155" s="1" t="str">
        <f aca="false">'Raw Data'!C154</f>
        <v>harrispamela</v>
      </c>
      <c r="D155" s="1" t="str">
        <f aca="false">'Raw Data'!D154</f>
        <v>Empire Wars</v>
      </c>
      <c r="E155" s="1" t="str">
        <f aca="false">'Raw Data'!E154</f>
        <v>PC</v>
      </c>
      <c r="F155" s="1" t="str">
        <f aca="false">'Raw Data'!F154</f>
        <v>North</v>
      </c>
      <c r="G155" s="23" t="n">
        <f aca="false">'Raw Data'!G154</f>
        <v>45666</v>
      </c>
      <c r="H155" s="1" t="n">
        <f aca="false">'Raw Data'!H154</f>
        <v>169</v>
      </c>
      <c r="I155" s="24" t="n">
        <f aca="false">'Raw Data'!I154</f>
        <v>0</v>
      </c>
      <c r="J155" s="1" t="str">
        <f aca="false">IF('Raw Data'!J154="None","None",IF(ISBLANK('Raw Data'!J154),"None",'Raw Data'!J154))</f>
        <v>None</v>
      </c>
      <c r="K155" s="1" t="str">
        <f aca="false">'Raw Data'!K154</f>
        <v>Completed</v>
      </c>
      <c r="L155" s="1" t="str">
        <f aca="false">'Raw Data'!L154</f>
        <v>Free</v>
      </c>
      <c r="M155" s="1" t="n">
        <f aca="false">'Raw Data'!M154</f>
        <v>30</v>
      </c>
      <c r="N155" s="1" t="str">
        <f aca="false">'Raw Data'!N154</f>
        <v>Yes</v>
      </c>
    </row>
    <row r="156" customFormat="false" ht="15" hidden="false" customHeight="true" outlineLevel="0" collapsed="false">
      <c r="A156" s="1" t="str">
        <f aca="false">'Raw Data'!A155</f>
        <v>S00152</v>
      </c>
      <c r="B156" s="1" t="str">
        <f aca="false">'Raw Data'!B155</f>
        <v>P5906</v>
      </c>
      <c r="C156" s="1" t="str">
        <f aca="false">'Raw Data'!C155</f>
        <v>onoble</v>
      </c>
      <c r="D156" s="1" t="str">
        <f aca="false">'Raw Data'!D155</f>
        <v>Empire Wars</v>
      </c>
      <c r="E156" s="1" t="str">
        <f aca="false">'Raw Data'!E155</f>
        <v>Console</v>
      </c>
      <c r="F156" s="1" t="str">
        <f aca="false">'Raw Data'!F155</f>
        <v>West</v>
      </c>
      <c r="G156" s="23" t="n">
        <f aca="false">'Raw Data'!G155</f>
        <v>45737</v>
      </c>
      <c r="H156" s="1" t="n">
        <f aca="false">'Raw Data'!H155</f>
        <v>8</v>
      </c>
      <c r="I156" s="24" t="n">
        <f aca="false">'Raw Data'!I155</f>
        <v>39.12</v>
      </c>
      <c r="J156" s="1" t="str">
        <f aca="false">IF('Raw Data'!J155="None","None",IF(ISBLANK('Raw Data'!J155),"None",'Raw Data'!J155))</f>
        <v>Boosters</v>
      </c>
      <c r="K156" s="1" t="str">
        <f aca="false">'Raw Data'!K155</f>
        <v>Completed</v>
      </c>
      <c r="L156" s="1" t="str">
        <f aca="false">'Raw Data'!L155</f>
        <v>Paid</v>
      </c>
      <c r="M156" s="1" t="n">
        <f aca="false">'Raw Data'!M155</f>
        <v>48</v>
      </c>
      <c r="N156" s="1" t="str">
        <f aca="false">'Raw Data'!N155</f>
        <v>No</v>
      </c>
    </row>
    <row r="157" customFormat="false" ht="15" hidden="false" customHeight="true" outlineLevel="0" collapsed="false">
      <c r="A157" s="1" t="str">
        <f aca="false">'Raw Data'!A156</f>
        <v>S00153</v>
      </c>
      <c r="B157" s="1" t="str">
        <f aca="false">'Raw Data'!B156</f>
        <v>P4716</v>
      </c>
      <c r="C157" s="1" t="str">
        <f aca="false">'Raw Data'!C156</f>
        <v>jamie88</v>
      </c>
      <c r="D157" s="1" t="str">
        <f aca="false">'Raw Data'!D156</f>
        <v>Clash of Realms</v>
      </c>
      <c r="E157" s="1" t="str">
        <f aca="false">'Raw Data'!E156</f>
        <v>Console</v>
      </c>
      <c r="F157" s="1" t="str">
        <f aca="false">'Raw Data'!F156</f>
        <v>West</v>
      </c>
      <c r="G157" s="23" t="n">
        <f aca="false">'Raw Data'!G156</f>
        <v>45695</v>
      </c>
      <c r="H157" s="1" t="n">
        <f aca="false">'Raw Data'!H156</f>
        <v>27</v>
      </c>
      <c r="I157" s="24" t="n">
        <f aca="false">'Raw Data'!I156</f>
        <v>2.64</v>
      </c>
      <c r="J157" s="1" t="str">
        <f aca="false">IF('Raw Data'!J156="None","None",IF(ISBLANK('Raw Data'!J156),"None",'Raw Data'!J156))</f>
        <v>Subscriptions</v>
      </c>
      <c r="K157" s="1" t="str">
        <f aca="false">'Raw Data'!K156</f>
        <v>Completed</v>
      </c>
      <c r="L157" s="1" t="str">
        <f aca="false">'Raw Data'!L156</f>
        <v>Paid</v>
      </c>
      <c r="M157" s="1" t="n">
        <f aca="false">'Raw Data'!M156</f>
        <v>3</v>
      </c>
      <c r="N157" s="1" t="str">
        <f aca="false">'Raw Data'!N156</f>
        <v>No</v>
      </c>
    </row>
    <row r="158" customFormat="false" ht="15" hidden="false" customHeight="true" outlineLevel="0" collapsed="false">
      <c r="A158" s="1" t="str">
        <f aca="false">'Raw Data'!A157</f>
        <v>S00154</v>
      </c>
      <c r="B158" s="1" t="str">
        <f aca="false">'Raw Data'!B157</f>
        <v>P8055</v>
      </c>
      <c r="C158" s="1" t="str">
        <f aca="false">'Raw Data'!C157</f>
        <v>davidsingleton</v>
      </c>
      <c r="D158" s="1" t="str">
        <f aca="false">'Raw Data'!D157</f>
        <v>BattleZone</v>
      </c>
      <c r="E158" s="1" t="str">
        <f aca="false">'Raw Data'!E157</f>
        <v>Mobile</v>
      </c>
      <c r="F158" s="1" t="str">
        <f aca="false">'Raw Data'!F157</f>
        <v>West</v>
      </c>
      <c r="G158" s="23" t="n">
        <f aca="false">'Raw Data'!G157</f>
        <v>45721</v>
      </c>
      <c r="H158" s="1" t="n">
        <f aca="false">'Raw Data'!H157</f>
        <v>118</v>
      </c>
      <c r="I158" s="24" t="n">
        <f aca="false">'Raw Data'!I157</f>
        <v>46.55</v>
      </c>
      <c r="J158" s="1" t="str">
        <f aca="false">IF('Raw Data'!J157="None","None",IF(ISBLANK('Raw Data'!J157),"None",'Raw Data'!J157))</f>
        <v>Battle Pass</v>
      </c>
      <c r="K158" s="1" t="str">
        <f aca="false">'Raw Data'!K157</f>
        <v>Completed</v>
      </c>
      <c r="L158" s="1" t="str">
        <f aca="false">'Raw Data'!L157</f>
        <v>Paid</v>
      </c>
      <c r="M158" s="1" t="n">
        <f aca="false">'Raw Data'!M157</f>
        <v>45</v>
      </c>
      <c r="N158" s="1" t="str">
        <f aca="false">'Raw Data'!N157</f>
        <v>Yes</v>
      </c>
    </row>
    <row r="159" customFormat="false" ht="15" hidden="false" customHeight="true" outlineLevel="0" collapsed="false">
      <c r="A159" s="1" t="str">
        <f aca="false">'Raw Data'!A158</f>
        <v>S00155</v>
      </c>
      <c r="B159" s="1" t="str">
        <f aca="false">'Raw Data'!B158</f>
        <v>P2328</v>
      </c>
      <c r="C159" s="1" t="str">
        <f aca="false">'Raw Data'!C158</f>
        <v>byrdevelyn</v>
      </c>
      <c r="D159" s="1" t="str">
        <f aca="false">'Raw Data'!D158</f>
        <v>Zombie Rush</v>
      </c>
      <c r="E159" s="1" t="str">
        <f aca="false">'Raw Data'!E158</f>
        <v>Mobile</v>
      </c>
      <c r="F159" s="1" t="str">
        <f aca="false">'Raw Data'!F158</f>
        <v>North-East</v>
      </c>
      <c r="G159" s="23" t="n">
        <f aca="false">'Raw Data'!G158</f>
        <v>45792</v>
      </c>
      <c r="H159" s="1" t="n">
        <f aca="false">'Raw Data'!H158</f>
        <v>171</v>
      </c>
      <c r="I159" s="24" t="n">
        <f aca="false">'Raw Data'!I158</f>
        <v>18.03</v>
      </c>
      <c r="J159" s="1" t="str">
        <f aca="false">IF('Raw Data'!J158="None","None",IF(ISBLANK('Raw Data'!J158),"None",'Raw Data'!J158))</f>
        <v>Skins</v>
      </c>
      <c r="K159" s="1" t="str">
        <f aca="false">'Raw Data'!K158</f>
        <v>Completed</v>
      </c>
      <c r="L159" s="1" t="str">
        <f aca="false">'Raw Data'!L158</f>
        <v>Paid</v>
      </c>
      <c r="M159" s="1" t="n">
        <f aca="false">'Raw Data'!M158</f>
        <v>43</v>
      </c>
      <c r="N159" s="1" t="str">
        <f aca="false">'Raw Data'!N158</f>
        <v>Yes</v>
      </c>
    </row>
    <row r="160" customFormat="false" ht="15" hidden="false" customHeight="true" outlineLevel="0" collapsed="false">
      <c r="A160" s="1" t="str">
        <f aca="false">'Raw Data'!A159</f>
        <v>S00156</v>
      </c>
      <c r="B160" s="1" t="str">
        <f aca="false">'Raw Data'!B159</f>
        <v>P2755</v>
      </c>
      <c r="C160" s="1" t="str">
        <f aca="false">'Raw Data'!C159</f>
        <v>ivan06</v>
      </c>
      <c r="D160" s="1" t="str">
        <f aca="false">'Raw Data'!D159</f>
        <v>Clash of Realms</v>
      </c>
      <c r="E160" s="1" t="str">
        <f aca="false">'Raw Data'!E159</f>
        <v>Mobile</v>
      </c>
      <c r="F160" s="1" t="str">
        <f aca="false">'Raw Data'!F159</f>
        <v>North</v>
      </c>
      <c r="G160" s="23" t="n">
        <f aca="false">'Raw Data'!G159</f>
        <v>45756</v>
      </c>
      <c r="H160" s="1" t="n">
        <f aca="false">'Raw Data'!H159</f>
        <v>55</v>
      </c>
      <c r="I160" s="24" t="n">
        <f aca="false">'Raw Data'!I159</f>
        <v>0</v>
      </c>
      <c r="J160" s="1" t="str">
        <f aca="false">IF('Raw Data'!J159="None","None",IF(ISBLANK('Raw Data'!J159),"None",'Raw Data'!J159))</f>
        <v>None</v>
      </c>
      <c r="K160" s="1" t="str">
        <f aca="false">'Raw Data'!K159</f>
        <v>Completed</v>
      </c>
      <c r="L160" s="1" t="str">
        <f aca="false">'Raw Data'!L159</f>
        <v>Free</v>
      </c>
      <c r="M160" s="1" t="n">
        <f aca="false">'Raw Data'!M159</f>
        <v>29</v>
      </c>
      <c r="N160" s="1" t="str">
        <f aca="false">'Raw Data'!N159</f>
        <v>No</v>
      </c>
    </row>
    <row r="161" customFormat="false" ht="15" hidden="false" customHeight="true" outlineLevel="0" collapsed="false">
      <c r="A161" s="1" t="str">
        <f aca="false">'Raw Data'!A160</f>
        <v>S00157</v>
      </c>
      <c r="B161" s="1" t="str">
        <f aca="false">'Raw Data'!B160</f>
        <v>P5941</v>
      </c>
      <c r="C161" s="1" t="str">
        <f aca="false">'Raw Data'!C160</f>
        <v>gabriellogan</v>
      </c>
      <c r="D161" s="1" t="str">
        <f aca="false">'Raw Data'!D160</f>
        <v>BattleZone</v>
      </c>
      <c r="E161" s="1" t="str">
        <f aca="false">'Raw Data'!E160</f>
        <v>Console</v>
      </c>
      <c r="F161" s="1" t="str">
        <f aca="false">'Raw Data'!F160</f>
        <v>North-East</v>
      </c>
      <c r="G161" s="23" t="n">
        <f aca="false">'Raw Data'!G160</f>
        <v>45709</v>
      </c>
      <c r="H161" s="1" t="n">
        <f aca="false">'Raw Data'!H160</f>
        <v>37</v>
      </c>
      <c r="I161" s="24" t="n">
        <f aca="false">'Raw Data'!I160</f>
        <v>0</v>
      </c>
      <c r="J161" s="1" t="str">
        <f aca="false">IF('Raw Data'!J160="None","None",IF(ISBLANK('Raw Data'!J160),"None",'Raw Data'!J160))</f>
        <v>None</v>
      </c>
      <c r="K161" s="1" t="str">
        <f aca="false">'Raw Data'!K160</f>
        <v>Exited Early</v>
      </c>
      <c r="L161" s="1" t="str">
        <f aca="false">'Raw Data'!L160</f>
        <v>Free</v>
      </c>
      <c r="M161" s="1" t="n">
        <f aca="false">'Raw Data'!M160</f>
        <v>1</v>
      </c>
      <c r="N161" s="1" t="str">
        <f aca="false">'Raw Data'!N160</f>
        <v>No</v>
      </c>
    </row>
    <row r="162" customFormat="false" ht="15" hidden="false" customHeight="true" outlineLevel="0" collapsed="false">
      <c r="A162" s="1" t="str">
        <f aca="false">'Raw Data'!A161</f>
        <v>S00158</v>
      </c>
      <c r="B162" s="1" t="str">
        <f aca="false">'Raw Data'!B161</f>
        <v>P4783</v>
      </c>
      <c r="C162" s="1" t="str">
        <f aca="false">'Raw Data'!C161</f>
        <v>gsmith</v>
      </c>
      <c r="D162" s="1" t="str">
        <f aca="false">'Raw Data'!D161</f>
        <v>Empire Wars</v>
      </c>
      <c r="E162" s="1" t="str">
        <f aca="false">'Raw Data'!E161</f>
        <v>Console</v>
      </c>
      <c r="F162" s="1" t="str">
        <f aca="false">'Raw Data'!F161</f>
        <v>West</v>
      </c>
      <c r="G162" s="23" t="n">
        <f aca="false">'Raw Data'!G161</f>
        <v>45700</v>
      </c>
      <c r="H162" s="1" t="n">
        <f aca="false">'Raw Data'!H161</f>
        <v>79</v>
      </c>
      <c r="I162" s="24" t="n">
        <f aca="false">'Raw Data'!I161</f>
        <v>0</v>
      </c>
      <c r="J162" s="1" t="str">
        <f aca="false">IF('Raw Data'!J161="None","None",IF(ISBLANK('Raw Data'!J161),"None",'Raw Data'!J161))</f>
        <v>None</v>
      </c>
      <c r="K162" s="1" t="str">
        <f aca="false">'Raw Data'!K161</f>
        <v>Completed</v>
      </c>
      <c r="L162" s="1" t="str">
        <f aca="false">'Raw Data'!L161</f>
        <v>Free</v>
      </c>
      <c r="M162" s="1" t="n">
        <f aca="false">'Raw Data'!M161</f>
        <v>44</v>
      </c>
      <c r="N162" s="1" t="str">
        <f aca="false">'Raw Data'!N161</f>
        <v>No</v>
      </c>
    </row>
    <row r="163" customFormat="false" ht="15" hidden="false" customHeight="true" outlineLevel="0" collapsed="false">
      <c r="A163" s="1" t="str">
        <f aca="false">'Raw Data'!A162</f>
        <v>S00159</v>
      </c>
      <c r="B163" s="1" t="str">
        <f aca="false">'Raw Data'!B162</f>
        <v>P7795</v>
      </c>
      <c r="C163" s="1" t="str">
        <f aca="false">'Raw Data'!C162</f>
        <v>morrismelissa</v>
      </c>
      <c r="D163" s="1" t="str">
        <f aca="false">'Raw Data'!D162</f>
        <v>Clash of Realms</v>
      </c>
      <c r="E163" s="1" t="str">
        <f aca="false">'Raw Data'!E162</f>
        <v>Console</v>
      </c>
      <c r="F163" s="1" t="str">
        <f aca="false">'Raw Data'!F162</f>
        <v>South</v>
      </c>
      <c r="G163" s="23" t="n">
        <f aca="false">'Raw Data'!G162</f>
        <v>45690</v>
      </c>
      <c r="H163" s="1" t="n">
        <f aca="false">'Raw Data'!H162</f>
        <v>50</v>
      </c>
      <c r="I163" s="24" t="n">
        <f aca="false">'Raw Data'!I162</f>
        <v>0</v>
      </c>
      <c r="J163" s="1" t="str">
        <f aca="false">IF('Raw Data'!J162="None","None",IF(ISBLANK('Raw Data'!J162),"None",'Raw Data'!J162))</f>
        <v>None</v>
      </c>
      <c r="K163" s="1" t="str">
        <f aca="false">'Raw Data'!K162</f>
        <v>Completed</v>
      </c>
      <c r="L163" s="1" t="str">
        <f aca="false">'Raw Data'!L162</f>
        <v>Free</v>
      </c>
      <c r="M163" s="1" t="n">
        <f aca="false">'Raw Data'!M162</f>
        <v>21</v>
      </c>
      <c r="N163" s="1" t="str">
        <f aca="false">'Raw Data'!N162</f>
        <v>No</v>
      </c>
    </row>
    <row r="164" customFormat="false" ht="15" hidden="false" customHeight="true" outlineLevel="0" collapsed="false">
      <c r="A164" s="1" t="str">
        <f aca="false">'Raw Data'!A163</f>
        <v>S00160</v>
      </c>
      <c r="B164" s="1" t="str">
        <f aca="false">'Raw Data'!B163</f>
        <v>P5207</v>
      </c>
      <c r="C164" s="1" t="str">
        <f aca="false">'Raw Data'!C163</f>
        <v>courtneycarr</v>
      </c>
      <c r="D164" s="1" t="str">
        <f aca="false">'Raw Data'!D163</f>
        <v>Empire Wars</v>
      </c>
      <c r="E164" s="1" t="str">
        <f aca="false">'Raw Data'!E163</f>
        <v>Mobile</v>
      </c>
      <c r="F164" s="1" t="str">
        <f aca="false">'Raw Data'!F163</f>
        <v>North</v>
      </c>
      <c r="G164" s="23" t="n">
        <f aca="false">'Raw Data'!G163</f>
        <v>45700</v>
      </c>
      <c r="H164" s="1" t="n">
        <f aca="false">'Raw Data'!H163</f>
        <v>57</v>
      </c>
      <c r="I164" s="24" t="n">
        <f aca="false">'Raw Data'!I163</f>
        <v>0</v>
      </c>
      <c r="J164" s="1" t="str">
        <f aca="false">IF('Raw Data'!J163="None","None",IF(ISBLANK('Raw Data'!J163),"None",'Raw Data'!J163))</f>
        <v>None</v>
      </c>
      <c r="K164" s="1" t="str">
        <f aca="false">'Raw Data'!K163</f>
        <v>Completed</v>
      </c>
      <c r="L164" s="1" t="str">
        <f aca="false">'Raw Data'!L163</f>
        <v>Free</v>
      </c>
      <c r="M164" s="1" t="n">
        <f aca="false">'Raw Data'!M163</f>
        <v>13</v>
      </c>
      <c r="N164" s="1" t="str">
        <f aca="false">'Raw Data'!N163</f>
        <v>No</v>
      </c>
    </row>
    <row r="165" customFormat="false" ht="15" hidden="false" customHeight="true" outlineLevel="0" collapsed="false">
      <c r="A165" s="1" t="str">
        <f aca="false">'Raw Data'!A164</f>
        <v>S00161</v>
      </c>
      <c r="B165" s="1" t="str">
        <f aca="false">'Raw Data'!B164</f>
        <v>P7830</v>
      </c>
      <c r="C165" s="1" t="str">
        <f aca="false">'Raw Data'!C164</f>
        <v>thomasowens</v>
      </c>
      <c r="D165" s="1" t="str">
        <f aca="false">'Raw Data'!D164</f>
        <v>Zombie Rush</v>
      </c>
      <c r="E165" s="1" t="str">
        <f aca="false">'Raw Data'!E164</f>
        <v>Console</v>
      </c>
      <c r="F165" s="1" t="str">
        <f aca="false">'Raw Data'!F164</f>
        <v>West</v>
      </c>
      <c r="G165" s="23" t="n">
        <f aca="false">'Raw Data'!G164</f>
        <v>45765</v>
      </c>
      <c r="H165" s="1" t="n">
        <f aca="false">'Raw Data'!H164</f>
        <v>116</v>
      </c>
      <c r="I165" s="24" t="n">
        <f aca="false">'Raw Data'!I164</f>
        <v>17.05</v>
      </c>
      <c r="J165" s="1" t="str">
        <f aca="false">IF('Raw Data'!J164="None","None",IF(ISBLANK('Raw Data'!J164),"None",'Raw Data'!J164))</f>
        <v>Subscriptions</v>
      </c>
      <c r="K165" s="1" t="str">
        <f aca="false">'Raw Data'!K164</f>
        <v>Exited Early</v>
      </c>
      <c r="L165" s="1" t="str">
        <f aca="false">'Raw Data'!L164</f>
        <v>Paid</v>
      </c>
      <c r="M165" s="1" t="n">
        <f aca="false">'Raw Data'!M164</f>
        <v>17</v>
      </c>
      <c r="N165" s="1" t="str">
        <f aca="false">'Raw Data'!N164</f>
        <v>No</v>
      </c>
    </row>
    <row r="166" customFormat="false" ht="15" hidden="false" customHeight="true" outlineLevel="0" collapsed="false">
      <c r="A166" s="1" t="str">
        <f aca="false">'Raw Data'!A165</f>
        <v>S00162</v>
      </c>
      <c r="B166" s="1" t="str">
        <f aca="false">'Raw Data'!B165</f>
        <v>P9575</v>
      </c>
      <c r="C166" s="1" t="str">
        <f aca="false">'Raw Data'!C165</f>
        <v>robertsoncynthia</v>
      </c>
      <c r="D166" s="1" t="str">
        <f aca="false">'Raw Data'!D165</f>
        <v>Empire Wars</v>
      </c>
      <c r="E166" s="1" t="str">
        <f aca="false">'Raw Data'!E165</f>
        <v>Mobile</v>
      </c>
      <c r="F166" s="1" t="str">
        <f aca="false">'Raw Data'!F165</f>
        <v>North-East</v>
      </c>
      <c r="G166" s="23" t="n">
        <f aca="false">'Raw Data'!G165</f>
        <v>45701</v>
      </c>
      <c r="H166" s="1" t="n">
        <f aca="false">'Raw Data'!H165</f>
        <v>8</v>
      </c>
      <c r="I166" s="24" t="n">
        <f aca="false">'Raw Data'!I165</f>
        <v>0</v>
      </c>
      <c r="J166" s="1" t="str">
        <f aca="false">IF('Raw Data'!J165="None","None",IF(ISBLANK('Raw Data'!J165),"None",'Raw Data'!J165))</f>
        <v>None</v>
      </c>
      <c r="K166" s="1" t="str">
        <f aca="false">'Raw Data'!K165</f>
        <v>Exited Early</v>
      </c>
      <c r="L166" s="1" t="str">
        <f aca="false">'Raw Data'!L165</f>
        <v>Free</v>
      </c>
      <c r="M166" s="1" t="n">
        <f aca="false">'Raw Data'!M165</f>
        <v>31</v>
      </c>
      <c r="N166" s="1" t="str">
        <f aca="false">'Raw Data'!N165</f>
        <v>No</v>
      </c>
    </row>
    <row r="167" customFormat="false" ht="15" hidden="false" customHeight="true" outlineLevel="0" collapsed="false">
      <c r="A167" s="1" t="str">
        <f aca="false">'Raw Data'!A166</f>
        <v>S00163</v>
      </c>
      <c r="B167" s="1" t="str">
        <f aca="false">'Raw Data'!B166</f>
        <v>P8379</v>
      </c>
      <c r="C167" s="1" t="str">
        <f aca="false">'Raw Data'!C166</f>
        <v>uhudson</v>
      </c>
      <c r="D167" s="1" t="str">
        <f aca="false">'Raw Data'!D166</f>
        <v>Clash of Realms</v>
      </c>
      <c r="E167" s="1" t="str">
        <f aca="false">'Raw Data'!E166</f>
        <v>Console</v>
      </c>
      <c r="F167" s="1" t="str">
        <f aca="false">'Raw Data'!F166</f>
        <v>North-East</v>
      </c>
      <c r="G167" s="23" t="n">
        <f aca="false">'Raw Data'!G166</f>
        <v>45658</v>
      </c>
      <c r="H167" s="1" t="n">
        <f aca="false">'Raw Data'!H166</f>
        <v>38</v>
      </c>
      <c r="I167" s="24" t="n">
        <f aca="false">'Raw Data'!I166</f>
        <v>0</v>
      </c>
      <c r="J167" s="1" t="str">
        <f aca="false">IF('Raw Data'!J166="None","None",IF(ISBLANK('Raw Data'!J166),"None",'Raw Data'!J166))</f>
        <v>None</v>
      </c>
      <c r="K167" s="1" t="str">
        <f aca="false">'Raw Data'!K166</f>
        <v>Completed</v>
      </c>
      <c r="L167" s="1" t="str">
        <f aca="false">'Raw Data'!L166</f>
        <v>Free</v>
      </c>
      <c r="M167" s="1" t="n">
        <f aca="false">'Raw Data'!M166</f>
        <v>21</v>
      </c>
      <c r="N167" s="1" t="str">
        <f aca="false">'Raw Data'!N166</f>
        <v>No</v>
      </c>
    </row>
    <row r="168" customFormat="false" ht="15" hidden="false" customHeight="true" outlineLevel="0" collapsed="false">
      <c r="A168" s="1" t="str">
        <f aca="false">'Raw Data'!A167</f>
        <v>S00164</v>
      </c>
      <c r="B168" s="1" t="str">
        <f aca="false">'Raw Data'!B167</f>
        <v>P4355</v>
      </c>
      <c r="C168" s="1" t="str">
        <f aca="false">'Raw Data'!C167</f>
        <v>victoriastone</v>
      </c>
      <c r="D168" s="1" t="str">
        <f aca="false">'Raw Data'!D167</f>
        <v>BattleZone</v>
      </c>
      <c r="E168" s="1" t="str">
        <f aca="false">'Raw Data'!E167</f>
        <v>PC</v>
      </c>
      <c r="F168" s="1" t="str">
        <f aca="false">'Raw Data'!F167</f>
        <v>North-East</v>
      </c>
      <c r="G168" s="23" t="n">
        <f aca="false">'Raw Data'!G167</f>
        <v>45782</v>
      </c>
      <c r="H168" s="1" t="n">
        <f aca="false">'Raw Data'!H167</f>
        <v>94</v>
      </c>
      <c r="I168" s="24" t="n">
        <f aca="false">'Raw Data'!I167</f>
        <v>0</v>
      </c>
      <c r="J168" s="1" t="str">
        <f aca="false">IF('Raw Data'!J167="None","None",IF(ISBLANK('Raw Data'!J167),"None",'Raw Data'!J167))</f>
        <v>None</v>
      </c>
      <c r="K168" s="1" t="str">
        <f aca="false">'Raw Data'!K167</f>
        <v>Exited Early</v>
      </c>
      <c r="L168" s="1" t="str">
        <f aca="false">'Raw Data'!L167</f>
        <v>Free</v>
      </c>
      <c r="M168" s="1" t="n">
        <f aca="false">'Raw Data'!M167</f>
        <v>23</v>
      </c>
      <c r="N168" s="1" t="str">
        <f aca="false">'Raw Data'!N167</f>
        <v>No</v>
      </c>
    </row>
    <row r="169" customFormat="false" ht="15" hidden="false" customHeight="true" outlineLevel="0" collapsed="false">
      <c r="A169" s="1" t="str">
        <f aca="false">'Raw Data'!A168</f>
        <v>S00165</v>
      </c>
      <c r="B169" s="1" t="str">
        <f aca="false">'Raw Data'!B168</f>
        <v>P6225</v>
      </c>
      <c r="C169" s="1" t="str">
        <f aca="false">'Raw Data'!C168</f>
        <v>adam91</v>
      </c>
      <c r="D169" s="1" t="str">
        <f aca="false">'Raw Data'!D168</f>
        <v>BattleZone</v>
      </c>
      <c r="E169" s="1" t="str">
        <f aca="false">'Raw Data'!E168</f>
        <v>PC</v>
      </c>
      <c r="F169" s="1" t="str">
        <f aca="false">'Raw Data'!F168</f>
        <v>East</v>
      </c>
      <c r="G169" s="23" t="n">
        <f aca="false">'Raw Data'!G168</f>
        <v>45738</v>
      </c>
      <c r="H169" s="1" t="n">
        <f aca="false">'Raw Data'!H168</f>
        <v>139</v>
      </c>
      <c r="I169" s="24" t="n">
        <f aca="false">'Raw Data'!I168</f>
        <v>0</v>
      </c>
      <c r="J169" s="1" t="str">
        <f aca="false">IF('Raw Data'!J168="None","None",IF(ISBLANK('Raw Data'!J168),"None",'Raw Data'!J168))</f>
        <v>None</v>
      </c>
      <c r="K169" s="1" t="str">
        <f aca="false">'Raw Data'!K168</f>
        <v>Completed</v>
      </c>
      <c r="L169" s="1" t="str">
        <f aca="false">'Raw Data'!L168</f>
        <v>Free</v>
      </c>
      <c r="M169" s="1" t="n">
        <f aca="false">'Raw Data'!M168</f>
        <v>26</v>
      </c>
      <c r="N169" s="1" t="str">
        <f aca="false">'Raw Data'!N168</f>
        <v>No</v>
      </c>
    </row>
    <row r="170" customFormat="false" ht="15" hidden="false" customHeight="true" outlineLevel="0" collapsed="false">
      <c r="A170" s="1" t="str">
        <f aca="false">'Raw Data'!A169</f>
        <v>S00166</v>
      </c>
      <c r="B170" s="1" t="str">
        <f aca="false">'Raw Data'!B169</f>
        <v>P9011</v>
      </c>
      <c r="C170" s="1" t="str">
        <f aca="false">'Raw Data'!C169</f>
        <v>robertroberts</v>
      </c>
      <c r="D170" s="1" t="str">
        <f aca="false">'Raw Data'!D169</f>
        <v>BattleZone</v>
      </c>
      <c r="E170" s="1" t="str">
        <f aca="false">'Raw Data'!E169</f>
        <v>Console</v>
      </c>
      <c r="F170" s="1" t="str">
        <f aca="false">'Raw Data'!F169</f>
        <v>East</v>
      </c>
      <c r="G170" s="23" t="n">
        <f aca="false">'Raw Data'!G169</f>
        <v>45794</v>
      </c>
      <c r="H170" s="1" t="n">
        <f aca="false">'Raw Data'!H169</f>
        <v>153</v>
      </c>
      <c r="I170" s="24" t="n">
        <f aca="false">'Raw Data'!I169</f>
        <v>0</v>
      </c>
      <c r="J170" s="1" t="str">
        <f aca="false">IF('Raw Data'!J169="None","None",IF(ISBLANK('Raw Data'!J169),"None",'Raw Data'!J169))</f>
        <v>None</v>
      </c>
      <c r="K170" s="1" t="str">
        <f aca="false">'Raw Data'!K169</f>
        <v>Completed</v>
      </c>
      <c r="L170" s="1" t="str">
        <f aca="false">'Raw Data'!L169</f>
        <v>Free</v>
      </c>
      <c r="M170" s="1" t="n">
        <f aca="false">'Raw Data'!M169</f>
        <v>45</v>
      </c>
      <c r="N170" s="1" t="str">
        <f aca="false">'Raw Data'!N169</f>
        <v>Yes</v>
      </c>
    </row>
    <row r="171" customFormat="false" ht="15" hidden="false" customHeight="true" outlineLevel="0" collapsed="false">
      <c r="A171" s="1" t="str">
        <f aca="false">'Raw Data'!A170</f>
        <v>S00167</v>
      </c>
      <c r="B171" s="1" t="str">
        <f aca="false">'Raw Data'!B170</f>
        <v>P4379</v>
      </c>
      <c r="C171" s="1" t="str">
        <f aca="false">'Raw Data'!C170</f>
        <v>walkerdeborah</v>
      </c>
      <c r="D171" s="1" t="str">
        <f aca="false">'Raw Data'!D170</f>
        <v>BattleZone</v>
      </c>
      <c r="E171" s="1" t="str">
        <f aca="false">'Raw Data'!E170</f>
        <v>Mobile</v>
      </c>
      <c r="F171" s="1" t="str">
        <f aca="false">'Raw Data'!F170</f>
        <v>West</v>
      </c>
      <c r="G171" s="23" t="n">
        <f aca="false">'Raw Data'!G170</f>
        <v>45763</v>
      </c>
      <c r="H171" s="1" t="n">
        <f aca="false">'Raw Data'!H170</f>
        <v>116</v>
      </c>
      <c r="I171" s="24" t="n">
        <f aca="false">'Raw Data'!I170</f>
        <v>47.47</v>
      </c>
      <c r="J171" s="1" t="str">
        <f aca="false">IF('Raw Data'!J170="None","None",IF(ISBLANK('Raw Data'!J170),"None",'Raw Data'!J170))</f>
        <v>Subscriptions</v>
      </c>
      <c r="K171" s="1" t="str">
        <f aca="false">'Raw Data'!K170</f>
        <v>Completed</v>
      </c>
      <c r="L171" s="1" t="str">
        <f aca="false">'Raw Data'!L170</f>
        <v>Paid</v>
      </c>
      <c r="M171" s="1" t="n">
        <f aca="false">'Raw Data'!M170</f>
        <v>1</v>
      </c>
      <c r="N171" s="1" t="str">
        <f aca="false">'Raw Data'!N170</f>
        <v>Yes</v>
      </c>
    </row>
    <row r="172" customFormat="false" ht="15" hidden="false" customHeight="true" outlineLevel="0" collapsed="false">
      <c r="A172" s="1" t="str">
        <f aca="false">'Raw Data'!A171</f>
        <v>S00168</v>
      </c>
      <c r="B172" s="1" t="str">
        <f aca="false">'Raw Data'!B171</f>
        <v>P6734</v>
      </c>
      <c r="C172" s="1" t="str">
        <f aca="false">'Raw Data'!C171</f>
        <v>whitemary</v>
      </c>
      <c r="D172" s="1" t="str">
        <f aca="false">'Raw Data'!D171</f>
        <v>SpeedX</v>
      </c>
      <c r="E172" s="1" t="str">
        <f aca="false">'Raw Data'!E171</f>
        <v>PC</v>
      </c>
      <c r="F172" s="1" t="str">
        <f aca="false">'Raw Data'!F171</f>
        <v>North-East</v>
      </c>
      <c r="G172" s="23" t="n">
        <f aca="false">'Raw Data'!G171</f>
        <v>45725</v>
      </c>
      <c r="H172" s="1" t="n">
        <f aca="false">'Raw Data'!H171</f>
        <v>82</v>
      </c>
      <c r="I172" s="24" t="n">
        <f aca="false">'Raw Data'!I171</f>
        <v>0</v>
      </c>
      <c r="J172" s="1" t="str">
        <f aca="false">IF('Raw Data'!J171="None","None",IF(ISBLANK('Raw Data'!J171),"None",'Raw Data'!J171))</f>
        <v>None</v>
      </c>
      <c r="K172" s="1" t="str">
        <f aca="false">'Raw Data'!K171</f>
        <v>Exited Early</v>
      </c>
      <c r="L172" s="1" t="str">
        <f aca="false">'Raw Data'!L171</f>
        <v>Free</v>
      </c>
      <c r="M172" s="1" t="n">
        <f aca="false">'Raw Data'!M171</f>
        <v>17</v>
      </c>
      <c r="N172" s="1" t="str">
        <f aca="false">'Raw Data'!N171</f>
        <v>No</v>
      </c>
    </row>
    <row r="173" customFormat="false" ht="15" hidden="false" customHeight="true" outlineLevel="0" collapsed="false">
      <c r="A173" s="1" t="str">
        <f aca="false">'Raw Data'!A172</f>
        <v>S00169</v>
      </c>
      <c r="B173" s="1" t="str">
        <f aca="false">'Raw Data'!B172</f>
        <v>P1828</v>
      </c>
      <c r="C173" s="1" t="str">
        <f aca="false">'Raw Data'!C172</f>
        <v>fray</v>
      </c>
      <c r="D173" s="1" t="str">
        <f aca="false">'Raw Data'!D172</f>
        <v>SpeedX</v>
      </c>
      <c r="E173" s="1" t="str">
        <f aca="false">'Raw Data'!E172</f>
        <v>Mobile</v>
      </c>
      <c r="F173" s="1" t="str">
        <f aca="false">'Raw Data'!F172</f>
        <v>North</v>
      </c>
      <c r="G173" s="23" t="n">
        <f aca="false">'Raw Data'!G172</f>
        <v>45762</v>
      </c>
      <c r="H173" s="1" t="n">
        <f aca="false">'Raw Data'!H172</f>
        <v>35</v>
      </c>
      <c r="I173" s="24" t="n">
        <f aca="false">'Raw Data'!I172</f>
        <v>0</v>
      </c>
      <c r="J173" s="1" t="str">
        <f aca="false">IF('Raw Data'!J172="None","None",IF(ISBLANK('Raw Data'!J172),"None",'Raw Data'!J172))</f>
        <v>None</v>
      </c>
      <c r="K173" s="1" t="str">
        <f aca="false">'Raw Data'!K172</f>
        <v>Completed</v>
      </c>
      <c r="L173" s="1" t="str">
        <f aca="false">'Raw Data'!L172</f>
        <v>Free</v>
      </c>
      <c r="M173" s="1" t="n">
        <f aca="false">'Raw Data'!M172</f>
        <v>46</v>
      </c>
      <c r="N173" s="1" t="str">
        <f aca="false">'Raw Data'!N172</f>
        <v>No</v>
      </c>
    </row>
    <row r="174" customFormat="false" ht="15" hidden="false" customHeight="true" outlineLevel="0" collapsed="false">
      <c r="A174" s="1" t="str">
        <f aca="false">'Raw Data'!A173</f>
        <v>S00170</v>
      </c>
      <c r="B174" s="1" t="str">
        <f aca="false">'Raw Data'!B173</f>
        <v>P1330</v>
      </c>
      <c r="C174" s="1" t="str">
        <f aca="false">'Raw Data'!C173</f>
        <v>weaverdaniel</v>
      </c>
      <c r="D174" s="1" t="str">
        <f aca="false">'Raw Data'!D173</f>
        <v>Zombie Rush</v>
      </c>
      <c r="E174" s="1" t="str">
        <f aca="false">'Raw Data'!E173</f>
        <v>PC</v>
      </c>
      <c r="F174" s="1" t="str">
        <f aca="false">'Raw Data'!F173</f>
        <v>West</v>
      </c>
      <c r="G174" s="23" t="n">
        <f aca="false">'Raw Data'!G173</f>
        <v>45816</v>
      </c>
      <c r="H174" s="1" t="n">
        <f aca="false">'Raw Data'!H173</f>
        <v>168</v>
      </c>
      <c r="I174" s="24" t="n">
        <f aca="false">'Raw Data'!I173</f>
        <v>0</v>
      </c>
      <c r="J174" s="1" t="str">
        <f aca="false">IF('Raw Data'!J173="None","None",IF(ISBLANK('Raw Data'!J173),"None",'Raw Data'!J173))</f>
        <v>None</v>
      </c>
      <c r="K174" s="1" t="str">
        <f aca="false">'Raw Data'!K173</f>
        <v>Completed</v>
      </c>
      <c r="L174" s="1" t="str">
        <f aca="false">'Raw Data'!L173</f>
        <v>Free</v>
      </c>
      <c r="M174" s="1" t="n">
        <f aca="false">'Raw Data'!M173</f>
        <v>18</v>
      </c>
      <c r="N174" s="1" t="str">
        <f aca="false">'Raw Data'!N173</f>
        <v>Yes</v>
      </c>
    </row>
    <row r="175" customFormat="false" ht="15" hidden="false" customHeight="true" outlineLevel="0" collapsed="false">
      <c r="A175" s="1" t="str">
        <f aca="false">'Raw Data'!A174</f>
        <v>S00171</v>
      </c>
      <c r="B175" s="1" t="str">
        <f aca="false">'Raw Data'!B174</f>
        <v>P4426</v>
      </c>
      <c r="C175" s="1" t="str">
        <f aca="false">'Raw Data'!C174</f>
        <v>joe22</v>
      </c>
      <c r="D175" s="1" t="str">
        <f aca="false">'Raw Data'!D174</f>
        <v>Clash of Realms</v>
      </c>
      <c r="E175" s="1" t="str">
        <f aca="false">'Raw Data'!E174</f>
        <v>Console</v>
      </c>
      <c r="F175" s="1" t="str">
        <f aca="false">'Raw Data'!F174</f>
        <v>North-East</v>
      </c>
      <c r="G175" s="23" t="n">
        <f aca="false">'Raw Data'!G174</f>
        <v>45756</v>
      </c>
      <c r="H175" s="1" t="n">
        <f aca="false">'Raw Data'!H174</f>
        <v>123</v>
      </c>
      <c r="I175" s="24" t="n">
        <f aca="false">'Raw Data'!I174</f>
        <v>0</v>
      </c>
      <c r="J175" s="1" t="str">
        <f aca="false">IF('Raw Data'!J174="None","None",IF(ISBLANK('Raw Data'!J174),"None",'Raw Data'!J174))</f>
        <v>None</v>
      </c>
      <c r="K175" s="1" t="str">
        <f aca="false">'Raw Data'!K174</f>
        <v>Crashed</v>
      </c>
      <c r="L175" s="1" t="str">
        <f aca="false">'Raw Data'!L174</f>
        <v>Paid</v>
      </c>
      <c r="M175" s="1" t="n">
        <f aca="false">'Raw Data'!M174</f>
        <v>47</v>
      </c>
      <c r="N175" s="1" t="str">
        <f aca="false">'Raw Data'!N174</f>
        <v>No</v>
      </c>
    </row>
    <row r="176" customFormat="false" ht="15" hidden="false" customHeight="true" outlineLevel="0" collapsed="false">
      <c r="A176" s="1" t="str">
        <f aca="false">'Raw Data'!A175</f>
        <v>S00172</v>
      </c>
      <c r="B176" s="1" t="str">
        <f aca="false">'Raw Data'!B175</f>
        <v>P7943</v>
      </c>
      <c r="C176" s="1" t="str">
        <f aca="false">'Raw Data'!C175</f>
        <v>vaughnlori</v>
      </c>
      <c r="D176" s="1" t="str">
        <f aca="false">'Raw Data'!D175</f>
        <v>Clash of Realms</v>
      </c>
      <c r="E176" s="1" t="str">
        <f aca="false">'Raw Data'!E175</f>
        <v>Mobile</v>
      </c>
      <c r="F176" s="1" t="str">
        <f aca="false">'Raw Data'!F175</f>
        <v>West</v>
      </c>
      <c r="G176" s="23" t="n">
        <f aca="false">'Raw Data'!G175</f>
        <v>45790</v>
      </c>
      <c r="H176" s="1" t="n">
        <f aca="false">'Raw Data'!H175</f>
        <v>41</v>
      </c>
      <c r="I176" s="24" t="n">
        <f aca="false">'Raw Data'!I175</f>
        <v>33.29</v>
      </c>
      <c r="J176" s="1" t="str">
        <f aca="false">IF('Raw Data'!J175="None","None",IF(ISBLANK('Raw Data'!J175),"None",'Raw Data'!J175))</f>
        <v>Boosters</v>
      </c>
      <c r="K176" s="1" t="str">
        <f aca="false">'Raw Data'!K175</f>
        <v>Completed</v>
      </c>
      <c r="L176" s="1" t="str">
        <f aca="false">'Raw Data'!L175</f>
        <v>Paid</v>
      </c>
      <c r="M176" s="1" t="n">
        <f aca="false">'Raw Data'!M175</f>
        <v>29</v>
      </c>
      <c r="N176" s="1" t="str">
        <f aca="false">'Raw Data'!N175</f>
        <v>No</v>
      </c>
    </row>
    <row r="177" customFormat="false" ht="15" hidden="false" customHeight="true" outlineLevel="0" collapsed="false">
      <c r="A177" s="1" t="str">
        <f aca="false">'Raw Data'!A176</f>
        <v>S00173</v>
      </c>
      <c r="B177" s="1" t="str">
        <f aca="false">'Raw Data'!B176</f>
        <v>P7565</v>
      </c>
      <c r="C177" s="1" t="str">
        <f aca="false">'Raw Data'!C176</f>
        <v>ambersmith</v>
      </c>
      <c r="D177" s="1" t="str">
        <f aca="false">'Raw Data'!D176</f>
        <v>Zombie Rush</v>
      </c>
      <c r="E177" s="1" t="str">
        <f aca="false">'Raw Data'!E176</f>
        <v>Console</v>
      </c>
      <c r="F177" s="1" t="str">
        <f aca="false">'Raw Data'!F176</f>
        <v>Central</v>
      </c>
      <c r="G177" s="23" t="n">
        <f aca="false">'Raw Data'!G176</f>
        <v>45656</v>
      </c>
      <c r="H177" s="1" t="n">
        <f aca="false">'Raw Data'!H176</f>
        <v>156</v>
      </c>
      <c r="I177" s="24" t="n">
        <f aca="false">'Raw Data'!I176</f>
        <v>0</v>
      </c>
      <c r="J177" s="1" t="str">
        <f aca="false">IF('Raw Data'!J176="None","None",IF(ISBLANK('Raw Data'!J176),"None",'Raw Data'!J176))</f>
        <v>None</v>
      </c>
      <c r="K177" s="1" t="str">
        <f aca="false">'Raw Data'!K176</f>
        <v>Completed</v>
      </c>
      <c r="L177" s="1" t="str">
        <f aca="false">'Raw Data'!L176</f>
        <v>Free</v>
      </c>
      <c r="M177" s="1" t="n">
        <f aca="false">'Raw Data'!M176</f>
        <v>34</v>
      </c>
      <c r="N177" s="1" t="str">
        <f aca="false">'Raw Data'!N176</f>
        <v>Yes</v>
      </c>
    </row>
    <row r="178" customFormat="false" ht="15" hidden="false" customHeight="true" outlineLevel="0" collapsed="false">
      <c r="A178" s="1" t="str">
        <f aca="false">'Raw Data'!A177</f>
        <v>S00174</v>
      </c>
      <c r="B178" s="1" t="str">
        <f aca="false">'Raw Data'!B177</f>
        <v>P4796</v>
      </c>
      <c r="C178" s="1" t="str">
        <f aca="false">'Raw Data'!C177</f>
        <v>okoch</v>
      </c>
      <c r="D178" s="1" t="str">
        <f aca="false">'Raw Data'!D177</f>
        <v>Clash of Realms</v>
      </c>
      <c r="E178" s="1" t="str">
        <f aca="false">'Raw Data'!E177</f>
        <v>PC</v>
      </c>
      <c r="F178" s="1" t="str">
        <f aca="false">'Raw Data'!F177</f>
        <v>West</v>
      </c>
      <c r="G178" s="23" t="n">
        <f aca="false">'Raw Data'!G177</f>
        <v>45716</v>
      </c>
      <c r="H178" s="1" t="n">
        <f aca="false">'Raw Data'!H177</f>
        <v>84</v>
      </c>
      <c r="I178" s="24" t="n">
        <f aca="false">'Raw Data'!I177</f>
        <v>0</v>
      </c>
      <c r="J178" s="1" t="str">
        <f aca="false">IF('Raw Data'!J177="None","None",IF(ISBLANK('Raw Data'!J177),"None",'Raw Data'!J177))</f>
        <v>None</v>
      </c>
      <c r="K178" s="1" t="str">
        <f aca="false">'Raw Data'!K177</f>
        <v>Completed</v>
      </c>
      <c r="L178" s="1" t="str">
        <f aca="false">'Raw Data'!L177</f>
        <v>Free</v>
      </c>
      <c r="M178" s="1" t="n">
        <f aca="false">'Raw Data'!M177</f>
        <v>15</v>
      </c>
      <c r="N178" s="1" t="str">
        <f aca="false">'Raw Data'!N177</f>
        <v>No</v>
      </c>
    </row>
    <row r="179" customFormat="false" ht="15" hidden="false" customHeight="true" outlineLevel="0" collapsed="false">
      <c r="A179" s="1" t="str">
        <f aca="false">'Raw Data'!A178</f>
        <v>S00175</v>
      </c>
      <c r="B179" s="1" t="str">
        <f aca="false">'Raw Data'!B178</f>
        <v>P6406</v>
      </c>
      <c r="C179" s="1" t="str">
        <f aca="false">'Raw Data'!C178</f>
        <v>shannonevans</v>
      </c>
      <c r="D179" s="1" t="str">
        <f aca="false">'Raw Data'!D178</f>
        <v>SpeedX</v>
      </c>
      <c r="E179" s="1" t="str">
        <f aca="false">'Raw Data'!E178</f>
        <v>Console</v>
      </c>
      <c r="F179" s="1" t="str">
        <f aca="false">'Raw Data'!F178</f>
        <v>East</v>
      </c>
      <c r="G179" s="23" t="n">
        <f aca="false">'Raw Data'!G178</f>
        <v>45715</v>
      </c>
      <c r="H179" s="1" t="n">
        <f aca="false">'Raw Data'!H178</f>
        <v>138</v>
      </c>
      <c r="I179" s="24" t="n">
        <f aca="false">'Raw Data'!I178</f>
        <v>27.01</v>
      </c>
      <c r="J179" s="1" t="str">
        <f aca="false">IF('Raw Data'!J178="None","None",IF(ISBLANK('Raw Data'!J178),"None",'Raw Data'!J178))</f>
        <v>Boosters</v>
      </c>
      <c r="K179" s="1" t="str">
        <f aca="false">'Raw Data'!K178</f>
        <v>Completed</v>
      </c>
      <c r="L179" s="1" t="str">
        <f aca="false">'Raw Data'!L178</f>
        <v>Paid</v>
      </c>
      <c r="M179" s="1" t="n">
        <f aca="false">'Raw Data'!M178</f>
        <v>18</v>
      </c>
      <c r="N179" s="1" t="str">
        <f aca="false">'Raw Data'!N178</f>
        <v>No</v>
      </c>
    </row>
    <row r="180" customFormat="false" ht="15" hidden="false" customHeight="true" outlineLevel="0" collapsed="false">
      <c r="A180" s="1" t="str">
        <f aca="false">'Raw Data'!A179</f>
        <v>S00176</v>
      </c>
      <c r="B180" s="1" t="str">
        <f aca="false">'Raw Data'!B179</f>
        <v>P3229</v>
      </c>
      <c r="C180" s="1" t="str">
        <f aca="false">'Raw Data'!C179</f>
        <v>gina94</v>
      </c>
      <c r="D180" s="1" t="str">
        <f aca="false">'Raw Data'!D179</f>
        <v>Empire Wars</v>
      </c>
      <c r="E180" s="1" t="str">
        <f aca="false">'Raw Data'!E179</f>
        <v>Mobile</v>
      </c>
      <c r="F180" s="1" t="str">
        <f aca="false">'Raw Data'!F179</f>
        <v>West</v>
      </c>
      <c r="G180" s="23" t="n">
        <f aca="false">'Raw Data'!G179</f>
        <v>45794</v>
      </c>
      <c r="H180" s="1" t="n">
        <f aca="false">'Raw Data'!H179</f>
        <v>26</v>
      </c>
      <c r="I180" s="24" t="n">
        <f aca="false">'Raw Data'!I179</f>
        <v>0</v>
      </c>
      <c r="J180" s="1" t="str">
        <f aca="false">IF('Raw Data'!J179="None","None",IF(ISBLANK('Raw Data'!J179),"None",'Raw Data'!J179))</f>
        <v>None</v>
      </c>
      <c r="K180" s="1" t="str">
        <f aca="false">'Raw Data'!K179</f>
        <v>Completed</v>
      </c>
      <c r="L180" s="1" t="str">
        <f aca="false">'Raw Data'!L179</f>
        <v>Free</v>
      </c>
      <c r="M180" s="1" t="n">
        <f aca="false">'Raw Data'!M179</f>
        <v>22</v>
      </c>
      <c r="N180" s="1" t="str">
        <f aca="false">'Raw Data'!N179</f>
        <v>No</v>
      </c>
    </row>
    <row r="181" customFormat="false" ht="15" hidden="false" customHeight="true" outlineLevel="0" collapsed="false">
      <c r="A181" s="1" t="str">
        <f aca="false">'Raw Data'!A180</f>
        <v>S00177</v>
      </c>
      <c r="B181" s="1" t="str">
        <f aca="false">'Raw Data'!B180</f>
        <v>P4485</v>
      </c>
      <c r="C181" s="1" t="str">
        <f aca="false">'Raw Data'!C180</f>
        <v>iyoung</v>
      </c>
      <c r="D181" s="1" t="str">
        <f aca="false">'Raw Data'!D180</f>
        <v>Clash of Realms</v>
      </c>
      <c r="E181" s="1" t="str">
        <f aca="false">'Raw Data'!E180</f>
        <v>Mobile</v>
      </c>
      <c r="F181" s="1" t="str">
        <f aca="false">'Raw Data'!F180</f>
        <v>East</v>
      </c>
      <c r="G181" s="23" t="n">
        <f aca="false">'Raw Data'!G180</f>
        <v>45806</v>
      </c>
      <c r="H181" s="1" t="n">
        <f aca="false">'Raw Data'!H180</f>
        <v>111</v>
      </c>
      <c r="I181" s="24" t="n">
        <f aca="false">'Raw Data'!I180</f>
        <v>0</v>
      </c>
      <c r="J181" s="1" t="str">
        <f aca="false">IF('Raw Data'!J180="None","None",IF(ISBLANK('Raw Data'!J180),"None",'Raw Data'!J180))</f>
        <v>None</v>
      </c>
      <c r="K181" s="1" t="str">
        <f aca="false">'Raw Data'!K180</f>
        <v>Completed</v>
      </c>
      <c r="L181" s="1" t="str">
        <f aca="false">'Raw Data'!L180</f>
        <v>Free</v>
      </c>
      <c r="M181" s="1" t="n">
        <f aca="false">'Raw Data'!M180</f>
        <v>26</v>
      </c>
      <c r="N181" s="1" t="str">
        <f aca="false">'Raw Data'!N180</f>
        <v>No</v>
      </c>
    </row>
    <row r="182" customFormat="false" ht="15" hidden="false" customHeight="true" outlineLevel="0" collapsed="false">
      <c r="A182" s="1" t="str">
        <f aca="false">'Raw Data'!A181</f>
        <v>S00178</v>
      </c>
      <c r="B182" s="1" t="str">
        <f aca="false">'Raw Data'!B181</f>
        <v>P4333</v>
      </c>
      <c r="C182" s="1" t="str">
        <f aca="false">'Raw Data'!C181</f>
        <v>matthewcasey</v>
      </c>
      <c r="D182" s="1" t="str">
        <f aca="false">'Raw Data'!D181</f>
        <v>Empire Wars</v>
      </c>
      <c r="E182" s="1" t="str">
        <f aca="false">'Raw Data'!E181</f>
        <v>Mobile</v>
      </c>
      <c r="F182" s="1" t="str">
        <f aca="false">'Raw Data'!F181</f>
        <v>North</v>
      </c>
      <c r="G182" s="23" t="n">
        <f aca="false">'Raw Data'!G181</f>
        <v>45662</v>
      </c>
      <c r="H182" s="1" t="n">
        <f aca="false">'Raw Data'!H181</f>
        <v>100</v>
      </c>
      <c r="I182" s="24" t="n">
        <f aca="false">'Raw Data'!I181</f>
        <v>0</v>
      </c>
      <c r="J182" s="1" t="str">
        <f aca="false">IF('Raw Data'!J181="None","None",IF(ISBLANK('Raw Data'!J181),"None",'Raw Data'!J181))</f>
        <v>None</v>
      </c>
      <c r="K182" s="1" t="str">
        <f aca="false">'Raw Data'!K181</f>
        <v>Completed</v>
      </c>
      <c r="L182" s="1" t="str">
        <f aca="false">'Raw Data'!L181</f>
        <v>Free</v>
      </c>
      <c r="M182" s="1" t="n">
        <f aca="false">'Raw Data'!M181</f>
        <v>7</v>
      </c>
      <c r="N182" s="1" t="str">
        <f aca="false">'Raw Data'!N181</f>
        <v>No</v>
      </c>
    </row>
    <row r="183" customFormat="false" ht="15" hidden="false" customHeight="true" outlineLevel="0" collapsed="false">
      <c r="A183" s="1" t="str">
        <f aca="false">'Raw Data'!A182</f>
        <v>S00179</v>
      </c>
      <c r="B183" s="1" t="str">
        <f aca="false">'Raw Data'!B182</f>
        <v>P3013</v>
      </c>
      <c r="C183" s="1" t="str">
        <f aca="false">'Raw Data'!C182</f>
        <v>smayo</v>
      </c>
      <c r="D183" s="1" t="str">
        <f aca="false">'Raw Data'!D182</f>
        <v>Empire Wars</v>
      </c>
      <c r="E183" s="1" t="str">
        <f aca="false">'Raw Data'!E182</f>
        <v>Mobile</v>
      </c>
      <c r="F183" s="1" t="str">
        <f aca="false">'Raw Data'!F182</f>
        <v>West</v>
      </c>
      <c r="G183" s="23" t="n">
        <f aca="false">'Raw Data'!G182</f>
        <v>45801</v>
      </c>
      <c r="H183" s="1" t="n">
        <f aca="false">'Raw Data'!H182</f>
        <v>84</v>
      </c>
      <c r="I183" s="24" t="n">
        <f aca="false">'Raw Data'!I182</f>
        <v>0</v>
      </c>
      <c r="J183" s="1" t="str">
        <f aca="false">IF('Raw Data'!J182="None","None",IF(ISBLANK('Raw Data'!J182),"None",'Raw Data'!J182))</f>
        <v>None</v>
      </c>
      <c r="K183" s="1" t="str">
        <f aca="false">'Raw Data'!K182</f>
        <v>Completed</v>
      </c>
      <c r="L183" s="1" t="str">
        <f aca="false">'Raw Data'!L182</f>
        <v>Free</v>
      </c>
      <c r="M183" s="1" t="n">
        <f aca="false">'Raw Data'!M182</f>
        <v>36</v>
      </c>
      <c r="N183" s="1" t="str">
        <f aca="false">'Raw Data'!N182</f>
        <v>No</v>
      </c>
    </row>
    <row r="184" customFormat="false" ht="15" hidden="false" customHeight="true" outlineLevel="0" collapsed="false">
      <c r="A184" s="1" t="str">
        <f aca="false">'Raw Data'!A183</f>
        <v>S00180</v>
      </c>
      <c r="B184" s="1" t="str">
        <f aca="false">'Raw Data'!B183</f>
        <v>P9205</v>
      </c>
      <c r="C184" s="1" t="str">
        <f aca="false">'Raw Data'!C183</f>
        <v>douglas13</v>
      </c>
      <c r="D184" s="1" t="str">
        <f aca="false">'Raw Data'!D183</f>
        <v>Zombie Rush</v>
      </c>
      <c r="E184" s="1" t="str">
        <f aca="false">'Raw Data'!E183</f>
        <v>PC</v>
      </c>
      <c r="F184" s="1" t="str">
        <f aca="false">'Raw Data'!F183</f>
        <v>South</v>
      </c>
      <c r="G184" s="23" t="n">
        <f aca="false">'Raw Data'!G183</f>
        <v>45743</v>
      </c>
      <c r="H184" s="1" t="n">
        <f aca="false">'Raw Data'!H183</f>
        <v>90</v>
      </c>
      <c r="I184" s="24" t="n">
        <f aca="false">'Raw Data'!I183</f>
        <v>33.43</v>
      </c>
      <c r="J184" s="1" t="str">
        <f aca="false">IF('Raw Data'!J183="None","None",IF(ISBLANK('Raw Data'!J183),"None",'Raw Data'!J183))</f>
        <v>Boosters</v>
      </c>
      <c r="K184" s="1" t="str">
        <f aca="false">'Raw Data'!K183</f>
        <v>Exited Early</v>
      </c>
      <c r="L184" s="1" t="str">
        <f aca="false">'Raw Data'!L183</f>
        <v>Paid</v>
      </c>
      <c r="M184" s="1" t="n">
        <f aca="false">'Raw Data'!M183</f>
        <v>50</v>
      </c>
      <c r="N184" s="1" t="str">
        <f aca="false">'Raw Data'!N183</f>
        <v>No</v>
      </c>
    </row>
    <row r="185" customFormat="false" ht="15" hidden="false" customHeight="true" outlineLevel="0" collapsed="false">
      <c r="A185" s="1" t="str">
        <f aca="false">'Raw Data'!A184</f>
        <v>S00181</v>
      </c>
      <c r="B185" s="1" t="str">
        <f aca="false">'Raw Data'!B184</f>
        <v>P2490</v>
      </c>
      <c r="C185" s="1" t="str">
        <f aca="false">'Raw Data'!C184</f>
        <v>bakerjohn</v>
      </c>
      <c r="D185" s="1" t="str">
        <f aca="false">'Raw Data'!D184</f>
        <v>Empire Wars</v>
      </c>
      <c r="E185" s="1" t="str">
        <f aca="false">'Raw Data'!E184</f>
        <v>PC</v>
      </c>
      <c r="F185" s="1" t="str">
        <f aca="false">'Raw Data'!F184</f>
        <v>North</v>
      </c>
      <c r="G185" s="23" t="n">
        <f aca="false">'Raw Data'!G184</f>
        <v>45799</v>
      </c>
      <c r="H185" s="1" t="n">
        <f aca="false">'Raw Data'!H184</f>
        <v>61</v>
      </c>
      <c r="I185" s="24" t="n">
        <f aca="false">'Raw Data'!I184</f>
        <v>23.71</v>
      </c>
      <c r="J185" s="1" t="str">
        <f aca="false">IF('Raw Data'!J184="None","None",IF(ISBLANK('Raw Data'!J184),"None",'Raw Data'!J184))</f>
        <v>Battle Pass</v>
      </c>
      <c r="K185" s="1" t="str">
        <f aca="false">'Raw Data'!K184</f>
        <v>Completed</v>
      </c>
      <c r="L185" s="1" t="str">
        <f aca="false">'Raw Data'!L184</f>
        <v>Paid</v>
      </c>
      <c r="M185" s="1" t="n">
        <f aca="false">'Raw Data'!M184</f>
        <v>37</v>
      </c>
      <c r="N185" s="1" t="str">
        <f aca="false">'Raw Data'!N184</f>
        <v>No</v>
      </c>
    </row>
    <row r="186" customFormat="false" ht="15" hidden="false" customHeight="true" outlineLevel="0" collapsed="false">
      <c r="A186" s="1" t="str">
        <f aca="false">'Raw Data'!A185</f>
        <v>S00182</v>
      </c>
      <c r="B186" s="1" t="str">
        <f aca="false">'Raw Data'!B185</f>
        <v>P3609</v>
      </c>
      <c r="C186" s="1" t="str">
        <f aca="false">'Raw Data'!C185</f>
        <v>brianlopez</v>
      </c>
      <c r="D186" s="1" t="str">
        <f aca="false">'Raw Data'!D185</f>
        <v>Zombie Rush</v>
      </c>
      <c r="E186" s="1" t="str">
        <f aca="false">'Raw Data'!E185</f>
        <v>Console</v>
      </c>
      <c r="F186" s="1" t="str">
        <f aca="false">'Raw Data'!F185</f>
        <v>North</v>
      </c>
      <c r="G186" s="23" t="n">
        <f aca="false">'Raw Data'!G185</f>
        <v>45748</v>
      </c>
      <c r="H186" s="1" t="n">
        <f aca="false">'Raw Data'!H185</f>
        <v>88</v>
      </c>
      <c r="I186" s="24" t="n">
        <f aca="false">'Raw Data'!I185</f>
        <v>0</v>
      </c>
      <c r="J186" s="1" t="str">
        <f aca="false">IF('Raw Data'!J185="None","None",IF(ISBLANK('Raw Data'!J185),"None",'Raw Data'!J185))</f>
        <v>None</v>
      </c>
      <c r="K186" s="1" t="str">
        <f aca="false">'Raw Data'!K185</f>
        <v>Completed</v>
      </c>
      <c r="L186" s="1" t="str">
        <f aca="false">'Raw Data'!L185</f>
        <v>Free</v>
      </c>
      <c r="M186" s="1" t="n">
        <f aca="false">'Raw Data'!M185</f>
        <v>39</v>
      </c>
      <c r="N186" s="1" t="str">
        <f aca="false">'Raw Data'!N185</f>
        <v>No</v>
      </c>
    </row>
    <row r="187" customFormat="false" ht="15" hidden="false" customHeight="true" outlineLevel="0" collapsed="false">
      <c r="A187" s="1" t="str">
        <f aca="false">'Raw Data'!A186</f>
        <v>S00183</v>
      </c>
      <c r="B187" s="1" t="str">
        <f aca="false">'Raw Data'!B186</f>
        <v>P2506</v>
      </c>
      <c r="C187" s="1" t="str">
        <f aca="false">'Raw Data'!C186</f>
        <v>troberts</v>
      </c>
      <c r="D187" s="1" t="str">
        <f aca="false">'Raw Data'!D186</f>
        <v>BattleZone</v>
      </c>
      <c r="E187" s="1" t="str">
        <f aca="false">'Raw Data'!E186</f>
        <v>Console</v>
      </c>
      <c r="F187" s="1" t="str">
        <f aca="false">'Raw Data'!F186</f>
        <v>Central</v>
      </c>
      <c r="G187" s="23" t="n">
        <f aca="false">'Raw Data'!G186</f>
        <v>45682</v>
      </c>
      <c r="H187" s="1" t="n">
        <f aca="false">'Raw Data'!H186</f>
        <v>56</v>
      </c>
      <c r="I187" s="24" t="n">
        <f aca="false">'Raw Data'!I186</f>
        <v>0</v>
      </c>
      <c r="J187" s="1" t="str">
        <f aca="false">IF('Raw Data'!J186="None","None",IF(ISBLANK('Raw Data'!J186),"None",'Raw Data'!J186))</f>
        <v>None</v>
      </c>
      <c r="K187" s="1" t="str">
        <f aca="false">'Raw Data'!K186</f>
        <v>Completed</v>
      </c>
      <c r="L187" s="1" t="str">
        <f aca="false">'Raw Data'!L186</f>
        <v>Free</v>
      </c>
      <c r="M187" s="1" t="n">
        <f aca="false">'Raw Data'!M186</f>
        <v>1</v>
      </c>
      <c r="N187" s="1" t="str">
        <f aca="false">'Raw Data'!N186</f>
        <v>No</v>
      </c>
    </row>
    <row r="188" customFormat="false" ht="15" hidden="false" customHeight="true" outlineLevel="0" collapsed="false">
      <c r="A188" s="1" t="str">
        <f aca="false">'Raw Data'!A187</f>
        <v>S00184</v>
      </c>
      <c r="B188" s="1" t="str">
        <f aca="false">'Raw Data'!B187</f>
        <v>P6474</v>
      </c>
      <c r="C188" s="1" t="str">
        <f aca="false">'Raw Data'!C187</f>
        <v>robertmassey</v>
      </c>
      <c r="D188" s="1" t="str">
        <f aca="false">'Raw Data'!D187</f>
        <v>Empire Wars</v>
      </c>
      <c r="E188" s="1" t="str">
        <f aca="false">'Raw Data'!E187</f>
        <v>Console</v>
      </c>
      <c r="F188" s="1" t="str">
        <f aca="false">'Raw Data'!F187</f>
        <v>Central</v>
      </c>
      <c r="G188" s="23" t="n">
        <f aca="false">'Raw Data'!G187</f>
        <v>45693</v>
      </c>
      <c r="H188" s="1" t="n">
        <f aca="false">'Raw Data'!H187</f>
        <v>54</v>
      </c>
      <c r="I188" s="24" t="n">
        <f aca="false">'Raw Data'!I187</f>
        <v>0</v>
      </c>
      <c r="J188" s="1" t="str">
        <f aca="false">IF('Raw Data'!J187="None","None",IF(ISBLANK('Raw Data'!J187),"None",'Raw Data'!J187))</f>
        <v>None</v>
      </c>
      <c r="K188" s="1" t="str">
        <f aca="false">'Raw Data'!K187</f>
        <v>Completed</v>
      </c>
      <c r="L188" s="1" t="str">
        <f aca="false">'Raw Data'!L187</f>
        <v>Free</v>
      </c>
      <c r="M188" s="1" t="n">
        <f aca="false">'Raw Data'!M187</f>
        <v>49</v>
      </c>
      <c r="N188" s="1" t="str">
        <f aca="false">'Raw Data'!N187</f>
        <v>No</v>
      </c>
    </row>
    <row r="189" customFormat="false" ht="15" hidden="false" customHeight="true" outlineLevel="0" collapsed="false">
      <c r="A189" s="1" t="str">
        <f aca="false">'Raw Data'!A188</f>
        <v>S00185</v>
      </c>
      <c r="B189" s="1" t="str">
        <f aca="false">'Raw Data'!B188</f>
        <v>P5211</v>
      </c>
      <c r="C189" s="1" t="str">
        <f aca="false">'Raw Data'!C188</f>
        <v>ynovak</v>
      </c>
      <c r="D189" s="1" t="str">
        <f aca="false">'Raw Data'!D188</f>
        <v>Clash of Realms</v>
      </c>
      <c r="E189" s="1" t="str">
        <f aca="false">'Raw Data'!E188</f>
        <v>PC</v>
      </c>
      <c r="F189" s="1" t="str">
        <f aca="false">'Raw Data'!F188</f>
        <v>North-East</v>
      </c>
      <c r="G189" s="23" t="n">
        <f aca="false">'Raw Data'!G188</f>
        <v>45713</v>
      </c>
      <c r="H189" s="1" t="n">
        <f aca="false">'Raw Data'!H188</f>
        <v>27</v>
      </c>
      <c r="I189" s="24" t="n">
        <f aca="false">'Raw Data'!I188</f>
        <v>0</v>
      </c>
      <c r="J189" s="1" t="str">
        <f aca="false">IF('Raw Data'!J188="None","None",IF(ISBLANK('Raw Data'!J188),"None",'Raw Data'!J188))</f>
        <v>None</v>
      </c>
      <c r="K189" s="1" t="str">
        <f aca="false">'Raw Data'!K188</f>
        <v>Completed</v>
      </c>
      <c r="L189" s="1" t="str">
        <f aca="false">'Raw Data'!L188</f>
        <v>Paid</v>
      </c>
      <c r="M189" s="1" t="n">
        <f aca="false">'Raw Data'!M188</f>
        <v>29</v>
      </c>
      <c r="N189" s="1" t="str">
        <f aca="false">'Raw Data'!N188</f>
        <v>No</v>
      </c>
    </row>
    <row r="190" customFormat="false" ht="15" hidden="false" customHeight="true" outlineLevel="0" collapsed="false">
      <c r="A190" s="1" t="str">
        <f aca="false">'Raw Data'!A189</f>
        <v>S00186</v>
      </c>
      <c r="B190" s="1" t="str">
        <f aca="false">'Raw Data'!B189</f>
        <v>P7900</v>
      </c>
      <c r="C190" s="1" t="str">
        <f aca="false">'Raw Data'!C189</f>
        <v>colinmartinez</v>
      </c>
      <c r="D190" s="1" t="str">
        <f aca="false">'Raw Data'!D189</f>
        <v>SpeedX</v>
      </c>
      <c r="E190" s="1" t="str">
        <f aca="false">'Raw Data'!E189</f>
        <v>PC</v>
      </c>
      <c r="F190" s="1" t="str">
        <f aca="false">'Raw Data'!F189</f>
        <v>West</v>
      </c>
      <c r="G190" s="23" t="n">
        <f aca="false">'Raw Data'!G189</f>
        <v>45644</v>
      </c>
      <c r="H190" s="1" t="n">
        <f aca="false">'Raw Data'!H189</f>
        <v>30</v>
      </c>
      <c r="I190" s="24" t="n">
        <f aca="false">'Raw Data'!I189</f>
        <v>27.43</v>
      </c>
      <c r="J190" s="1" t="str">
        <f aca="false">IF('Raw Data'!J189="None","None",IF(ISBLANK('Raw Data'!J189),"None",'Raw Data'!J189))</f>
        <v>Subscriptions</v>
      </c>
      <c r="K190" s="1" t="str">
        <f aca="false">'Raw Data'!K189</f>
        <v>Completed</v>
      </c>
      <c r="L190" s="1" t="str">
        <f aca="false">'Raw Data'!L189</f>
        <v>Paid</v>
      </c>
      <c r="M190" s="1" t="n">
        <f aca="false">'Raw Data'!M189</f>
        <v>1</v>
      </c>
      <c r="N190" s="1" t="str">
        <f aca="false">'Raw Data'!N189</f>
        <v>No</v>
      </c>
    </row>
    <row r="191" customFormat="false" ht="15" hidden="false" customHeight="true" outlineLevel="0" collapsed="false">
      <c r="A191" s="1" t="str">
        <f aca="false">'Raw Data'!A190</f>
        <v>S00187</v>
      </c>
      <c r="B191" s="1" t="str">
        <f aca="false">'Raw Data'!B190</f>
        <v>P6989</v>
      </c>
      <c r="C191" s="1" t="str">
        <f aca="false">'Raw Data'!C190</f>
        <v>schultzkatherine</v>
      </c>
      <c r="D191" s="1" t="str">
        <f aca="false">'Raw Data'!D190</f>
        <v>BattleZone</v>
      </c>
      <c r="E191" s="1" t="str">
        <f aca="false">'Raw Data'!E190</f>
        <v>PC</v>
      </c>
      <c r="F191" s="1" t="str">
        <f aca="false">'Raw Data'!F190</f>
        <v>West</v>
      </c>
      <c r="G191" s="23" t="n">
        <f aca="false">'Raw Data'!G190</f>
        <v>45714</v>
      </c>
      <c r="H191" s="1" t="n">
        <f aca="false">'Raw Data'!H190</f>
        <v>128</v>
      </c>
      <c r="I191" s="24" t="n">
        <f aca="false">'Raw Data'!I190</f>
        <v>0</v>
      </c>
      <c r="J191" s="1" t="str">
        <f aca="false">IF('Raw Data'!J190="None","None",IF(ISBLANK('Raw Data'!J190),"None",'Raw Data'!J190))</f>
        <v>None</v>
      </c>
      <c r="K191" s="1" t="str">
        <f aca="false">'Raw Data'!K190</f>
        <v>Crashed</v>
      </c>
      <c r="L191" s="1" t="str">
        <f aca="false">'Raw Data'!L190</f>
        <v>Free</v>
      </c>
      <c r="M191" s="1" t="n">
        <f aca="false">'Raw Data'!M190</f>
        <v>36</v>
      </c>
      <c r="N191" s="1" t="str">
        <f aca="false">'Raw Data'!N190</f>
        <v>No</v>
      </c>
    </row>
    <row r="192" customFormat="false" ht="15" hidden="false" customHeight="true" outlineLevel="0" collapsed="false">
      <c r="A192" s="1" t="str">
        <f aca="false">'Raw Data'!A191</f>
        <v>S00188</v>
      </c>
      <c r="B192" s="1" t="str">
        <f aca="false">'Raw Data'!B191</f>
        <v>P5714</v>
      </c>
      <c r="C192" s="1" t="str">
        <f aca="false">'Raw Data'!C191</f>
        <v>romerostephanie</v>
      </c>
      <c r="D192" s="1" t="str">
        <f aca="false">'Raw Data'!D191</f>
        <v>BattleZone</v>
      </c>
      <c r="E192" s="1" t="str">
        <f aca="false">'Raw Data'!E191</f>
        <v>Console</v>
      </c>
      <c r="F192" s="1" t="str">
        <f aca="false">'Raw Data'!F191</f>
        <v>North</v>
      </c>
      <c r="G192" s="23" t="n">
        <f aca="false">'Raw Data'!G191</f>
        <v>45716</v>
      </c>
      <c r="H192" s="1" t="n">
        <f aca="false">'Raw Data'!H191</f>
        <v>16</v>
      </c>
      <c r="I192" s="24" t="n">
        <f aca="false">'Raw Data'!I191</f>
        <v>36</v>
      </c>
      <c r="J192" s="1" t="str">
        <f aca="false">IF('Raw Data'!J191="None","None",IF(ISBLANK('Raw Data'!J191),"None",'Raw Data'!J191))</f>
        <v>Skins</v>
      </c>
      <c r="K192" s="1" t="str">
        <f aca="false">'Raw Data'!K191</f>
        <v>Completed</v>
      </c>
      <c r="L192" s="1" t="str">
        <f aca="false">'Raw Data'!L191</f>
        <v>Paid</v>
      </c>
      <c r="M192" s="1" t="n">
        <f aca="false">'Raw Data'!M191</f>
        <v>40</v>
      </c>
      <c r="N192" s="1" t="str">
        <f aca="false">'Raw Data'!N191</f>
        <v>No</v>
      </c>
    </row>
    <row r="193" customFormat="false" ht="15" hidden="false" customHeight="true" outlineLevel="0" collapsed="false">
      <c r="A193" s="1" t="str">
        <f aca="false">'Raw Data'!A192</f>
        <v>S00189</v>
      </c>
      <c r="B193" s="1" t="str">
        <f aca="false">'Raw Data'!B192</f>
        <v>P4279</v>
      </c>
      <c r="C193" s="1" t="str">
        <f aca="false">'Raw Data'!C192</f>
        <v>otaylor</v>
      </c>
      <c r="D193" s="1" t="str">
        <f aca="false">'Raw Data'!D192</f>
        <v>Clash of Realms</v>
      </c>
      <c r="E193" s="1" t="str">
        <f aca="false">'Raw Data'!E192</f>
        <v>Console</v>
      </c>
      <c r="F193" s="1" t="str">
        <f aca="false">'Raw Data'!F192</f>
        <v>Central</v>
      </c>
      <c r="G193" s="23" t="n">
        <f aca="false">'Raw Data'!G192</f>
        <v>45800</v>
      </c>
      <c r="H193" s="1" t="n">
        <f aca="false">'Raw Data'!H192</f>
        <v>57</v>
      </c>
      <c r="I193" s="24" t="n">
        <f aca="false">'Raw Data'!I192</f>
        <v>0</v>
      </c>
      <c r="J193" s="1" t="str">
        <f aca="false">IF('Raw Data'!J192="None","None",IF(ISBLANK('Raw Data'!J192),"None",'Raw Data'!J192))</f>
        <v>None</v>
      </c>
      <c r="K193" s="1" t="str">
        <f aca="false">'Raw Data'!K192</f>
        <v>Completed</v>
      </c>
      <c r="L193" s="1" t="str">
        <f aca="false">'Raw Data'!L192</f>
        <v>Free</v>
      </c>
      <c r="M193" s="1" t="n">
        <f aca="false">'Raw Data'!M192</f>
        <v>18</v>
      </c>
      <c r="N193" s="1" t="str">
        <f aca="false">'Raw Data'!N192</f>
        <v>No</v>
      </c>
    </row>
    <row r="194" customFormat="false" ht="15" hidden="false" customHeight="true" outlineLevel="0" collapsed="false">
      <c r="A194" s="1" t="str">
        <f aca="false">'Raw Data'!A193</f>
        <v>S00190</v>
      </c>
      <c r="B194" s="1" t="str">
        <f aca="false">'Raw Data'!B193</f>
        <v>P5227</v>
      </c>
      <c r="C194" s="1" t="str">
        <f aca="false">'Raw Data'!C193</f>
        <v>snguyen</v>
      </c>
      <c r="D194" s="1" t="str">
        <f aca="false">'Raw Data'!D193</f>
        <v>BattleZone</v>
      </c>
      <c r="E194" s="1" t="str">
        <f aca="false">'Raw Data'!E193</f>
        <v>Console</v>
      </c>
      <c r="F194" s="1" t="str">
        <f aca="false">'Raw Data'!F193</f>
        <v>West</v>
      </c>
      <c r="G194" s="23" t="n">
        <f aca="false">'Raw Data'!G193</f>
        <v>45797</v>
      </c>
      <c r="H194" s="1" t="n">
        <f aca="false">'Raw Data'!H193</f>
        <v>153</v>
      </c>
      <c r="I194" s="24" t="n">
        <f aca="false">'Raw Data'!I193</f>
        <v>0</v>
      </c>
      <c r="J194" s="1" t="str">
        <f aca="false">IF('Raw Data'!J193="None","None",IF(ISBLANK('Raw Data'!J193),"None",'Raw Data'!J193))</f>
        <v>None</v>
      </c>
      <c r="K194" s="1" t="str">
        <f aca="false">'Raw Data'!K193</f>
        <v>Completed</v>
      </c>
      <c r="L194" s="1" t="str">
        <f aca="false">'Raw Data'!L193</f>
        <v>Free</v>
      </c>
      <c r="M194" s="1" t="n">
        <f aca="false">'Raw Data'!M193</f>
        <v>1</v>
      </c>
      <c r="N194" s="1" t="str">
        <f aca="false">'Raw Data'!N193</f>
        <v>Yes</v>
      </c>
    </row>
    <row r="195" customFormat="false" ht="15" hidden="false" customHeight="true" outlineLevel="0" collapsed="false">
      <c r="A195" s="1" t="str">
        <f aca="false">'Raw Data'!A194</f>
        <v>S00191</v>
      </c>
      <c r="B195" s="1" t="str">
        <f aca="false">'Raw Data'!B194</f>
        <v>P6734</v>
      </c>
      <c r="C195" s="1" t="str">
        <f aca="false">'Raw Data'!C194</f>
        <v>christine87</v>
      </c>
      <c r="D195" s="1" t="str">
        <f aca="false">'Raw Data'!D194</f>
        <v>BattleZone</v>
      </c>
      <c r="E195" s="1" t="str">
        <f aca="false">'Raw Data'!E194</f>
        <v>Mobile</v>
      </c>
      <c r="F195" s="1" t="str">
        <f aca="false">'Raw Data'!F194</f>
        <v>West</v>
      </c>
      <c r="G195" s="23" t="n">
        <f aca="false">'Raw Data'!G194</f>
        <v>45682</v>
      </c>
      <c r="H195" s="1" t="n">
        <f aca="false">'Raw Data'!H194</f>
        <v>130</v>
      </c>
      <c r="I195" s="24" t="n">
        <f aca="false">'Raw Data'!I194</f>
        <v>0</v>
      </c>
      <c r="J195" s="1" t="str">
        <f aca="false">IF('Raw Data'!J194="None","None",IF(ISBLANK('Raw Data'!J194),"None",'Raw Data'!J194))</f>
        <v>None</v>
      </c>
      <c r="K195" s="1" t="str">
        <f aca="false">'Raw Data'!K194</f>
        <v>Completed</v>
      </c>
      <c r="L195" s="1" t="str">
        <f aca="false">'Raw Data'!L194</f>
        <v>Paid</v>
      </c>
      <c r="M195" s="1" t="n">
        <f aca="false">'Raw Data'!M194</f>
        <v>8</v>
      </c>
      <c r="N195" s="1" t="str">
        <f aca="false">'Raw Data'!N194</f>
        <v>No</v>
      </c>
    </row>
    <row r="196" customFormat="false" ht="15" hidden="false" customHeight="true" outlineLevel="0" collapsed="false">
      <c r="A196" s="1" t="str">
        <f aca="false">'Raw Data'!A195</f>
        <v>S00192</v>
      </c>
      <c r="B196" s="1" t="str">
        <f aca="false">'Raw Data'!B195</f>
        <v>P2833</v>
      </c>
      <c r="C196" s="1" t="str">
        <f aca="false">'Raw Data'!C195</f>
        <v>kerry23</v>
      </c>
      <c r="D196" s="1" t="str">
        <f aca="false">'Raw Data'!D195</f>
        <v>Empire Wars</v>
      </c>
      <c r="E196" s="1" t="str">
        <f aca="false">'Raw Data'!E195</f>
        <v>PC</v>
      </c>
      <c r="F196" s="1" t="str">
        <f aca="false">'Raw Data'!F195</f>
        <v>East</v>
      </c>
      <c r="G196" s="23" t="n">
        <f aca="false">'Raw Data'!G195</f>
        <v>45650</v>
      </c>
      <c r="H196" s="1" t="n">
        <f aca="false">'Raw Data'!H195</f>
        <v>47</v>
      </c>
      <c r="I196" s="24" t="n">
        <f aca="false">'Raw Data'!I195</f>
        <v>12.41</v>
      </c>
      <c r="J196" s="1" t="str">
        <f aca="false">IF('Raw Data'!J195="None","None",IF(ISBLANK('Raw Data'!J195),"None",'Raw Data'!J195))</f>
        <v>Subscriptions</v>
      </c>
      <c r="K196" s="1" t="str">
        <f aca="false">'Raw Data'!K195</f>
        <v>Completed</v>
      </c>
      <c r="L196" s="1" t="str">
        <f aca="false">'Raw Data'!L195</f>
        <v>Paid</v>
      </c>
      <c r="M196" s="1" t="n">
        <f aca="false">'Raw Data'!M195</f>
        <v>36</v>
      </c>
      <c r="N196" s="1" t="str">
        <f aca="false">'Raw Data'!N195</f>
        <v>No</v>
      </c>
    </row>
    <row r="197" customFormat="false" ht="15" hidden="false" customHeight="true" outlineLevel="0" collapsed="false">
      <c r="A197" s="1" t="str">
        <f aca="false">'Raw Data'!A196</f>
        <v>S00193</v>
      </c>
      <c r="B197" s="1" t="str">
        <f aca="false">'Raw Data'!B196</f>
        <v>P3866</v>
      </c>
      <c r="C197" s="1" t="str">
        <f aca="false">'Raw Data'!C196</f>
        <v>natashamartin</v>
      </c>
      <c r="D197" s="1" t="str">
        <f aca="false">'Raw Data'!D196</f>
        <v>Clash of Realms</v>
      </c>
      <c r="E197" s="1" t="str">
        <f aca="false">'Raw Data'!E196</f>
        <v>PC</v>
      </c>
      <c r="F197" s="1" t="str">
        <f aca="false">'Raw Data'!F196</f>
        <v>North-East</v>
      </c>
      <c r="G197" s="23" t="n">
        <f aca="false">'Raw Data'!G196</f>
        <v>45717</v>
      </c>
      <c r="H197" s="1" t="n">
        <f aca="false">'Raw Data'!H196</f>
        <v>53</v>
      </c>
      <c r="I197" s="24" t="n">
        <f aca="false">'Raw Data'!I196</f>
        <v>0</v>
      </c>
      <c r="J197" s="1" t="str">
        <f aca="false">IF('Raw Data'!J196="None","None",IF(ISBLANK('Raw Data'!J196),"None",'Raw Data'!J196))</f>
        <v>None</v>
      </c>
      <c r="K197" s="1" t="str">
        <f aca="false">'Raw Data'!K196</f>
        <v>Incomplete</v>
      </c>
      <c r="L197" s="1" t="str">
        <f aca="false">'Raw Data'!L196</f>
        <v>Free</v>
      </c>
      <c r="M197" s="1" t="n">
        <f aca="false">'Raw Data'!M196</f>
        <v>28</v>
      </c>
      <c r="N197" s="1" t="str">
        <f aca="false">'Raw Data'!N196</f>
        <v>No</v>
      </c>
    </row>
    <row r="198" customFormat="false" ht="15" hidden="false" customHeight="true" outlineLevel="0" collapsed="false">
      <c r="A198" s="1" t="str">
        <f aca="false">'Raw Data'!A197</f>
        <v>S00194</v>
      </c>
      <c r="B198" s="1" t="str">
        <f aca="false">'Raw Data'!B197</f>
        <v>P9566</v>
      </c>
      <c r="C198" s="1" t="str">
        <f aca="false">'Raw Data'!C197</f>
        <v>rileyjason</v>
      </c>
      <c r="D198" s="1" t="str">
        <f aca="false">'Raw Data'!D197</f>
        <v>BattleZone</v>
      </c>
      <c r="E198" s="1" t="str">
        <f aca="false">'Raw Data'!E197</f>
        <v>PC</v>
      </c>
      <c r="F198" s="1" t="str">
        <f aca="false">'Raw Data'!F197</f>
        <v>South</v>
      </c>
      <c r="G198" s="23" t="n">
        <f aca="false">'Raw Data'!G197</f>
        <v>45746</v>
      </c>
      <c r="H198" s="1" t="n">
        <f aca="false">'Raw Data'!H197</f>
        <v>19</v>
      </c>
      <c r="I198" s="24" t="n">
        <f aca="false">'Raw Data'!I197</f>
        <v>0</v>
      </c>
      <c r="J198" s="1" t="str">
        <f aca="false">IF('Raw Data'!J197="None","None",IF(ISBLANK('Raw Data'!J197),"None",'Raw Data'!J197))</f>
        <v>None</v>
      </c>
      <c r="K198" s="1" t="str">
        <f aca="false">'Raw Data'!K197</f>
        <v>Completed</v>
      </c>
      <c r="L198" s="1" t="str">
        <f aca="false">'Raw Data'!L197</f>
        <v>Free</v>
      </c>
      <c r="M198" s="1" t="n">
        <f aca="false">'Raw Data'!M197</f>
        <v>27</v>
      </c>
      <c r="N198" s="1" t="str">
        <f aca="false">'Raw Data'!N197</f>
        <v>No</v>
      </c>
    </row>
    <row r="199" customFormat="false" ht="15" hidden="false" customHeight="true" outlineLevel="0" collapsed="false">
      <c r="A199" s="1" t="str">
        <f aca="false">'Raw Data'!A198</f>
        <v>S00195</v>
      </c>
      <c r="B199" s="1" t="str">
        <f aca="false">'Raw Data'!B198</f>
        <v>P1819</v>
      </c>
      <c r="C199" s="1" t="str">
        <f aca="false">'Raw Data'!C198</f>
        <v>garciadanielle</v>
      </c>
      <c r="D199" s="1" t="str">
        <f aca="false">'Raw Data'!D198</f>
        <v>Zombie Rush</v>
      </c>
      <c r="E199" s="1" t="str">
        <f aca="false">'Raw Data'!E198</f>
        <v>Mobile</v>
      </c>
      <c r="F199" s="1" t="str">
        <f aca="false">'Raw Data'!F198</f>
        <v>East</v>
      </c>
      <c r="G199" s="23" t="n">
        <f aca="false">'Raw Data'!G198</f>
        <v>45654</v>
      </c>
      <c r="H199" s="1" t="n">
        <f aca="false">'Raw Data'!H198</f>
        <v>117</v>
      </c>
      <c r="I199" s="24" t="n">
        <f aca="false">'Raw Data'!I198</f>
        <v>0</v>
      </c>
      <c r="J199" s="1" t="str">
        <f aca="false">IF('Raw Data'!J198="None","None",IF(ISBLANK('Raw Data'!J198),"None",'Raw Data'!J198))</f>
        <v>None</v>
      </c>
      <c r="K199" s="1" t="str">
        <f aca="false">'Raw Data'!K198</f>
        <v>Completed</v>
      </c>
      <c r="L199" s="1" t="str">
        <f aca="false">'Raw Data'!L198</f>
        <v>Free</v>
      </c>
      <c r="M199" s="1" t="n">
        <f aca="false">'Raw Data'!M198</f>
        <v>17</v>
      </c>
      <c r="N199" s="1" t="str">
        <f aca="false">'Raw Data'!N198</f>
        <v>No</v>
      </c>
    </row>
    <row r="200" customFormat="false" ht="15" hidden="false" customHeight="true" outlineLevel="0" collapsed="false">
      <c r="A200" s="1" t="str">
        <f aca="false">'Raw Data'!A199</f>
        <v>S00196</v>
      </c>
      <c r="B200" s="1" t="str">
        <f aca="false">'Raw Data'!B199</f>
        <v>P5750</v>
      </c>
      <c r="C200" s="1" t="str">
        <f aca="false">'Raw Data'!C199</f>
        <v>walterkayla</v>
      </c>
      <c r="D200" s="1" t="str">
        <f aca="false">'Raw Data'!D199</f>
        <v>BattleZone</v>
      </c>
      <c r="E200" s="1" t="str">
        <f aca="false">'Raw Data'!E199</f>
        <v>Console</v>
      </c>
      <c r="F200" s="1" t="str">
        <f aca="false">'Raw Data'!F199</f>
        <v>Central</v>
      </c>
      <c r="G200" s="23" t="n">
        <f aca="false">'Raw Data'!G199</f>
        <v>45659</v>
      </c>
      <c r="H200" s="1" t="n">
        <f aca="false">'Raw Data'!H199</f>
        <v>35</v>
      </c>
      <c r="I200" s="24" t="n">
        <f aca="false">'Raw Data'!I199</f>
        <v>18.72</v>
      </c>
      <c r="J200" s="1" t="str">
        <f aca="false">IF('Raw Data'!J199="None","None",IF(ISBLANK('Raw Data'!J199),"None",'Raw Data'!J199))</f>
        <v>Skins</v>
      </c>
      <c r="K200" s="1" t="str">
        <f aca="false">'Raw Data'!K199</f>
        <v>Completed</v>
      </c>
      <c r="L200" s="1" t="str">
        <f aca="false">'Raw Data'!L199</f>
        <v>Paid</v>
      </c>
      <c r="M200" s="1" t="n">
        <f aca="false">'Raw Data'!M199</f>
        <v>20</v>
      </c>
      <c r="N200" s="1" t="str">
        <f aca="false">'Raw Data'!N199</f>
        <v>No</v>
      </c>
    </row>
    <row r="201" customFormat="false" ht="15" hidden="false" customHeight="true" outlineLevel="0" collapsed="false">
      <c r="A201" s="1" t="str">
        <f aca="false">'Raw Data'!A200</f>
        <v>S00197</v>
      </c>
      <c r="B201" s="1" t="str">
        <f aca="false">'Raw Data'!B200</f>
        <v>P8044</v>
      </c>
      <c r="C201" s="1" t="str">
        <f aca="false">'Raw Data'!C200</f>
        <v>henryrosales</v>
      </c>
      <c r="D201" s="1" t="str">
        <f aca="false">'Raw Data'!D200</f>
        <v>Zombie Rush</v>
      </c>
      <c r="E201" s="1" t="str">
        <f aca="false">'Raw Data'!E200</f>
        <v>Mobile</v>
      </c>
      <c r="F201" s="1" t="str">
        <f aca="false">'Raw Data'!F200</f>
        <v>North</v>
      </c>
      <c r="G201" s="23" t="n">
        <f aca="false">'Raw Data'!G200</f>
        <v>45788</v>
      </c>
      <c r="H201" s="1" t="n">
        <f aca="false">'Raw Data'!H200</f>
        <v>138</v>
      </c>
      <c r="I201" s="24" t="n">
        <f aca="false">'Raw Data'!I200</f>
        <v>0</v>
      </c>
      <c r="J201" s="1" t="str">
        <f aca="false">IF('Raw Data'!J200="None","None",IF(ISBLANK('Raw Data'!J200),"None",'Raw Data'!J200))</f>
        <v>None</v>
      </c>
      <c r="K201" s="1" t="str">
        <f aca="false">'Raw Data'!K200</f>
        <v>Completed</v>
      </c>
      <c r="L201" s="1" t="str">
        <f aca="false">'Raw Data'!L200</f>
        <v>Free</v>
      </c>
      <c r="M201" s="1" t="n">
        <f aca="false">'Raw Data'!M200</f>
        <v>47</v>
      </c>
      <c r="N201" s="1" t="str">
        <f aca="false">'Raw Data'!N200</f>
        <v>No</v>
      </c>
    </row>
    <row r="202" customFormat="false" ht="15" hidden="false" customHeight="true" outlineLevel="0" collapsed="false">
      <c r="A202" s="1" t="str">
        <f aca="false">'Raw Data'!A201</f>
        <v>S00198</v>
      </c>
      <c r="B202" s="1" t="str">
        <f aca="false">'Raw Data'!B201</f>
        <v>P7656</v>
      </c>
      <c r="C202" s="1" t="str">
        <f aca="false">'Raw Data'!C201</f>
        <v>nrichmond</v>
      </c>
      <c r="D202" s="1" t="str">
        <f aca="false">'Raw Data'!D201</f>
        <v>Empire Wars</v>
      </c>
      <c r="E202" s="1" t="str">
        <f aca="false">'Raw Data'!E201</f>
        <v>Console</v>
      </c>
      <c r="F202" s="1" t="str">
        <f aca="false">'Raw Data'!F201</f>
        <v>South</v>
      </c>
      <c r="G202" s="23" t="n">
        <f aca="false">'Raw Data'!G201</f>
        <v>45687</v>
      </c>
      <c r="H202" s="1" t="n">
        <f aca="false">'Raw Data'!H201</f>
        <v>45</v>
      </c>
      <c r="I202" s="24" t="n">
        <f aca="false">'Raw Data'!I201</f>
        <v>0</v>
      </c>
      <c r="J202" s="1" t="str">
        <f aca="false">IF('Raw Data'!J201="None","None",IF(ISBLANK('Raw Data'!J201),"None",'Raw Data'!J201))</f>
        <v>None</v>
      </c>
      <c r="K202" s="1" t="str">
        <f aca="false">'Raw Data'!K201</f>
        <v>Completed</v>
      </c>
      <c r="L202" s="1" t="str">
        <f aca="false">'Raw Data'!L201</f>
        <v>Free</v>
      </c>
      <c r="M202" s="1" t="n">
        <f aca="false">'Raw Data'!M201</f>
        <v>24</v>
      </c>
      <c r="N202" s="1" t="str">
        <f aca="false">'Raw Data'!N201</f>
        <v>No</v>
      </c>
    </row>
    <row r="203" customFormat="false" ht="15" hidden="false" customHeight="true" outlineLevel="0" collapsed="false">
      <c r="A203" s="1" t="str">
        <f aca="false">'Raw Data'!A202</f>
        <v>S00199</v>
      </c>
      <c r="B203" s="1" t="str">
        <f aca="false">'Raw Data'!B202</f>
        <v>P9860</v>
      </c>
      <c r="C203" s="1" t="str">
        <f aca="false">'Raw Data'!C202</f>
        <v>andrewbrown</v>
      </c>
      <c r="D203" s="1" t="str">
        <f aca="false">'Raw Data'!D202</f>
        <v>SpeedX</v>
      </c>
      <c r="E203" s="1" t="str">
        <f aca="false">'Raw Data'!E202</f>
        <v>Console</v>
      </c>
      <c r="F203" s="1" t="str">
        <f aca="false">'Raw Data'!F202</f>
        <v>West</v>
      </c>
      <c r="G203" s="23" t="n">
        <f aca="false">'Raw Data'!G202</f>
        <v>45808</v>
      </c>
      <c r="H203" s="1" t="n">
        <f aca="false">'Raw Data'!H202</f>
        <v>97</v>
      </c>
      <c r="I203" s="24" t="n">
        <f aca="false">'Raw Data'!I202</f>
        <v>0</v>
      </c>
      <c r="J203" s="1" t="str">
        <f aca="false">IF('Raw Data'!J202="None","None",IF(ISBLANK('Raw Data'!J202),"None",'Raw Data'!J202))</f>
        <v>None</v>
      </c>
      <c r="K203" s="1" t="str">
        <f aca="false">'Raw Data'!K202</f>
        <v>Completed</v>
      </c>
      <c r="L203" s="1" t="str">
        <f aca="false">'Raw Data'!L202</f>
        <v>Free</v>
      </c>
      <c r="M203" s="1" t="n">
        <f aca="false">'Raw Data'!M202</f>
        <v>5</v>
      </c>
      <c r="N203" s="1" t="str">
        <f aca="false">'Raw Data'!N202</f>
        <v>No</v>
      </c>
    </row>
    <row r="204" customFormat="false" ht="15" hidden="false" customHeight="true" outlineLevel="0" collapsed="false">
      <c r="A204" s="1" t="str">
        <f aca="false">'Raw Data'!A203</f>
        <v>S00200</v>
      </c>
      <c r="B204" s="1" t="str">
        <f aca="false">'Raw Data'!B203</f>
        <v>P7486</v>
      </c>
      <c r="C204" s="1" t="str">
        <f aca="false">'Raw Data'!C203</f>
        <v>qmills</v>
      </c>
      <c r="D204" s="1" t="str">
        <f aca="false">'Raw Data'!D203</f>
        <v>SpeedX</v>
      </c>
      <c r="E204" s="1" t="str">
        <f aca="false">'Raw Data'!E203</f>
        <v>Mobile</v>
      </c>
      <c r="F204" s="1" t="str">
        <f aca="false">'Raw Data'!F203</f>
        <v>Central</v>
      </c>
      <c r="G204" s="23" t="n">
        <f aca="false">'Raw Data'!G203</f>
        <v>45692</v>
      </c>
      <c r="H204" s="1" t="n">
        <f aca="false">'Raw Data'!H203</f>
        <v>18</v>
      </c>
      <c r="I204" s="24" t="n">
        <f aca="false">'Raw Data'!I203</f>
        <v>0</v>
      </c>
      <c r="J204" s="1" t="str">
        <f aca="false">IF('Raw Data'!J203="None","None",IF(ISBLANK('Raw Data'!J203),"None",'Raw Data'!J203))</f>
        <v>None</v>
      </c>
      <c r="K204" s="1" t="str">
        <f aca="false">'Raw Data'!K203</f>
        <v>Completed</v>
      </c>
      <c r="L204" s="1" t="str">
        <f aca="false">'Raw Data'!L203</f>
        <v>Free</v>
      </c>
      <c r="M204" s="1" t="n">
        <f aca="false">'Raw Data'!M203</f>
        <v>14</v>
      </c>
      <c r="N204" s="1" t="str">
        <f aca="false">'Raw Data'!N203</f>
        <v>No</v>
      </c>
    </row>
    <row r="205" customFormat="false" ht="15" hidden="false" customHeight="true" outlineLevel="0" collapsed="false">
      <c r="A205" s="1" t="str">
        <f aca="false">'Raw Data'!A204</f>
        <v>S00201</v>
      </c>
      <c r="B205" s="1" t="str">
        <f aca="false">'Raw Data'!B204</f>
        <v>P5966</v>
      </c>
      <c r="C205" s="1" t="str">
        <f aca="false">'Raw Data'!C204</f>
        <v>qcarrillo</v>
      </c>
      <c r="D205" s="1" t="str">
        <f aca="false">'Raw Data'!D204</f>
        <v>SpeedX</v>
      </c>
      <c r="E205" s="1" t="str">
        <f aca="false">'Raw Data'!E204</f>
        <v>Mobile</v>
      </c>
      <c r="F205" s="1" t="str">
        <f aca="false">'Raw Data'!F204</f>
        <v>West</v>
      </c>
      <c r="G205" s="23" t="n">
        <f aca="false">'Raw Data'!G204</f>
        <v>45751</v>
      </c>
      <c r="H205" s="1" t="n">
        <f aca="false">'Raw Data'!H204</f>
        <v>7</v>
      </c>
      <c r="I205" s="24" t="n">
        <f aca="false">'Raw Data'!I204</f>
        <v>0</v>
      </c>
      <c r="J205" s="1" t="str">
        <f aca="false">IF('Raw Data'!J204="None","None",IF(ISBLANK('Raw Data'!J204),"None",'Raw Data'!J204))</f>
        <v>None</v>
      </c>
      <c r="K205" s="1" t="str">
        <f aca="false">'Raw Data'!K204</f>
        <v>Incomplete</v>
      </c>
      <c r="L205" s="1" t="str">
        <f aca="false">'Raw Data'!L204</f>
        <v>Free</v>
      </c>
      <c r="M205" s="1" t="n">
        <f aca="false">'Raw Data'!M204</f>
        <v>22</v>
      </c>
      <c r="N205" s="1" t="str">
        <f aca="false">'Raw Data'!N204</f>
        <v>No</v>
      </c>
    </row>
    <row r="206" customFormat="false" ht="15" hidden="false" customHeight="true" outlineLevel="0" collapsed="false">
      <c r="A206" s="1" t="str">
        <f aca="false">'Raw Data'!A205</f>
        <v>S00202</v>
      </c>
      <c r="B206" s="1" t="str">
        <f aca="false">'Raw Data'!B205</f>
        <v>P8953</v>
      </c>
      <c r="C206" s="1" t="str">
        <f aca="false">'Raw Data'!C205</f>
        <v>mcdanielautumn</v>
      </c>
      <c r="D206" s="1" t="str">
        <f aca="false">'Raw Data'!D205</f>
        <v>Empire Wars</v>
      </c>
      <c r="E206" s="1" t="str">
        <f aca="false">'Raw Data'!E205</f>
        <v>PC</v>
      </c>
      <c r="F206" s="1" t="str">
        <f aca="false">'Raw Data'!F205</f>
        <v>North-East</v>
      </c>
      <c r="G206" s="23" t="n">
        <f aca="false">'Raw Data'!G205</f>
        <v>45742</v>
      </c>
      <c r="H206" s="1" t="n">
        <f aca="false">'Raw Data'!H205</f>
        <v>42</v>
      </c>
      <c r="I206" s="24" t="n">
        <f aca="false">'Raw Data'!I205</f>
        <v>32.85</v>
      </c>
      <c r="J206" s="1" t="str">
        <f aca="false">IF('Raw Data'!J205="None","None",IF(ISBLANK('Raw Data'!J205),"None",'Raw Data'!J205))</f>
        <v>Subscriptions</v>
      </c>
      <c r="K206" s="1" t="str">
        <f aca="false">'Raw Data'!K205</f>
        <v>Incomplete</v>
      </c>
      <c r="L206" s="1" t="str">
        <f aca="false">'Raw Data'!L205</f>
        <v>Paid</v>
      </c>
      <c r="M206" s="1" t="n">
        <f aca="false">'Raw Data'!M205</f>
        <v>38</v>
      </c>
      <c r="N206" s="1" t="str">
        <f aca="false">'Raw Data'!N205</f>
        <v>No</v>
      </c>
    </row>
    <row r="207" customFormat="false" ht="15" hidden="false" customHeight="true" outlineLevel="0" collapsed="false">
      <c r="A207" s="1" t="str">
        <f aca="false">'Raw Data'!A206</f>
        <v>S00203</v>
      </c>
      <c r="B207" s="1" t="str">
        <f aca="false">'Raw Data'!B206</f>
        <v>P5877</v>
      </c>
      <c r="C207" s="1" t="str">
        <f aca="false">'Raw Data'!C206</f>
        <v>jperkins</v>
      </c>
      <c r="D207" s="1" t="str">
        <f aca="false">'Raw Data'!D206</f>
        <v>Zombie Rush</v>
      </c>
      <c r="E207" s="1" t="str">
        <f aca="false">'Raw Data'!E206</f>
        <v>PC</v>
      </c>
      <c r="F207" s="1" t="str">
        <f aca="false">'Raw Data'!F206</f>
        <v>North</v>
      </c>
      <c r="G207" s="23" t="n">
        <f aca="false">'Raw Data'!G206</f>
        <v>45758</v>
      </c>
      <c r="H207" s="1" t="n">
        <f aca="false">'Raw Data'!H206</f>
        <v>111</v>
      </c>
      <c r="I207" s="24" t="n">
        <f aca="false">'Raw Data'!I206</f>
        <v>0</v>
      </c>
      <c r="J207" s="1" t="str">
        <f aca="false">IF('Raw Data'!J206="None","None",IF(ISBLANK('Raw Data'!J206),"None",'Raw Data'!J206))</f>
        <v>None</v>
      </c>
      <c r="K207" s="1" t="str">
        <f aca="false">'Raw Data'!K206</f>
        <v>Completed</v>
      </c>
      <c r="L207" s="1" t="str">
        <f aca="false">'Raw Data'!L206</f>
        <v>Free</v>
      </c>
      <c r="M207" s="1" t="n">
        <f aca="false">'Raw Data'!M206</f>
        <v>39</v>
      </c>
      <c r="N207" s="1" t="str">
        <f aca="false">'Raw Data'!N206</f>
        <v>No</v>
      </c>
    </row>
    <row r="208" customFormat="false" ht="15" hidden="false" customHeight="true" outlineLevel="0" collapsed="false">
      <c r="A208" s="1" t="str">
        <f aca="false">'Raw Data'!A207</f>
        <v>S00204</v>
      </c>
      <c r="B208" s="1" t="str">
        <f aca="false">'Raw Data'!B207</f>
        <v>P7851</v>
      </c>
      <c r="C208" s="1" t="str">
        <f aca="false">'Raw Data'!C207</f>
        <v>hernandezmichael</v>
      </c>
      <c r="D208" s="1" t="str">
        <f aca="false">'Raw Data'!D207</f>
        <v>Zombie Rush</v>
      </c>
      <c r="E208" s="1" t="str">
        <f aca="false">'Raw Data'!E207</f>
        <v>PC</v>
      </c>
      <c r="F208" s="1" t="str">
        <f aca="false">'Raw Data'!F207</f>
        <v>East</v>
      </c>
      <c r="G208" s="23" t="n">
        <f aca="false">'Raw Data'!G207</f>
        <v>45782</v>
      </c>
      <c r="H208" s="1" t="n">
        <f aca="false">'Raw Data'!H207</f>
        <v>32</v>
      </c>
      <c r="I208" s="24" t="n">
        <f aca="false">'Raw Data'!I207</f>
        <v>0</v>
      </c>
      <c r="J208" s="1" t="str">
        <f aca="false">IF('Raw Data'!J207="None","None",IF(ISBLANK('Raw Data'!J207),"None",'Raw Data'!J207))</f>
        <v>None</v>
      </c>
      <c r="K208" s="1" t="str">
        <f aca="false">'Raw Data'!K207</f>
        <v>Incomplete</v>
      </c>
      <c r="L208" s="1" t="str">
        <f aca="false">'Raw Data'!L207</f>
        <v>Free</v>
      </c>
      <c r="M208" s="1" t="n">
        <f aca="false">'Raw Data'!M207</f>
        <v>22</v>
      </c>
      <c r="N208" s="1" t="str">
        <f aca="false">'Raw Data'!N207</f>
        <v>No</v>
      </c>
    </row>
    <row r="209" customFormat="false" ht="15" hidden="false" customHeight="true" outlineLevel="0" collapsed="false">
      <c r="A209" s="1" t="str">
        <f aca="false">'Raw Data'!A208</f>
        <v>S00205</v>
      </c>
      <c r="B209" s="1" t="str">
        <f aca="false">'Raw Data'!B208</f>
        <v>P8927</v>
      </c>
      <c r="C209" s="1" t="str">
        <f aca="false">'Raw Data'!C208</f>
        <v>xpadilla</v>
      </c>
      <c r="D209" s="1" t="str">
        <f aca="false">'Raw Data'!D208</f>
        <v>BattleZone</v>
      </c>
      <c r="E209" s="1" t="str">
        <f aca="false">'Raw Data'!E208</f>
        <v>Mobile</v>
      </c>
      <c r="F209" s="1" t="str">
        <f aca="false">'Raw Data'!F208</f>
        <v>North</v>
      </c>
      <c r="G209" s="23" t="n">
        <f aca="false">'Raw Data'!G208</f>
        <v>45805</v>
      </c>
      <c r="H209" s="1" t="n">
        <f aca="false">'Raw Data'!H208</f>
        <v>46</v>
      </c>
      <c r="I209" s="24" t="n">
        <f aca="false">'Raw Data'!I208</f>
        <v>0</v>
      </c>
      <c r="J209" s="1" t="str">
        <f aca="false">IF('Raw Data'!J208="None","None",IF(ISBLANK('Raw Data'!J208),"None",'Raw Data'!J208))</f>
        <v>None</v>
      </c>
      <c r="K209" s="1" t="str">
        <f aca="false">'Raw Data'!K208</f>
        <v>Completed</v>
      </c>
      <c r="L209" s="1" t="str">
        <f aca="false">'Raw Data'!L208</f>
        <v>Paid</v>
      </c>
      <c r="M209" s="1" t="n">
        <f aca="false">'Raw Data'!M208</f>
        <v>42</v>
      </c>
      <c r="N209" s="1" t="str">
        <f aca="false">'Raw Data'!N208</f>
        <v>No</v>
      </c>
    </row>
    <row r="210" customFormat="false" ht="15" hidden="false" customHeight="true" outlineLevel="0" collapsed="false">
      <c r="A210" s="1" t="str">
        <f aca="false">'Raw Data'!A209</f>
        <v>S00206</v>
      </c>
      <c r="B210" s="1" t="str">
        <f aca="false">'Raw Data'!B209</f>
        <v>P3345</v>
      </c>
      <c r="C210" s="1" t="str">
        <f aca="false">'Raw Data'!C209</f>
        <v>wjohnson</v>
      </c>
      <c r="D210" s="1" t="str">
        <f aca="false">'Raw Data'!D209</f>
        <v>Empire Wars</v>
      </c>
      <c r="E210" s="1" t="str">
        <f aca="false">'Raw Data'!E209</f>
        <v>Console</v>
      </c>
      <c r="F210" s="1" t="str">
        <f aca="false">'Raw Data'!F209</f>
        <v>Central</v>
      </c>
      <c r="G210" s="23" t="n">
        <f aca="false">'Raw Data'!G209</f>
        <v>45802</v>
      </c>
      <c r="H210" s="1" t="n">
        <f aca="false">'Raw Data'!H209</f>
        <v>98</v>
      </c>
      <c r="I210" s="24" t="n">
        <f aca="false">'Raw Data'!I209</f>
        <v>0</v>
      </c>
      <c r="J210" s="1" t="str">
        <f aca="false">IF('Raw Data'!J209="None","None",IF(ISBLANK('Raw Data'!J209),"None",'Raw Data'!J209))</f>
        <v>None</v>
      </c>
      <c r="K210" s="1" t="str">
        <f aca="false">'Raw Data'!K209</f>
        <v>Completed</v>
      </c>
      <c r="L210" s="1" t="str">
        <f aca="false">'Raw Data'!L209</f>
        <v>Paid</v>
      </c>
      <c r="M210" s="1" t="n">
        <f aca="false">'Raw Data'!M209</f>
        <v>30</v>
      </c>
      <c r="N210" s="1" t="str">
        <f aca="false">'Raw Data'!N209</f>
        <v>No</v>
      </c>
    </row>
    <row r="211" customFormat="false" ht="15" hidden="false" customHeight="true" outlineLevel="0" collapsed="false">
      <c r="A211" s="1" t="str">
        <f aca="false">'Raw Data'!A210</f>
        <v>S00207</v>
      </c>
      <c r="B211" s="1" t="str">
        <f aca="false">'Raw Data'!B210</f>
        <v>P1709</v>
      </c>
      <c r="C211" s="1" t="str">
        <f aca="false">'Raw Data'!C210</f>
        <v>darren53</v>
      </c>
      <c r="D211" s="1" t="str">
        <f aca="false">'Raw Data'!D210</f>
        <v>Empire Wars</v>
      </c>
      <c r="E211" s="1" t="str">
        <f aca="false">'Raw Data'!E210</f>
        <v>Console</v>
      </c>
      <c r="F211" s="1" t="str">
        <f aca="false">'Raw Data'!F210</f>
        <v>West</v>
      </c>
      <c r="G211" s="23" t="n">
        <f aca="false">'Raw Data'!G210</f>
        <v>45791</v>
      </c>
      <c r="H211" s="1" t="n">
        <f aca="false">'Raw Data'!H210</f>
        <v>85</v>
      </c>
      <c r="I211" s="24" t="n">
        <f aca="false">'Raw Data'!I210</f>
        <v>0</v>
      </c>
      <c r="J211" s="1" t="str">
        <f aca="false">IF('Raw Data'!J210="None","None",IF(ISBLANK('Raw Data'!J210),"None",'Raw Data'!J210))</f>
        <v>None</v>
      </c>
      <c r="K211" s="1" t="str">
        <f aca="false">'Raw Data'!K210</f>
        <v>Completed</v>
      </c>
      <c r="L211" s="1" t="str">
        <f aca="false">'Raw Data'!L210</f>
        <v>Free</v>
      </c>
      <c r="M211" s="1" t="n">
        <f aca="false">'Raw Data'!M210</f>
        <v>4</v>
      </c>
      <c r="N211" s="1" t="str">
        <f aca="false">'Raw Data'!N210</f>
        <v>No</v>
      </c>
    </row>
    <row r="212" customFormat="false" ht="15" hidden="false" customHeight="true" outlineLevel="0" collapsed="false">
      <c r="A212" s="1" t="str">
        <f aca="false">'Raw Data'!A211</f>
        <v>S00208</v>
      </c>
      <c r="B212" s="1" t="str">
        <f aca="false">'Raw Data'!B211</f>
        <v>P3727</v>
      </c>
      <c r="C212" s="1" t="str">
        <f aca="false">'Raw Data'!C211</f>
        <v>nathanielchavez</v>
      </c>
      <c r="D212" s="1" t="str">
        <f aca="false">'Raw Data'!D211</f>
        <v>Empire Wars</v>
      </c>
      <c r="E212" s="1" t="str">
        <f aca="false">'Raw Data'!E211</f>
        <v>Console</v>
      </c>
      <c r="F212" s="1" t="str">
        <f aca="false">'Raw Data'!F211</f>
        <v>North</v>
      </c>
      <c r="G212" s="23" t="n">
        <f aca="false">'Raw Data'!G211</f>
        <v>45790</v>
      </c>
      <c r="H212" s="1" t="n">
        <f aca="false">'Raw Data'!H211</f>
        <v>135</v>
      </c>
      <c r="I212" s="24" t="n">
        <f aca="false">'Raw Data'!I211</f>
        <v>0</v>
      </c>
      <c r="J212" s="1" t="str">
        <f aca="false">IF('Raw Data'!J211="None","None",IF(ISBLANK('Raw Data'!J211),"None",'Raw Data'!J211))</f>
        <v>None</v>
      </c>
      <c r="K212" s="1" t="str">
        <f aca="false">'Raw Data'!K211</f>
        <v>Completed</v>
      </c>
      <c r="L212" s="1" t="str">
        <f aca="false">'Raw Data'!L211</f>
        <v>Paid</v>
      </c>
      <c r="M212" s="1" t="n">
        <f aca="false">'Raw Data'!M211</f>
        <v>42</v>
      </c>
      <c r="N212" s="1" t="str">
        <f aca="false">'Raw Data'!N211</f>
        <v>No</v>
      </c>
    </row>
    <row r="213" customFormat="false" ht="15" hidden="false" customHeight="true" outlineLevel="0" collapsed="false">
      <c r="A213" s="1" t="str">
        <f aca="false">'Raw Data'!A212</f>
        <v>S00209</v>
      </c>
      <c r="B213" s="1" t="str">
        <f aca="false">'Raw Data'!B212</f>
        <v>P6903</v>
      </c>
      <c r="C213" s="1" t="str">
        <f aca="false">'Raw Data'!C212</f>
        <v>selliott</v>
      </c>
      <c r="D213" s="1" t="str">
        <f aca="false">'Raw Data'!D212</f>
        <v>Empire Wars</v>
      </c>
      <c r="E213" s="1" t="str">
        <f aca="false">'Raw Data'!E212</f>
        <v>Mobile</v>
      </c>
      <c r="F213" s="1" t="str">
        <f aca="false">'Raw Data'!F212</f>
        <v>North-East</v>
      </c>
      <c r="G213" s="23" t="n">
        <f aca="false">'Raw Data'!G212</f>
        <v>45641</v>
      </c>
      <c r="H213" s="1" t="n">
        <f aca="false">'Raw Data'!H212</f>
        <v>109</v>
      </c>
      <c r="I213" s="24" t="n">
        <f aca="false">'Raw Data'!I212</f>
        <v>0</v>
      </c>
      <c r="J213" s="1" t="str">
        <f aca="false">IF('Raw Data'!J212="None","None",IF(ISBLANK('Raw Data'!J212),"None",'Raw Data'!J212))</f>
        <v>None</v>
      </c>
      <c r="K213" s="1" t="str">
        <f aca="false">'Raw Data'!K212</f>
        <v>Completed</v>
      </c>
      <c r="L213" s="1" t="str">
        <f aca="false">'Raw Data'!L212</f>
        <v>Free</v>
      </c>
      <c r="M213" s="1" t="n">
        <f aca="false">'Raw Data'!M212</f>
        <v>15</v>
      </c>
      <c r="N213" s="1" t="str">
        <f aca="false">'Raw Data'!N212</f>
        <v>No</v>
      </c>
    </row>
    <row r="214" customFormat="false" ht="15" hidden="false" customHeight="true" outlineLevel="0" collapsed="false">
      <c r="A214" s="1" t="str">
        <f aca="false">'Raw Data'!A213</f>
        <v>S00210</v>
      </c>
      <c r="B214" s="1" t="str">
        <f aca="false">'Raw Data'!B213</f>
        <v>P9657</v>
      </c>
      <c r="C214" s="1" t="str">
        <f aca="false">'Raw Data'!C213</f>
        <v>elowe</v>
      </c>
      <c r="D214" s="1" t="str">
        <f aca="false">'Raw Data'!D213</f>
        <v>Clash of Realms</v>
      </c>
      <c r="E214" s="1" t="str">
        <f aca="false">'Raw Data'!E213</f>
        <v>PC</v>
      </c>
      <c r="F214" s="1" t="str">
        <f aca="false">'Raw Data'!F213</f>
        <v>North-East</v>
      </c>
      <c r="G214" s="23" t="n">
        <f aca="false">'Raw Data'!G213</f>
        <v>45790</v>
      </c>
      <c r="H214" s="1" t="n">
        <f aca="false">'Raw Data'!H213</f>
        <v>41</v>
      </c>
      <c r="I214" s="24" t="n">
        <f aca="false">'Raw Data'!I213</f>
        <v>0</v>
      </c>
      <c r="J214" s="1" t="str">
        <f aca="false">IF('Raw Data'!J213="None","None",IF(ISBLANK('Raw Data'!J213),"None",'Raw Data'!J213))</f>
        <v>None</v>
      </c>
      <c r="K214" s="1" t="str">
        <f aca="false">'Raw Data'!K213</f>
        <v>Completed</v>
      </c>
      <c r="L214" s="1" t="str">
        <f aca="false">'Raw Data'!L213</f>
        <v>Free</v>
      </c>
      <c r="M214" s="1" t="n">
        <f aca="false">'Raw Data'!M213</f>
        <v>14</v>
      </c>
      <c r="N214" s="1" t="str">
        <f aca="false">'Raw Data'!N213</f>
        <v>No</v>
      </c>
    </row>
    <row r="215" customFormat="false" ht="15" hidden="false" customHeight="true" outlineLevel="0" collapsed="false">
      <c r="A215" s="1" t="str">
        <f aca="false">'Raw Data'!A214</f>
        <v>S00211</v>
      </c>
      <c r="B215" s="1" t="str">
        <f aca="false">'Raw Data'!B214</f>
        <v>P6523</v>
      </c>
      <c r="C215" s="1" t="str">
        <f aca="false">'Raw Data'!C214</f>
        <v>edwardsjohn</v>
      </c>
      <c r="D215" s="1" t="str">
        <f aca="false">'Raw Data'!D214</f>
        <v>Zombie Rush</v>
      </c>
      <c r="E215" s="1" t="str">
        <f aca="false">'Raw Data'!E214</f>
        <v>Console</v>
      </c>
      <c r="F215" s="1" t="str">
        <f aca="false">'Raw Data'!F214</f>
        <v>West</v>
      </c>
      <c r="G215" s="23" t="n">
        <f aca="false">'Raw Data'!G214</f>
        <v>45686</v>
      </c>
      <c r="H215" s="1" t="n">
        <f aca="false">'Raw Data'!H214</f>
        <v>47</v>
      </c>
      <c r="I215" s="24" t="n">
        <f aca="false">'Raw Data'!I214</f>
        <v>8.61</v>
      </c>
      <c r="J215" s="1" t="str">
        <f aca="false">IF('Raw Data'!J214="None","None",IF(ISBLANK('Raw Data'!J214),"None",'Raw Data'!J214))</f>
        <v>Subscriptions</v>
      </c>
      <c r="K215" s="1" t="str">
        <f aca="false">'Raw Data'!K214</f>
        <v>Completed</v>
      </c>
      <c r="L215" s="1" t="str">
        <f aca="false">'Raw Data'!L214</f>
        <v>Paid</v>
      </c>
      <c r="M215" s="1" t="n">
        <f aca="false">'Raw Data'!M214</f>
        <v>1</v>
      </c>
      <c r="N215" s="1" t="str">
        <f aca="false">'Raw Data'!N214</f>
        <v>No</v>
      </c>
    </row>
    <row r="216" customFormat="false" ht="15" hidden="false" customHeight="true" outlineLevel="0" collapsed="false">
      <c r="A216" s="1" t="str">
        <f aca="false">'Raw Data'!A215</f>
        <v>S00212</v>
      </c>
      <c r="B216" s="1" t="str">
        <f aca="false">'Raw Data'!B215</f>
        <v>P4216</v>
      </c>
      <c r="C216" s="1" t="str">
        <f aca="false">'Raw Data'!C215</f>
        <v>sheilawatkins</v>
      </c>
      <c r="D216" s="1" t="str">
        <f aca="false">'Raw Data'!D215</f>
        <v>BattleZone</v>
      </c>
      <c r="E216" s="1" t="str">
        <f aca="false">'Raw Data'!E215</f>
        <v>Console</v>
      </c>
      <c r="F216" s="1" t="str">
        <f aca="false">'Raw Data'!F215</f>
        <v>Central</v>
      </c>
      <c r="G216" s="23" t="n">
        <f aca="false">'Raw Data'!G215</f>
        <v>45738</v>
      </c>
      <c r="H216" s="1" t="n">
        <f aca="false">'Raw Data'!H215</f>
        <v>141</v>
      </c>
      <c r="I216" s="24" t="n">
        <f aca="false">'Raw Data'!I215</f>
        <v>0</v>
      </c>
      <c r="J216" s="1" t="str">
        <f aca="false">IF('Raw Data'!J215="None","None",IF(ISBLANK('Raw Data'!J215),"None",'Raw Data'!J215))</f>
        <v>None</v>
      </c>
      <c r="K216" s="1" t="str">
        <f aca="false">'Raw Data'!K215</f>
        <v>Completed</v>
      </c>
      <c r="L216" s="1" t="str">
        <f aca="false">'Raw Data'!L215</f>
        <v>Free</v>
      </c>
      <c r="M216" s="1" t="n">
        <f aca="false">'Raw Data'!M215</f>
        <v>17</v>
      </c>
      <c r="N216" s="1" t="str">
        <f aca="false">'Raw Data'!N215</f>
        <v>No</v>
      </c>
    </row>
    <row r="217" customFormat="false" ht="15" hidden="false" customHeight="true" outlineLevel="0" collapsed="false">
      <c r="A217" s="1" t="str">
        <f aca="false">'Raw Data'!A216</f>
        <v>S00213</v>
      </c>
      <c r="B217" s="1" t="str">
        <f aca="false">'Raw Data'!B216</f>
        <v>P5442</v>
      </c>
      <c r="C217" s="1" t="str">
        <f aca="false">'Raw Data'!C216</f>
        <v>nicholas77</v>
      </c>
      <c r="D217" s="1" t="str">
        <f aca="false">'Raw Data'!D216</f>
        <v>SpeedX</v>
      </c>
      <c r="E217" s="1" t="str">
        <f aca="false">'Raw Data'!E216</f>
        <v>Mobile</v>
      </c>
      <c r="F217" s="1" t="str">
        <f aca="false">'Raw Data'!F216</f>
        <v>East</v>
      </c>
      <c r="G217" s="23" t="n">
        <f aca="false">'Raw Data'!G216</f>
        <v>45722</v>
      </c>
      <c r="H217" s="1" t="n">
        <f aca="false">'Raw Data'!H216</f>
        <v>56</v>
      </c>
      <c r="I217" s="24" t="n">
        <f aca="false">'Raw Data'!I216</f>
        <v>15.9</v>
      </c>
      <c r="J217" s="1" t="str">
        <f aca="false">IF('Raw Data'!J216="None","None",IF(ISBLANK('Raw Data'!J216),"None",'Raw Data'!J216))</f>
        <v>Boosters</v>
      </c>
      <c r="K217" s="1" t="str">
        <f aca="false">'Raw Data'!K216</f>
        <v>Exited Early</v>
      </c>
      <c r="L217" s="1" t="str">
        <f aca="false">'Raw Data'!L216</f>
        <v>Paid</v>
      </c>
      <c r="M217" s="1" t="n">
        <f aca="false">'Raw Data'!M216</f>
        <v>28</v>
      </c>
      <c r="N217" s="1" t="str">
        <f aca="false">'Raw Data'!N216</f>
        <v>No</v>
      </c>
    </row>
    <row r="218" customFormat="false" ht="15" hidden="false" customHeight="true" outlineLevel="0" collapsed="false">
      <c r="A218" s="1" t="str">
        <f aca="false">'Raw Data'!A217</f>
        <v>S00214</v>
      </c>
      <c r="B218" s="1" t="str">
        <f aca="false">'Raw Data'!B217</f>
        <v>P5369</v>
      </c>
      <c r="C218" s="1" t="str">
        <f aca="false">'Raw Data'!C217</f>
        <v>alexandermoore</v>
      </c>
      <c r="D218" s="1" t="str">
        <f aca="false">'Raw Data'!D217</f>
        <v>SpeedX</v>
      </c>
      <c r="E218" s="1" t="str">
        <f aca="false">'Raw Data'!E217</f>
        <v>Mobile</v>
      </c>
      <c r="F218" s="1" t="str">
        <f aca="false">'Raw Data'!F217</f>
        <v>West</v>
      </c>
      <c r="G218" s="23" t="n">
        <f aca="false">'Raw Data'!G217</f>
        <v>45817</v>
      </c>
      <c r="H218" s="1" t="n">
        <f aca="false">'Raw Data'!H217</f>
        <v>93</v>
      </c>
      <c r="I218" s="24" t="n">
        <f aca="false">'Raw Data'!I217</f>
        <v>0</v>
      </c>
      <c r="J218" s="1" t="str">
        <f aca="false">IF('Raw Data'!J217="None","None",IF(ISBLANK('Raw Data'!J217),"None",'Raw Data'!J217))</f>
        <v>None</v>
      </c>
      <c r="K218" s="1" t="str">
        <f aca="false">'Raw Data'!K217</f>
        <v>Completed</v>
      </c>
      <c r="L218" s="1" t="str">
        <f aca="false">'Raw Data'!L217</f>
        <v>Free</v>
      </c>
      <c r="M218" s="1" t="n">
        <f aca="false">'Raw Data'!M217</f>
        <v>21</v>
      </c>
      <c r="N218" s="1" t="str">
        <f aca="false">'Raw Data'!N217</f>
        <v>No</v>
      </c>
    </row>
    <row r="219" customFormat="false" ht="15" hidden="false" customHeight="true" outlineLevel="0" collapsed="false">
      <c r="A219" s="1" t="str">
        <f aca="false">'Raw Data'!A218</f>
        <v>S00215</v>
      </c>
      <c r="B219" s="1" t="str">
        <f aca="false">'Raw Data'!B218</f>
        <v>P2904</v>
      </c>
      <c r="C219" s="1" t="str">
        <f aca="false">'Raw Data'!C218</f>
        <v>william77</v>
      </c>
      <c r="D219" s="1" t="str">
        <f aca="false">'Raw Data'!D218</f>
        <v>Clash of Realms</v>
      </c>
      <c r="E219" s="1" t="str">
        <f aca="false">'Raw Data'!E218</f>
        <v>PC</v>
      </c>
      <c r="F219" s="1" t="str">
        <f aca="false">'Raw Data'!F218</f>
        <v>Central</v>
      </c>
      <c r="G219" s="23" t="n">
        <f aca="false">'Raw Data'!G218</f>
        <v>45688</v>
      </c>
      <c r="H219" s="1" t="n">
        <f aca="false">'Raw Data'!H218</f>
        <v>147</v>
      </c>
      <c r="I219" s="24" t="n">
        <f aca="false">'Raw Data'!I218</f>
        <v>0</v>
      </c>
      <c r="J219" s="1" t="str">
        <f aca="false">IF('Raw Data'!J218="None","None",IF(ISBLANK('Raw Data'!J218),"None",'Raw Data'!J218))</f>
        <v>None</v>
      </c>
      <c r="K219" s="1" t="str">
        <f aca="false">'Raw Data'!K218</f>
        <v>Completed</v>
      </c>
      <c r="L219" s="1" t="str">
        <f aca="false">'Raw Data'!L218</f>
        <v>Free</v>
      </c>
      <c r="M219" s="1" t="n">
        <f aca="false">'Raw Data'!M218</f>
        <v>48</v>
      </c>
      <c r="N219" s="1" t="str">
        <f aca="false">'Raw Data'!N218</f>
        <v>No</v>
      </c>
    </row>
    <row r="220" customFormat="false" ht="15" hidden="false" customHeight="true" outlineLevel="0" collapsed="false">
      <c r="A220" s="1" t="str">
        <f aca="false">'Raw Data'!A219</f>
        <v>S00216</v>
      </c>
      <c r="B220" s="1" t="str">
        <f aca="false">'Raw Data'!B219</f>
        <v>P2461</v>
      </c>
      <c r="C220" s="1" t="str">
        <f aca="false">'Raw Data'!C219</f>
        <v>michelle54</v>
      </c>
      <c r="D220" s="1" t="str">
        <f aca="false">'Raw Data'!D219</f>
        <v>Zombie Rush</v>
      </c>
      <c r="E220" s="1" t="str">
        <f aca="false">'Raw Data'!E219</f>
        <v>Console</v>
      </c>
      <c r="F220" s="1" t="str">
        <f aca="false">'Raw Data'!F219</f>
        <v>West</v>
      </c>
      <c r="G220" s="23" t="n">
        <f aca="false">'Raw Data'!G219</f>
        <v>45688</v>
      </c>
      <c r="H220" s="1" t="n">
        <f aca="false">'Raw Data'!H219</f>
        <v>34</v>
      </c>
      <c r="I220" s="24" t="n">
        <f aca="false">'Raw Data'!I219</f>
        <v>0</v>
      </c>
      <c r="J220" s="1" t="str">
        <f aca="false">IF('Raw Data'!J219="None","None",IF(ISBLANK('Raw Data'!J219),"None",'Raw Data'!J219))</f>
        <v>None</v>
      </c>
      <c r="K220" s="1" t="str">
        <f aca="false">'Raw Data'!K219</f>
        <v>Completed</v>
      </c>
      <c r="L220" s="1" t="str">
        <f aca="false">'Raw Data'!L219</f>
        <v>Free</v>
      </c>
      <c r="M220" s="1" t="n">
        <f aca="false">'Raw Data'!M219</f>
        <v>50</v>
      </c>
      <c r="N220" s="1" t="str">
        <f aca="false">'Raw Data'!N219</f>
        <v>No</v>
      </c>
    </row>
    <row r="221" customFormat="false" ht="15" hidden="false" customHeight="true" outlineLevel="0" collapsed="false">
      <c r="A221" s="1" t="str">
        <f aca="false">'Raw Data'!A220</f>
        <v>S00217</v>
      </c>
      <c r="B221" s="1" t="str">
        <f aca="false">'Raw Data'!B220</f>
        <v>P3087</v>
      </c>
      <c r="C221" s="1" t="str">
        <f aca="false">'Raw Data'!C220</f>
        <v>quinncaroline</v>
      </c>
      <c r="D221" s="1" t="str">
        <f aca="false">'Raw Data'!D220</f>
        <v>SpeedX</v>
      </c>
      <c r="E221" s="1" t="str">
        <f aca="false">'Raw Data'!E220</f>
        <v>Console</v>
      </c>
      <c r="F221" s="1" t="str">
        <f aca="false">'Raw Data'!F220</f>
        <v>North-East</v>
      </c>
      <c r="G221" s="23" t="n">
        <f aca="false">'Raw Data'!G220</f>
        <v>45764</v>
      </c>
      <c r="H221" s="1" t="n">
        <f aca="false">'Raw Data'!H220</f>
        <v>51</v>
      </c>
      <c r="I221" s="24" t="n">
        <f aca="false">'Raw Data'!I220</f>
        <v>0</v>
      </c>
      <c r="J221" s="1" t="str">
        <f aca="false">IF('Raw Data'!J220="None","None",IF(ISBLANK('Raw Data'!J220),"None",'Raw Data'!J220))</f>
        <v>None</v>
      </c>
      <c r="K221" s="1" t="str">
        <f aca="false">'Raw Data'!K220</f>
        <v>Crashed</v>
      </c>
      <c r="L221" s="1" t="str">
        <f aca="false">'Raw Data'!L220</f>
        <v>Free</v>
      </c>
      <c r="M221" s="1" t="n">
        <f aca="false">'Raw Data'!M220</f>
        <v>2</v>
      </c>
      <c r="N221" s="1" t="str">
        <f aca="false">'Raw Data'!N220</f>
        <v>No</v>
      </c>
    </row>
    <row r="222" customFormat="false" ht="15" hidden="false" customHeight="true" outlineLevel="0" collapsed="false">
      <c r="A222" s="1" t="str">
        <f aca="false">'Raw Data'!A221</f>
        <v>S00218</v>
      </c>
      <c r="B222" s="1" t="str">
        <f aca="false">'Raw Data'!B221</f>
        <v>P1617</v>
      </c>
      <c r="C222" s="1" t="str">
        <f aca="false">'Raw Data'!C221</f>
        <v>hlucas</v>
      </c>
      <c r="D222" s="1" t="str">
        <f aca="false">'Raw Data'!D221</f>
        <v>Clash of Realms</v>
      </c>
      <c r="E222" s="1" t="str">
        <f aca="false">'Raw Data'!E221</f>
        <v>Console</v>
      </c>
      <c r="F222" s="1" t="str">
        <f aca="false">'Raw Data'!F221</f>
        <v>North</v>
      </c>
      <c r="G222" s="23" t="n">
        <f aca="false">'Raw Data'!G221</f>
        <v>45811</v>
      </c>
      <c r="H222" s="1" t="n">
        <f aca="false">'Raw Data'!H221</f>
        <v>44</v>
      </c>
      <c r="I222" s="24" t="n">
        <f aca="false">'Raw Data'!I221</f>
        <v>0</v>
      </c>
      <c r="J222" s="1" t="str">
        <f aca="false">IF('Raw Data'!J221="None","None",IF(ISBLANK('Raw Data'!J221),"None",'Raw Data'!J221))</f>
        <v>None</v>
      </c>
      <c r="K222" s="1" t="str">
        <f aca="false">'Raw Data'!K221</f>
        <v>Incomplete</v>
      </c>
      <c r="L222" s="1" t="str">
        <f aca="false">'Raw Data'!L221</f>
        <v>Free</v>
      </c>
      <c r="M222" s="1" t="n">
        <f aca="false">'Raw Data'!M221</f>
        <v>27</v>
      </c>
      <c r="N222" s="1" t="str">
        <f aca="false">'Raw Data'!N221</f>
        <v>No</v>
      </c>
    </row>
    <row r="223" customFormat="false" ht="15" hidden="false" customHeight="true" outlineLevel="0" collapsed="false">
      <c r="A223" s="1" t="str">
        <f aca="false">'Raw Data'!A222</f>
        <v>S00219</v>
      </c>
      <c r="B223" s="1" t="str">
        <f aca="false">'Raw Data'!B222</f>
        <v>P3673</v>
      </c>
      <c r="C223" s="1" t="str">
        <f aca="false">'Raw Data'!C222</f>
        <v>davisdevin</v>
      </c>
      <c r="D223" s="1" t="str">
        <f aca="false">'Raw Data'!D222</f>
        <v>BattleZone</v>
      </c>
      <c r="E223" s="1" t="str">
        <f aca="false">'Raw Data'!E222</f>
        <v>Mobile</v>
      </c>
      <c r="F223" s="1" t="str">
        <f aca="false">'Raw Data'!F222</f>
        <v>West</v>
      </c>
      <c r="G223" s="23" t="n">
        <f aca="false">'Raw Data'!G222</f>
        <v>45642</v>
      </c>
      <c r="H223" s="1" t="n">
        <f aca="false">'Raw Data'!H222</f>
        <v>114</v>
      </c>
      <c r="I223" s="24" t="n">
        <f aca="false">'Raw Data'!I222</f>
        <v>5.31</v>
      </c>
      <c r="J223" s="1" t="str">
        <f aca="false">IF('Raw Data'!J222="None","None",IF(ISBLANK('Raw Data'!J222),"None",'Raw Data'!J222))</f>
        <v>Boosters</v>
      </c>
      <c r="K223" s="1" t="str">
        <f aca="false">'Raw Data'!K222</f>
        <v>Completed</v>
      </c>
      <c r="L223" s="1" t="str">
        <f aca="false">'Raw Data'!L222</f>
        <v>Paid</v>
      </c>
      <c r="M223" s="1" t="n">
        <f aca="false">'Raw Data'!M222</f>
        <v>9</v>
      </c>
      <c r="N223" s="1" t="str">
        <f aca="false">'Raw Data'!N222</f>
        <v>No</v>
      </c>
    </row>
    <row r="224" customFormat="false" ht="15" hidden="false" customHeight="true" outlineLevel="0" collapsed="false">
      <c r="A224" s="1" t="str">
        <f aca="false">'Raw Data'!A223</f>
        <v>S00220</v>
      </c>
      <c r="B224" s="1" t="str">
        <f aca="false">'Raw Data'!B223</f>
        <v>P7757</v>
      </c>
      <c r="C224" s="1" t="str">
        <f aca="false">'Raw Data'!C223</f>
        <v>tonyachristensen</v>
      </c>
      <c r="D224" s="1" t="str">
        <f aca="false">'Raw Data'!D223</f>
        <v>Empire Wars</v>
      </c>
      <c r="E224" s="1" t="str">
        <f aca="false">'Raw Data'!E223</f>
        <v>Console</v>
      </c>
      <c r="F224" s="1" t="str">
        <f aca="false">'Raw Data'!F223</f>
        <v>Central</v>
      </c>
      <c r="G224" s="23" t="n">
        <f aca="false">'Raw Data'!G223</f>
        <v>45720</v>
      </c>
      <c r="H224" s="1" t="n">
        <f aca="false">'Raw Data'!H223</f>
        <v>154</v>
      </c>
      <c r="I224" s="24" t="n">
        <f aca="false">'Raw Data'!I223</f>
        <v>0</v>
      </c>
      <c r="J224" s="1" t="str">
        <f aca="false">IF('Raw Data'!J223="None","None",IF(ISBLANK('Raw Data'!J223),"None",'Raw Data'!J223))</f>
        <v>None</v>
      </c>
      <c r="K224" s="1" t="str">
        <f aca="false">'Raw Data'!K223</f>
        <v>Completed</v>
      </c>
      <c r="L224" s="1" t="str">
        <f aca="false">'Raw Data'!L223</f>
        <v>Free</v>
      </c>
      <c r="M224" s="1" t="n">
        <f aca="false">'Raw Data'!M223</f>
        <v>26</v>
      </c>
      <c r="N224" s="1" t="str">
        <f aca="false">'Raw Data'!N223</f>
        <v>Yes</v>
      </c>
    </row>
    <row r="225" customFormat="false" ht="15" hidden="false" customHeight="true" outlineLevel="0" collapsed="false">
      <c r="A225" s="1" t="str">
        <f aca="false">'Raw Data'!A224</f>
        <v>S00221</v>
      </c>
      <c r="B225" s="1" t="str">
        <f aca="false">'Raw Data'!B224</f>
        <v>P1073</v>
      </c>
      <c r="C225" s="1" t="str">
        <f aca="false">'Raw Data'!C224</f>
        <v>shawna86</v>
      </c>
      <c r="D225" s="1" t="str">
        <f aca="false">'Raw Data'!D224</f>
        <v>Clash of Realms</v>
      </c>
      <c r="E225" s="1" t="str">
        <f aca="false">'Raw Data'!E224</f>
        <v>PC</v>
      </c>
      <c r="F225" s="1" t="str">
        <f aca="false">'Raw Data'!F224</f>
        <v>Central</v>
      </c>
      <c r="G225" s="23" t="n">
        <f aca="false">'Raw Data'!G224</f>
        <v>45775</v>
      </c>
      <c r="H225" s="1" t="n">
        <f aca="false">'Raw Data'!H224</f>
        <v>105</v>
      </c>
      <c r="I225" s="24" t="n">
        <f aca="false">'Raw Data'!I224</f>
        <v>0</v>
      </c>
      <c r="J225" s="1" t="str">
        <f aca="false">IF('Raw Data'!J224="None","None",IF(ISBLANK('Raw Data'!J224),"None",'Raw Data'!J224))</f>
        <v>None</v>
      </c>
      <c r="K225" s="1" t="str">
        <f aca="false">'Raw Data'!K224</f>
        <v>Completed</v>
      </c>
      <c r="L225" s="1" t="str">
        <f aca="false">'Raw Data'!L224</f>
        <v>Free</v>
      </c>
      <c r="M225" s="1" t="n">
        <f aca="false">'Raw Data'!M224</f>
        <v>38</v>
      </c>
      <c r="N225" s="1" t="str">
        <f aca="false">'Raw Data'!N224</f>
        <v>No</v>
      </c>
    </row>
    <row r="226" customFormat="false" ht="15" hidden="false" customHeight="true" outlineLevel="0" collapsed="false">
      <c r="A226" s="1" t="str">
        <f aca="false">'Raw Data'!A225</f>
        <v>S00222</v>
      </c>
      <c r="B226" s="1" t="str">
        <f aca="false">'Raw Data'!B225</f>
        <v>P9392</v>
      </c>
      <c r="C226" s="1" t="str">
        <f aca="false">'Raw Data'!C225</f>
        <v>scott81</v>
      </c>
      <c r="D226" s="1" t="str">
        <f aca="false">'Raw Data'!D225</f>
        <v>SpeedX</v>
      </c>
      <c r="E226" s="1" t="str">
        <f aca="false">'Raw Data'!E225</f>
        <v>PC</v>
      </c>
      <c r="F226" s="1" t="str">
        <f aca="false">'Raw Data'!F225</f>
        <v>East</v>
      </c>
      <c r="G226" s="23" t="n">
        <f aca="false">'Raw Data'!G225</f>
        <v>45683</v>
      </c>
      <c r="H226" s="1" t="n">
        <f aca="false">'Raw Data'!H225</f>
        <v>80</v>
      </c>
      <c r="I226" s="24" t="n">
        <f aca="false">'Raw Data'!I225</f>
        <v>0</v>
      </c>
      <c r="J226" s="1" t="str">
        <f aca="false">IF('Raw Data'!J225="None","None",IF(ISBLANK('Raw Data'!J225),"None",'Raw Data'!J225))</f>
        <v>None</v>
      </c>
      <c r="K226" s="1" t="str">
        <f aca="false">'Raw Data'!K225</f>
        <v>Exited Early</v>
      </c>
      <c r="L226" s="1" t="str">
        <f aca="false">'Raw Data'!L225</f>
        <v>Free</v>
      </c>
      <c r="M226" s="1" t="n">
        <f aca="false">'Raw Data'!M225</f>
        <v>39</v>
      </c>
      <c r="N226" s="1" t="str">
        <f aca="false">'Raw Data'!N225</f>
        <v>No</v>
      </c>
    </row>
    <row r="227" customFormat="false" ht="15" hidden="false" customHeight="true" outlineLevel="0" collapsed="false">
      <c r="A227" s="1" t="str">
        <f aca="false">'Raw Data'!A226</f>
        <v>S00223</v>
      </c>
      <c r="B227" s="1" t="str">
        <f aca="false">'Raw Data'!B226</f>
        <v>P8292</v>
      </c>
      <c r="C227" s="1" t="str">
        <f aca="false">'Raw Data'!C226</f>
        <v>kellyrichardson</v>
      </c>
      <c r="D227" s="1" t="str">
        <f aca="false">'Raw Data'!D226</f>
        <v>SpeedX</v>
      </c>
      <c r="E227" s="1" t="str">
        <f aca="false">'Raw Data'!E226</f>
        <v>PC</v>
      </c>
      <c r="F227" s="1" t="str">
        <f aca="false">'Raw Data'!F226</f>
        <v>East</v>
      </c>
      <c r="G227" s="23" t="n">
        <f aca="false">'Raw Data'!G226</f>
        <v>45756</v>
      </c>
      <c r="H227" s="1" t="n">
        <f aca="false">'Raw Data'!H226</f>
        <v>92</v>
      </c>
      <c r="I227" s="24" t="n">
        <f aca="false">'Raw Data'!I226</f>
        <v>0</v>
      </c>
      <c r="J227" s="1" t="str">
        <f aca="false">IF('Raw Data'!J226="None","None",IF(ISBLANK('Raw Data'!J226),"None",'Raw Data'!J226))</f>
        <v>None</v>
      </c>
      <c r="K227" s="1" t="str">
        <f aca="false">'Raw Data'!K226</f>
        <v>Completed</v>
      </c>
      <c r="L227" s="1" t="str">
        <f aca="false">'Raw Data'!L226</f>
        <v>Free</v>
      </c>
      <c r="M227" s="1" t="n">
        <f aca="false">'Raw Data'!M226</f>
        <v>11</v>
      </c>
      <c r="N227" s="1" t="str">
        <f aca="false">'Raw Data'!N226</f>
        <v>No</v>
      </c>
    </row>
    <row r="228" customFormat="false" ht="15" hidden="false" customHeight="true" outlineLevel="0" collapsed="false">
      <c r="A228" s="1" t="str">
        <f aca="false">'Raw Data'!A227</f>
        <v>S00224</v>
      </c>
      <c r="B228" s="1" t="str">
        <f aca="false">'Raw Data'!B227</f>
        <v>P4744</v>
      </c>
      <c r="C228" s="1" t="str">
        <f aca="false">'Raw Data'!C227</f>
        <v>jeansmall</v>
      </c>
      <c r="D228" s="1" t="str">
        <f aca="false">'Raw Data'!D227</f>
        <v>Clash of Realms</v>
      </c>
      <c r="E228" s="1" t="str">
        <f aca="false">'Raw Data'!E227</f>
        <v>Mobile</v>
      </c>
      <c r="F228" s="1" t="str">
        <f aca="false">'Raw Data'!F227</f>
        <v>Central</v>
      </c>
      <c r="G228" s="23" t="n">
        <f aca="false">'Raw Data'!G227</f>
        <v>45683</v>
      </c>
      <c r="H228" s="1" t="n">
        <f aca="false">'Raw Data'!H227</f>
        <v>113</v>
      </c>
      <c r="I228" s="24" t="n">
        <f aca="false">'Raw Data'!I227</f>
        <v>0</v>
      </c>
      <c r="J228" s="1" t="str">
        <f aca="false">IF('Raw Data'!J227="None","None",IF(ISBLANK('Raw Data'!J227),"None",'Raw Data'!J227))</f>
        <v>None</v>
      </c>
      <c r="K228" s="1" t="str">
        <f aca="false">'Raw Data'!K227</f>
        <v>Completed</v>
      </c>
      <c r="L228" s="1" t="str">
        <f aca="false">'Raw Data'!L227</f>
        <v>Free</v>
      </c>
      <c r="M228" s="1" t="n">
        <f aca="false">'Raw Data'!M227</f>
        <v>46</v>
      </c>
      <c r="N228" s="1" t="str">
        <f aca="false">'Raw Data'!N227</f>
        <v>No</v>
      </c>
    </row>
    <row r="229" customFormat="false" ht="15" hidden="false" customHeight="true" outlineLevel="0" collapsed="false">
      <c r="A229" s="1" t="str">
        <f aca="false">'Raw Data'!A228</f>
        <v>S00225</v>
      </c>
      <c r="B229" s="1" t="str">
        <f aca="false">'Raw Data'!B228</f>
        <v>P1940</v>
      </c>
      <c r="C229" s="1" t="str">
        <f aca="false">'Raw Data'!C228</f>
        <v>richard18</v>
      </c>
      <c r="D229" s="1" t="str">
        <f aca="false">'Raw Data'!D228</f>
        <v>SpeedX</v>
      </c>
      <c r="E229" s="1" t="str">
        <f aca="false">'Raw Data'!E228</f>
        <v>Mobile</v>
      </c>
      <c r="F229" s="1" t="str">
        <f aca="false">'Raw Data'!F228</f>
        <v>East</v>
      </c>
      <c r="G229" s="23" t="n">
        <f aca="false">'Raw Data'!G228</f>
        <v>45663</v>
      </c>
      <c r="H229" s="1" t="n">
        <f aca="false">'Raw Data'!H228</f>
        <v>117</v>
      </c>
      <c r="I229" s="24" t="n">
        <f aca="false">'Raw Data'!I228</f>
        <v>23.32</v>
      </c>
      <c r="J229" s="1" t="str">
        <f aca="false">IF('Raw Data'!J228="None","None",IF(ISBLANK('Raw Data'!J228),"None",'Raw Data'!J228))</f>
        <v>Boosters</v>
      </c>
      <c r="K229" s="1" t="str">
        <f aca="false">'Raw Data'!K228</f>
        <v>Completed</v>
      </c>
      <c r="L229" s="1" t="str">
        <f aca="false">'Raw Data'!L228</f>
        <v>Paid</v>
      </c>
      <c r="M229" s="1" t="n">
        <f aca="false">'Raw Data'!M228</f>
        <v>11</v>
      </c>
      <c r="N229" s="1" t="str">
        <f aca="false">'Raw Data'!N228</f>
        <v>No</v>
      </c>
    </row>
    <row r="230" customFormat="false" ht="15" hidden="false" customHeight="true" outlineLevel="0" collapsed="false">
      <c r="A230" s="1" t="str">
        <f aca="false">'Raw Data'!A229</f>
        <v>S00226</v>
      </c>
      <c r="B230" s="1" t="str">
        <f aca="false">'Raw Data'!B229</f>
        <v>P7147</v>
      </c>
      <c r="C230" s="1" t="str">
        <f aca="false">'Raw Data'!C229</f>
        <v>jayroberts</v>
      </c>
      <c r="D230" s="1" t="str">
        <f aca="false">'Raw Data'!D229</f>
        <v>BattleZone</v>
      </c>
      <c r="E230" s="1" t="str">
        <f aca="false">'Raw Data'!E229</f>
        <v>Console</v>
      </c>
      <c r="F230" s="1" t="str">
        <f aca="false">'Raw Data'!F229</f>
        <v>West</v>
      </c>
      <c r="G230" s="23" t="n">
        <f aca="false">'Raw Data'!G229</f>
        <v>45688</v>
      </c>
      <c r="H230" s="1" t="n">
        <f aca="false">'Raw Data'!H229</f>
        <v>71</v>
      </c>
      <c r="I230" s="24" t="n">
        <f aca="false">'Raw Data'!I229</f>
        <v>0</v>
      </c>
      <c r="J230" s="1" t="str">
        <f aca="false">IF('Raw Data'!J229="None","None",IF(ISBLANK('Raw Data'!J229),"None",'Raw Data'!J229))</f>
        <v>None</v>
      </c>
      <c r="K230" s="1" t="str">
        <f aca="false">'Raw Data'!K229</f>
        <v>Completed</v>
      </c>
      <c r="L230" s="1" t="str">
        <f aca="false">'Raw Data'!L229</f>
        <v>Free</v>
      </c>
      <c r="M230" s="1" t="n">
        <f aca="false">'Raw Data'!M229</f>
        <v>37</v>
      </c>
      <c r="N230" s="1" t="str">
        <f aca="false">'Raw Data'!N229</f>
        <v>No</v>
      </c>
    </row>
    <row r="231" customFormat="false" ht="15" hidden="false" customHeight="true" outlineLevel="0" collapsed="false">
      <c r="A231" s="1" t="str">
        <f aca="false">'Raw Data'!A230</f>
        <v>S00227</v>
      </c>
      <c r="B231" s="1" t="str">
        <f aca="false">'Raw Data'!B230</f>
        <v>P9650</v>
      </c>
      <c r="C231" s="1" t="str">
        <f aca="false">'Raw Data'!C230</f>
        <v>lpowers</v>
      </c>
      <c r="D231" s="1" t="str">
        <f aca="false">'Raw Data'!D230</f>
        <v>Empire Wars</v>
      </c>
      <c r="E231" s="1" t="str">
        <f aca="false">'Raw Data'!E230</f>
        <v>Mobile</v>
      </c>
      <c r="F231" s="1" t="str">
        <f aca="false">'Raw Data'!F230</f>
        <v>South</v>
      </c>
      <c r="G231" s="23" t="n">
        <f aca="false">'Raw Data'!G230</f>
        <v>45680</v>
      </c>
      <c r="H231" s="1" t="n">
        <f aca="false">'Raw Data'!H230</f>
        <v>132</v>
      </c>
      <c r="I231" s="24" t="n">
        <f aca="false">'Raw Data'!I230</f>
        <v>0</v>
      </c>
      <c r="J231" s="1" t="str">
        <f aca="false">IF('Raw Data'!J230="None","None",IF(ISBLANK('Raw Data'!J230),"None",'Raw Data'!J230))</f>
        <v>None</v>
      </c>
      <c r="K231" s="1" t="str">
        <f aca="false">'Raw Data'!K230</f>
        <v>Completed</v>
      </c>
      <c r="L231" s="1" t="str">
        <f aca="false">'Raw Data'!L230</f>
        <v>Paid</v>
      </c>
      <c r="M231" s="1" t="n">
        <f aca="false">'Raw Data'!M230</f>
        <v>50</v>
      </c>
      <c r="N231" s="1" t="str">
        <f aca="false">'Raw Data'!N230</f>
        <v>No</v>
      </c>
    </row>
    <row r="232" customFormat="false" ht="15" hidden="false" customHeight="true" outlineLevel="0" collapsed="false">
      <c r="A232" s="1" t="str">
        <f aca="false">'Raw Data'!A231</f>
        <v>S00228</v>
      </c>
      <c r="B232" s="1" t="str">
        <f aca="false">'Raw Data'!B231</f>
        <v>P4765</v>
      </c>
      <c r="C232" s="1" t="str">
        <f aca="false">'Raw Data'!C231</f>
        <v>thomas60</v>
      </c>
      <c r="D232" s="1" t="str">
        <f aca="false">'Raw Data'!D231</f>
        <v>BattleZone</v>
      </c>
      <c r="E232" s="1" t="str">
        <f aca="false">'Raw Data'!E231</f>
        <v>Mobile</v>
      </c>
      <c r="F232" s="1" t="str">
        <f aca="false">'Raw Data'!F231</f>
        <v>South</v>
      </c>
      <c r="G232" s="23" t="n">
        <f aca="false">'Raw Data'!G231</f>
        <v>45779</v>
      </c>
      <c r="H232" s="1" t="n">
        <f aca="false">'Raw Data'!H231</f>
        <v>30</v>
      </c>
      <c r="I232" s="24" t="n">
        <f aca="false">'Raw Data'!I231</f>
        <v>0</v>
      </c>
      <c r="J232" s="1" t="str">
        <f aca="false">IF('Raw Data'!J231="None","None",IF(ISBLANK('Raw Data'!J231),"None",'Raw Data'!J231))</f>
        <v>None</v>
      </c>
      <c r="K232" s="1" t="str">
        <f aca="false">'Raw Data'!K231</f>
        <v>Completed</v>
      </c>
      <c r="L232" s="1" t="str">
        <f aca="false">'Raw Data'!L231</f>
        <v>Free</v>
      </c>
      <c r="M232" s="1" t="n">
        <f aca="false">'Raw Data'!M231</f>
        <v>20</v>
      </c>
      <c r="N232" s="1" t="str">
        <f aca="false">'Raw Data'!N231</f>
        <v>No</v>
      </c>
    </row>
    <row r="233" customFormat="false" ht="15" hidden="false" customHeight="true" outlineLevel="0" collapsed="false">
      <c r="A233" s="1" t="str">
        <f aca="false">'Raw Data'!A232</f>
        <v>S00229</v>
      </c>
      <c r="B233" s="1" t="str">
        <f aca="false">'Raw Data'!B232</f>
        <v>P1732</v>
      </c>
      <c r="C233" s="1" t="str">
        <f aca="false">'Raw Data'!C232</f>
        <v>zjames</v>
      </c>
      <c r="D233" s="1" t="str">
        <f aca="false">'Raw Data'!D232</f>
        <v>Empire Wars</v>
      </c>
      <c r="E233" s="1" t="str">
        <f aca="false">'Raw Data'!E232</f>
        <v>Console</v>
      </c>
      <c r="F233" s="1" t="str">
        <f aca="false">'Raw Data'!F232</f>
        <v>Central</v>
      </c>
      <c r="G233" s="23" t="n">
        <f aca="false">'Raw Data'!G232</f>
        <v>45804</v>
      </c>
      <c r="H233" s="1" t="n">
        <f aca="false">'Raw Data'!H232</f>
        <v>48</v>
      </c>
      <c r="I233" s="24" t="n">
        <f aca="false">'Raw Data'!I232</f>
        <v>0</v>
      </c>
      <c r="J233" s="1" t="str">
        <f aca="false">IF('Raw Data'!J232="None","None",IF(ISBLANK('Raw Data'!J232),"None",'Raw Data'!J232))</f>
        <v>None</v>
      </c>
      <c r="K233" s="1" t="str">
        <f aca="false">'Raw Data'!K232</f>
        <v>Exited Early</v>
      </c>
      <c r="L233" s="1" t="str">
        <f aca="false">'Raw Data'!L232</f>
        <v>Free</v>
      </c>
      <c r="M233" s="1" t="n">
        <f aca="false">'Raw Data'!M232</f>
        <v>36</v>
      </c>
      <c r="N233" s="1" t="str">
        <f aca="false">'Raw Data'!N232</f>
        <v>No</v>
      </c>
    </row>
    <row r="234" customFormat="false" ht="15" hidden="false" customHeight="true" outlineLevel="0" collapsed="false">
      <c r="A234" s="1" t="str">
        <f aca="false">'Raw Data'!A233</f>
        <v>S00230</v>
      </c>
      <c r="B234" s="1" t="str">
        <f aca="false">'Raw Data'!B233</f>
        <v>P7236</v>
      </c>
      <c r="C234" s="1" t="str">
        <f aca="false">'Raw Data'!C233</f>
        <v>zhopkins</v>
      </c>
      <c r="D234" s="1" t="str">
        <f aca="false">'Raw Data'!D233</f>
        <v>SpeedX</v>
      </c>
      <c r="E234" s="1" t="str">
        <f aca="false">'Raw Data'!E233</f>
        <v>PC</v>
      </c>
      <c r="F234" s="1" t="str">
        <f aca="false">'Raw Data'!F233</f>
        <v>Central</v>
      </c>
      <c r="G234" s="23" t="n">
        <f aca="false">'Raw Data'!G233</f>
        <v>45795</v>
      </c>
      <c r="H234" s="1" t="n">
        <f aca="false">'Raw Data'!H233</f>
        <v>98</v>
      </c>
      <c r="I234" s="24" t="n">
        <f aca="false">'Raw Data'!I233</f>
        <v>27.66</v>
      </c>
      <c r="J234" s="1" t="str">
        <f aca="false">IF('Raw Data'!J233="None","None",IF(ISBLANK('Raw Data'!J233),"None",'Raw Data'!J233))</f>
        <v>Boosters</v>
      </c>
      <c r="K234" s="1" t="str">
        <f aca="false">'Raw Data'!K233</f>
        <v>Completed</v>
      </c>
      <c r="L234" s="1" t="str">
        <f aca="false">'Raw Data'!L233</f>
        <v>Paid</v>
      </c>
      <c r="M234" s="1" t="n">
        <f aca="false">'Raw Data'!M233</f>
        <v>27</v>
      </c>
      <c r="N234" s="1" t="str">
        <f aca="false">'Raw Data'!N233</f>
        <v>No</v>
      </c>
    </row>
    <row r="235" customFormat="false" ht="15" hidden="false" customHeight="true" outlineLevel="0" collapsed="false">
      <c r="A235" s="1" t="str">
        <f aca="false">'Raw Data'!A234</f>
        <v>S00231</v>
      </c>
      <c r="B235" s="1" t="str">
        <f aca="false">'Raw Data'!B234</f>
        <v>P9363</v>
      </c>
      <c r="C235" s="1" t="str">
        <f aca="false">'Raw Data'!C234</f>
        <v>melissa94</v>
      </c>
      <c r="D235" s="1" t="str">
        <f aca="false">'Raw Data'!D234</f>
        <v>Zombie Rush</v>
      </c>
      <c r="E235" s="1" t="str">
        <f aca="false">'Raw Data'!E234</f>
        <v>Mobile</v>
      </c>
      <c r="F235" s="1" t="str">
        <f aca="false">'Raw Data'!F234</f>
        <v>North</v>
      </c>
      <c r="G235" s="23" t="n">
        <f aca="false">'Raw Data'!G234</f>
        <v>45693</v>
      </c>
      <c r="H235" s="1" t="n">
        <f aca="false">'Raw Data'!H234</f>
        <v>23</v>
      </c>
      <c r="I235" s="24" t="n">
        <f aca="false">'Raw Data'!I234</f>
        <v>24.09</v>
      </c>
      <c r="J235" s="1" t="str">
        <f aca="false">IF('Raw Data'!J234="None","None",IF(ISBLANK('Raw Data'!J234),"None",'Raw Data'!J234))</f>
        <v>Skins</v>
      </c>
      <c r="K235" s="1" t="str">
        <f aca="false">'Raw Data'!K234</f>
        <v>Incomplete</v>
      </c>
      <c r="L235" s="1" t="str">
        <f aca="false">'Raw Data'!L234</f>
        <v>Paid</v>
      </c>
      <c r="M235" s="1" t="n">
        <f aca="false">'Raw Data'!M234</f>
        <v>23</v>
      </c>
      <c r="N235" s="1" t="str">
        <f aca="false">'Raw Data'!N234</f>
        <v>No</v>
      </c>
    </row>
    <row r="236" customFormat="false" ht="15" hidden="false" customHeight="true" outlineLevel="0" collapsed="false">
      <c r="A236" s="1" t="str">
        <f aca="false">'Raw Data'!A235</f>
        <v>S00232</v>
      </c>
      <c r="B236" s="1" t="str">
        <f aca="false">'Raw Data'!B235</f>
        <v>P8348</v>
      </c>
      <c r="C236" s="1" t="str">
        <f aca="false">'Raw Data'!C235</f>
        <v>pottsdavid</v>
      </c>
      <c r="D236" s="1" t="str">
        <f aca="false">'Raw Data'!D235</f>
        <v>Zombie Rush</v>
      </c>
      <c r="E236" s="1" t="str">
        <f aca="false">'Raw Data'!E235</f>
        <v>Console</v>
      </c>
      <c r="F236" s="1" t="str">
        <f aca="false">'Raw Data'!F235</f>
        <v>West</v>
      </c>
      <c r="G236" s="23" t="n">
        <f aca="false">'Raw Data'!G235</f>
        <v>45786</v>
      </c>
      <c r="H236" s="1" t="n">
        <f aca="false">'Raw Data'!H235</f>
        <v>146</v>
      </c>
      <c r="I236" s="24" t="n">
        <f aca="false">'Raw Data'!I235</f>
        <v>43.02</v>
      </c>
      <c r="J236" s="1" t="str">
        <f aca="false">IF('Raw Data'!J235="None","None",IF(ISBLANK('Raw Data'!J235),"None",'Raw Data'!J235))</f>
        <v>Skins</v>
      </c>
      <c r="K236" s="1" t="str">
        <f aca="false">'Raw Data'!K235</f>
        <v>Completed</v>
      </c>
      <c r="L236" s="1" t="str">
        <f aca="false">'Raw Data'!L235</f>
        <v>Paid</v>
      </c>
      <c r="M236" s="1" t="n">
        <f aca="false">'Raw Data'!M235</f>
        <v>24</v>
      </c>
      <c r="N236" s="1" t="str">
        <f aca="false">'Raw Data'!N235</f>
        <v>Yes</v>
      </c>
    </row>
    <row r="237" customFormat="false" ht="15" hidden="false" customHeight="true" outlineLevel="0" collapsed="false">
      <c r="A237" s="1" t="str">
        <f aca="false">'Raw Data'!A236</f>
        <v>S00233</v>
      </c>
      <c r="B237" s="1" t="str">
        <f aca="false">'Raw Data'!B236</f>
        <v>P8315</v>
      </c>
      <c r="C237" s="1" t="str">
        <f aca="false">'Raw Data'!C236</f>
        <v>zmartin</v>
      </c>
      <c r="D237" s="1" t="str">
        <f aca="false">'Raw Data'!D236</f>
        <v>SpeedX</v>
      </c>
      <c r="E237" s="1" t="str">
        <f aca="false">'Raw Data'!E236</f>
        <v>PC</v>
      </c>
      <c r="F237" s="1" t="str">
        <f aca="false">'Raw Data'!F236</f>
        <v>North-East</v>
      </c>
      <c r="G237" s="23" t="n">
        <f aca="false">'Raw Data'!G236</f>
        <v>45757</v>
      </c>
      <c r="H237" s="1" t="n">
        <f aca="false">'Raw Data'!H236</f>
        <v>55</v>
      </c>
      <c r="I237" s="24" t="n">
        <f aca="false">'Raw Data'!I236</f>
        <v>0</v>
      </c>
      <c r="J237" s="1" t="str">
        <f aca="false">IF('Raw Data'!J236="None","None",IF(ISBLANK('Raw Data'!J236),"None",'Raw Data'!J236))</f>
        <v>None</v>
      </c>
      <c r="K237" s="1" t="str">
        <f aca="false">'Raw Data'!K236</f>
        <v>Completed</v>
      </c>
      <c r="L237" s="1" t="str">
        <f aca="false">'Raw Data'!L236</f>
        <v>Free</v>
      </c>
      <c r="M237" s="1" t="n">
        <f aca="false">'Raw Data'!M236</f>
        <v>20</v>
      </c>
      <c r="N237" s="1" t="str">
        <f aca="false">'Raw Data'!N236</f>
        <v>No</v>
      </c>
    </row>
    <row r="238" customFormat="false" ht="15" hidden="false" customHeight="true" outlineLevel="0" collapsed="false">
      <c r="A238" s="1" t="str">
        <f aca="false">'Raw Data'!A237</f>
        <v>S00234</v>
      </c>
      <c r="B238" s="1" t="str">
        <f aca="false">'Raw Data'!B237</f>
        <v>P4086</v>
      </c>
      <c r="C238" s="1" t="str">
        <f aca="false">'Raw Data'!C237</f>
        <v>joseph76</v>
      </c>
      <c r="D238" s="1" t="str">
        <f aca="false">'Raw Data'!D237</f>
        <v>Zombie Rush</v>
      </c>
      <c r="E238" s="1" t="str">
        <f aca="false">'Raw Data'!E237</f>
        <v>Mobile</v>
      </c>
      <c r="F238" s="1" t="str">
        <f aca="false">'Raw Data'!F237</f>
        <v>North</v>
      </c>
      <c r="G238" s="23" t="n">
        <f aca="false">'Raw Data'!G237</f>
        <v>45652</v>
      </c>
      <c r="H238" s="1" t="n">
        <f aca="false">'Raw Data'!H237</f>
        <v>154</v>
      </c>
      <c r="I238" s="24" t="n">
        <f aca="false">'Raw Data'!I237</f>
        <v>0</v>
      </c>
      <c r="J238" s="1" t="str">
        <f aca="false">IF('Raw Data'!J237="None","None",IF(ISBLANK('Raw Data'!J237),"None",'Raw Data'!J237))</f>
        <v>None</v>
      </c>
      <c r="K238" s="1" t="str">
        <f aca="false">'Raw Data'!K237</f>
        <v>Completed</v>
      </c>
      <c r="L238" s="1" t="str">
        <f aca="false">'Raw Data'!L237</f>
        <v>Free</v>
      </c>
      <c r="M238" s="1" t="n">
        <f aca="false">'Raw Data'!M237</f>
        <v>22</v>
      </c>
      <c r="N238" s="1" t="str">
        <f aca="false">'Raw Data'!N237</f>
        <v>Yes</v>
      </c>
    </row>
    <row r="239" customFormat="false" ht="15" hidden="false" customHeight="true" outlineLevel="0" collapsed="false">
      <c r="A239" s="1" t="str">
        <f aca="false">'Raw Data'!A238</f>
        <v>S00235</v>
      </c>
      <c r="B239" s="1" t="str">
        <f aca="false">'Raw Data'!B238</f>
        <v>P5994</v>
      </c>
      <c r="C239" s="1" t="str">
        <f aca="false">'Raw Data'!C238</f>
        <v>deannanewman</v>
      </c>
      <c r="D239" s="1" t="str">
        <f aca="false">'Raw Data'!D238</f>
        <v>BattleZone</v>
      </c>
      <c r="E239" s="1" t="str">
        <f aca="false">'Raw Data'!E238</f>
        <v>PC</v>
      </c>
      <c r="F239" s="1" t="str">
        <f aca="false">'Raw Data'!F238</f>
        <v>West</v>
      </c>
      <c r="G239" s="23" t="n">
        <f aca="false">'Raw Data'!G238</f>
        <v>45764</v>
      </c>
      <c r="H239" s="1" t="n">
        <f aca="false">'Raw Data'!H238</f>
        <v>163</v>
      </c>
      <c r="I239" s="24" t="n">
        <f aca="false">'Raw Data'!I238</f>
        <v>0</v>
      </c>
      <c r="J239" s="1" t="str">
        <f aca="false">IF('Raw Data'!J238="None","None",IF(ISBLANK('Raw Data'!J238),"None",'Raw Data'!J238))</f>
        <v>None</v>
      </c>
      <c r="K239" s="1" t="str">
        <f aca="false">'Raw Data'!K238</f>
        <v>Completed</v>
      </c>
      <c r="L239" s="1" t="str">
        <f aca="false">'Raw Data'!L238</f>
        <v>Free</v>
      </c>
      <c r="M239" s="1" t="n">
        <f aca="false">'Raw Data'!M238</f>
        <v>46</v>
      </c>
      <c r="N239" s="1" t="str">
        <f aca="false">'Raw Data'!N238</f>
        <v>Yes</v>
      </c>
    </row>
    <row r="240" customFormat="false" ht="15" hidden="false" customHeight="true" outlineLevel="0" collapsed="false">
      <c r="A240" s="1" t="str">
        <f aca="false">'Raw Data'!A239</f>
        <v>S00236</v>
      </c>
      <c r="B240" s="1" t="str">
        <f aca="false">'Raw Data'!B239</f>
        <v>P5794</v>
      </c>
      <c r="C240" s="1" t="str">
        <f aca="false">'Raw Data'!C239</f>
        <v>rodriguezkathleen</v>
      </c>
      <c r="D240" s="1" t="str">
        <f aca="false">'Raw Data'!D239</f>
        <v>SpeedX</v>
      </c>
      <c r="E240" s="1" t="str">
        <f aca="false">'Raw Data'!E239</f>
        <v>PC</v>
      </c>
      <c r="F240" s="1" t="str">
        <f aca="false">'Raw Data'!F239</f>
        <v>North-East</v>
      </c>
      <c r="G240" s="23" t="n">
        <f aca="false">'Raw Data'!G239</f>
        <v>45759</v>
      </c>
      <c r="H240" s="1" t="n">
        <f aca="false">'Raw Data'!H239</f>
        <v>59</v>
      </c>
      <c r="I240" s="24" t="n">
        <f aca="false">'Raw Data'!I239</f>
        <v>0</v>
      </c>
      <c r="J240" s="1" t="str">
        <f aca="false">IF('Raw Data'!J239="None","None",IF(ISBLANK('Raw Data'!J239),"None",'Raw Data'!J239))</f>
        <v>None</v>
      </c>
      <c r="K240" s="1" t="str">
        <f aca="false">'Raw Data'!K239</f>
        <v>Crashed</v>
      </c>
      <c r="L240" s="1" t="str">
        <f aca="false">'Raw Data'!L239</f>
        <v>Free</v>
      </c>
      <c r="M240" s="1" t="n">
        <f aca="false">'Raw Data'!M239</f>
        <v>5</v>
      </c>
      <c r="N240" s="1" t="str">
        <f aca="false">'Raw Data'!N239</f>
        <v>No</v>
      </c>
    </row>
    <row r="241" customFormat="false" ht="15" hidden="false" customHeight="true" outlineLevel="0" collapsed="false">
      <c r="A241" s="1" t="str">
        <f aca="false">'Raw Data'!A240</f>
        <v>S00237</v>
      </c>
      <c r="B241" s="1" t="str">
        <f aca="false">'Raw Data'!B240</f>
        <v>P4427</v>
      </c>
      <c r="C241" s="1" t="str">
        <f aca="false">'Raw Data'!C240</f>
        <v>nelsonbrandon</v>
      </c>
      <c r="D241" s="1" t="str">
        <f aca="false">'Raw Data'!D240</f>
        <v>SpeedX</v>
      </c>
      <c r="E241" s="1" t="str">
        <f aca="false">'Raw Data'!E240</f>
        <v>PC</v>
      </c>
      <c r="F241" s="1" t="str">
        <f aca="false">'Raw Data'!F240</f>
        <v>North-East</v>
      </c>
      <c r="G241" s="23" t="n">
        <f aca="false">'Raw Data'!G240</f>
        <v>45703</v>
      </c>
      <c r="H241" s="1" t="n">
        <f aca="false">'Raw Data'!H240</f>
        <v>26</v>
      </c>
      <c r="I241" s="24" t="n">
        <f aca="false">'Raw Data'!I240</f>
        <v>11.67</v>
      </c>
      <c r="J241" s="1" t="str">
        <f aca="false">IF('Raw Data'!J240="None","None",IF(ISBLANK('Raw Data'!J240),"None",'Raw Data'!J240))</f>
        <v>Boosters</v>
      </c>
      <c r="K241" s="1" t="str">
        <f aca="false">'Raw Data'!K240</f>
        <v>Completed</v>
      </c>
      <c r="L241" s="1" t="str">
        <f aca="false">'Raw Data'!L240</f>
        <v>Paid</v>
      </c>
      <c r="M241" s="1" t="n">
        <f aca="false">'Raw Data'!M240</f>
        <v>49</v>
      </c>
      <c r="N241" s="1" t="str">
        <f aca="false">'Raw Data'!N240</f>
        <v>No</v>
      </c>
    </row>
    <row r="242" customFormat="false" ht="15" hidden="false" customHeight="true" outlineLevel="0" collapsed="false">
      <c r="A242" s="1" t="str">
        <f aca="false">'Raw Data'!A241</f>
        <v>S00238</v>
      </c>
      <c r="B242" s="1" t="str">
        <f aca="false">'Raw Data'!B241</f>
        <v>P4599</v>
      </c>
      <c r="C242" s="1" t="str">
        <f aca="false">'Raw Data'!C241</f>
        <v>wrightjulia</v>
      </c>
      <c r="D242" s="1" t="str">
        <f aca="false">'Raw Data'!D241</f>
        <v>Clash of Realms</v>
      </c>
      <c r="E242" s="1" t="str">
        <f aca="false">'Raw Data'!E241</f>
        <v>Mobile</v>
      </c>
      <c r="F242" s="1" t="str">
        <f aca="false">'Raw Data'!F241</f>
        <v>North</v>
      </c>
      <c r="G242" s="23" t="n">
        <f aca="false">'Raw Data'!G241</f>
        <v>45715</v>
      </c>
      <c r="H242" s="1" t="n">
        <f aca="false">'Raw Data'!H241</f>
        <v>117</v>
      </c>
      <c r="I242" s="24" t="n">
        <f aca="false">'Raw Data'!I241</f>
        <v>0</v>
      </c>
      <c r="J242" s="1" t="str">
        <f aca="false">IF('Raw Data'!J241="None","None",IF(ISBLANK('Raw Data'!J241),"None",'Raw Data'!J241))</f>
        <v>None</v>
      </c>
      <c r="K242" s="1" t="str">
        <f aca="false">'Raw Data'!K241</f>
        <v>Exited Early</v>
      </c>
      <c r="L242" s="1" t="str">
        <f aca="false">'Raw Data'!L241</f>
        <v>Free</v>
      </c>
      <c r="M242" s="1" t="n">
        <f aca="false">'Raw Data'!M241</f>
        <v>21</v>
      </c>
      <c r="N242" s="1" t="str">
        <f aca="false">'Raw Data'!N241</f>
        <v>No</v>
      </c>
    </row>
    <row r="243" customFormat="false" ht="15" hidden="false" customHeight="true" outlineLevel="0" collapsed="false">
      <c r="A243" s="1" t="str">
        <f aca="false">'Raw Data'!A242</f>
        <v>S00239</v>
      </c>
      <c r="B243" s="1" t="str">
        <f aca="false">'Raw Data'!B242</f>
        <v>P3944</v>
      </c>
      <c r="C243" s="1" t="str">
        <f aca="false">'Raw Data'!C242</f>
        <v>zthomas</v>
      </c>
      <c r="D243" s="1" t="str">
        <f aca="false">'Raw Data'!D242</f>
        <v>SpeedX</v>
      </c>
      <c r="E243" s="1" t="str">
        <f aca="false">'Raw Data'!E242</f>
        <v>Mobile</v>
      </c>
      <c r="F243" s="1" t="str">
        <f aca="false">'Raw Data'!F242</f>
        <v>South</v>
      </c>
      <c r="G243" s="23" t="n">
        <f aca="false">'Raw Data'!G242</f>
        <v>45684</v>
      </c>
      <c r="H243" s="1" t="n">
        <f aca="false">'Raw Data'!H242</f>
        <v>112</v>
      </c>
      <c r="I243" s="24" t="n">
        <f aca="false">'Raw Data'!I242</f>
        <v>2.26</v>
      </c>
      <c r="J243" s="1" t="str">
        <f aca="false">IF('Raw Data'!J242="None","None",IF(ISBLANK('Raw Data'!J242),"None",'Raw Data'!J242))</f>
        <v>Subscriptions</v>
      </c>
      <c r="K243" s="1" t="str">
        <f aca="false">'Raw Data'!K242</f>
        <v>Completed</v>
      </c>
      <c r="L243" s="1" t="str">
        <f aca="false">'Raw Data'!L242</f>
        <v>Paid</v>
      </c>
      <c r="M243" s="1" t="n">
        <f aca="false">'Raw Data'!M242</f>
        <v>22</v>
      </c>
      <c r="N243" s="1" t="str">
        <f aca="false">'Raw Data'!N242</f>
        <v>No</v>
      </c>
    </row>
    <row r="244" customFormat="false" ht="15" hidden="false" customHeight="true" outlineLevel="0" collapsed="false">
      <c r="A244" s="1" t="str">
        <f aca="false">'Raw Data'!A243</f>
        <v>S00240</v>
      </c>
      <c r="B244" s="1" t="str">
        <f aca="false">'Raw Data'!B243</f>
        <v>P9467</v>
      </c>
      <c r="C244" s="1" t="str">
        <f aca="false">'Raw Data'!C243</f>
        <v>fmay</v>
      </c>
      <c r="D244" s="1" t="str">
        <f aca="false">'Raw Data'!D243</f>
        <v>SpeedX</v>
      </c>
      <c r="E244" s="1" t="str">
        <f aca="false">'Raw Data'!E243</f>
        <v>Console</v>
      </c>
      <c r="F244" s="1" t="str">
        <f aca="false">'Raw Data'!F243</f>
        <v>East</v>
      </c>
      <c r="G244" s="23" t="n">
        <f aca="false">'Raw Data'!G243</f>
        <v>45749</v>
      </c>
      <c r="H244" s="1" t="n">
        <f aca="false">'Raw Data'!H243</f>
        <v>116</v>
      </c>
      <c r="I244" s="24" t="n">
        <f aca="false">'Raw Data'!I243</f>
        <v>0</v>
      </c>
      <c r="J244" s="1" t="str">
        <f aca="false">IF('Raw Data'!J243="None","None",IF(ISBLANK('Raw Data'!J243),"None",'Raw Data'!J243))</f>
        <v>None</v>
      </c>
      <c r="K244" s="1" t="str">
        <f aca="false">'Raw Data'!K243</f>
        <v>Incomplete</v>
      </c>
      <c r="L244" s="1" t="str">
        <f aca="false">'Raw Data'!L243</f>
        <v>Paid</v>
      </c>
      <c r="M244" s="1" t="n">
        <f aca="false">'Raw Data'!M243</f>
        <v>11</v>
      </c>
      <c r="N244" s="1" t="str">
        <f aca="false">'Raw Data'!N243</f>
        <v>No</v>
      </c>
    </row>
    <row r="245" customFormat="false" ht="15" hidden="false" customHeight="true" outlineLevel="0" collapsed="false">
      <c r="A245" s="1" t="str">
        <f aca="false">'Raw Data'!A244</f>
        <v>S00241</v>
      </c>
      <c r="B245" s="1" t="str">
        <f aca="false">'Raw Data'!B244</f>
        <v>P9330</v>
      </c>
      <c r="C245" s="1" t="str">
        <f aca="false">'Raw Data'!C244</f>
        <v>susan69</v>
      </c>
      <c r="D245" s="1" t="str">
        <f aca="false">'Raw Data'!D244</f>
        <v>Clash of Realms</v>
      </c>
      <c r="E245" s="1" t="str">
        <f aca="false">'Raw Data'!E244</f>
        <v>Console</v>
      </c>
      <c r="F245" s="1" t="str">
        <f aca="false">'Raw Data'!F244</f>
        <v>South</v>
      </c>
      <c r="G245" s="23" t="n">
        <f aca="false">'Raw Data'!G244</f>
        <v>45764</v>
      </c>
      <c r="H245" s="1" t="n">
        <f aca="false">'Raw Data'!H244</f>
        <v>8</v>
      </c>
      <c r="I245" s="24" t="n">
        <f aca="false">'Raw Data'!I244</f>
        <v>36.39</v>
      </c>
      <c r="J245" s="1" t="str">
        <f aca="false">IF('Raw Data'!J244="None","None",IF(ISBLANK('Raw Data'!J244),"None",'Raw Data'!J244))</f>
        <v>Boosters</v>
      </c>
      <c r="K245" s="1" t="str">
        <f aca="false">'Raw Data'!K244</f>
        <v>Completed</v>
      </c>
      <c r="L245" s="1" t="str">
        <f aca="false">'Raw Data'!L244</f>
        <v>Paid</v>
      </c>
      <c r="M245" s="1" t="n">
        <f aca="false">'Raw Data'!M244</f>
        <v>22</v>
      </c>
      <c r="N245" s="1" t="str">
        <f aca="false">'Raw Data'!N244</f>
        <v>No</v>
      </c>
    </row>
    <row r="246" customFormat="false" ht="15" hidden="false" customHeight="true" outlineLevel="0" collapsed="false">
      <c r="A246" s="1" t="str">
        <f aca="false">'Raw Data'!A245</f>
        <v>S00242</v>
      </c>
      <c r="B246" s="1" t="str">
        <f aca="false">'Raw Data'!B245</f>
        <v>P7057</v>
      </c>
      <c r="C246" s="1" t="str">
        <f aca="false">'Raw Data'!C245</f>
        <v>anthony60</v>
      </c>
      <c r="D246" s="1" t="str">
        <f aca="false">'Raw Data'!D245</f>
        <v>Zombie Rush</v>
      </c>
      <c r="E246" s="1" t="str">
        <f aca="false">'Raw Data'!E245</f>
        <v>Console</v>
      </c>
      <c r="F246" s="1" t="str">
        <f aca="false">'Raw Data'!F245</f>
        <v>North-East</v>
      </c>
      <c r="G246" s="23" t="n">
        <f aca="false">'Raw Data'!G245</f>
        <v>45660</v>
      </c>
      <c r="H246" s="1" t="n">
        <f aca="false">'Raw Data'!H245</f>
        <v>115</v>
      </c>
      <c r="I246" s="24" t="n">
        <f aca="false">'Raw Data'!I245</f>
        <v>0</v>
      </c>
      <c r="J246" s="1" t="str">
        <f aca="false">IF('Raw Data'!J245="None","None",IF(ISBLANK('Raw Data'!J245),"None",'Raw Data'!J245))</f>
        <v>None</v>
      </c>
      <c r="K246" s="1" t="str">
        <f aca="false">'Raw Data'!K245</f>
        <v>Completed</v>
      </c>
      <c r="L246" s="1" t="str">
        <f aca="false">'Raw Data'!L245</f>
        <v>Free</v>
      </c>
      <c r="M246" s="1" t="n">
        <f aca="false">'Raw Data'!M245</f>
        <v>18</v>
      </c>
      <c r="N246" s="1" t="str">
        <f aca="false">'Raw Data'!N245</f>
        <v>No</v>
      </c>
    </row>
    <row r="247" customFormat="false" ht="15" hidden="false" customHeight="true" outlineLevel="0" collapsed="false">
      <c r="A247" s="1" t="str">
        <f aca="false">'Raw Data'!A246</f>
        <v>S00243</v>
      </c>
      <c r="B247" s="1" t="str">
        <f aca="false">'Raw Data'!B246</f>
        <v>P5909</v>
      </c>
      <c r="C247" s="1" t="str">
        <f aca="false">'Raw Data'!C246</f>
        <v>mercedesyoung</v>
      </c>
      <c r="D247" s="1" t="str">
        <f aca="false">'Raw Data'!D246</f>
        <v>BattleZone</v>
      </c>
      <c r="E247" s="1" t="str">
        <f aca="false">'Raw Data'!E246</f>
        <v>Mobile</v>
      </c>
      <c r="F247" s="1" t="str">
        <f aca="false">'Raw Data'!F246</f>
        <v>North</v>
      </c>
      <c r="G247" s="23" t="n">
        <f aca="false">'Raw Data'!G246</f>
        <v>45803</v>
      </c>
      <c r="H247" s="1" t="n">
        <f aca="false">'Raw Data'!H246</f>
        <v>144</v>
      </c>
      <c r="I247" s="24" t="n">
        <f aca="false">'Raw Data'!I246</f>
        <v>0</v>
      </c>
      <c r="J247" s="1" t="str">
        <f aca="false">IF('Raw Data'!J246="None","None",IF(ISBLANK('Raw Data'!J246),"None",'Raw Data'!J246))</f>
        <v>None</v>
      </c>
      <c r="K247" s="1" t="str">
        <f aca="false">'Raw Data'!K246</f>
        <v>Exited Early</v>
      </c>
      <c r="L247" s="1" t="str">
        <f aca="false">'Raw Data'!L246</f>
        <v>Free</v>
      </c>
      <c r="M247" s="1" t="n">
        <f aca="false">'Raw Data'!M246</f>
        <v>18</v>
      </c>
      <c r="N247" s="1" t="str">
        <f aca="false">'Raw Data'!N246</f>
        <v>No</v>
      </c>
    </row>
    <row r="248" customFormat="false" ht="15" hidden="false" customHeight="true" outlineLevel="0" collapsed="false">
      <c r="A248" s="1" t="str">
        <f aca="false">'Raw Data'!A247</f>
        <v>S00244</v>
      </c>
      <c r="B248" s="1" t="str">
        <f aca="false">'Raw Data'!B247</f>
        <v>P8810</v>
      </c>
      <c r="C248" s="1" t="str">
        <f aca="false">'Raw Data'!C247</f>
        <v>tracy64</v>
      </c>
      <c r="D248" s="1" t="str">
        <f aca="false">'Raw Data'!D247</f>
        <v>Empire Wars</v>
      </c>
      <c r="E248" s="1" t="str">
        <f aca="false">'Raw Data'!E247</f>
        <v>Console</v>
      </c>
      <c r="F248" s="1" t="str">
        <f aca="false">'Raw Data'!F247</f>
        <v>North-East</v>
      </c>
      <c r="G248" s="23" t="n">
        <f aca="false">'Raw Data'!G247</f>
        <v>45749</v>
      </c>
      <c r="H248" s="1" t="n">
        <f aca="false">'Raw Data'!H247</f>
        <v>175</v>
      </c>
      <c r="I248" s="24" t="n">
        <f aca="false">'Raw Data'!I247</f>
        <v>7.47</v>
      </c>
      <c r="J248" s="1" t="str">
        <f aca="false">IF('Raw Data'!J247="None","None",IF(ISBLANK('Raw Data'!J247),"None",'Raw Data'!J247))</f>
        <v>Skins</v>
      </c>
      <c r="K248" s="1" t="str">
        <f aca="false">'Raw Data'!K247</f>
        <v>Completed</v>
      </c>
      <c r="L248" s="1" t="str">
        <f aca="false">'Raw Data'!L247</f>
        <v>Paid</v>
      </c>
      <c r="M248" s="1" t="n">
        <f aca="false">'Raw Data'!M247</f>
        <v>17</v>
      </c>
      <c r="N248" s="1" t="str">
        <f aca="false">'Raw Data'!N247</f>
        <v>Yes</v>
      </c>
    </row>
    <row r="249" customFormat="false" ht="15" hidden="false" customHeight="true" outlineLevel="0" collapsed="false">
      <c r="A249" s="1" t="str">
        <f aca="false">'Raw Data'!A248</f>
        <v>S00245</v>
      </c>
      <c r="B249" s="1" t="str">
        <f aca="false">'Raw Data'!B248</f>
        <v>P8881</v>
      </c>
      <c r="C249" s="1" t="str">
        <f aca="false">'Raw Data'!C248</f>
        <v>carpenterjohn</v>
      </c>
      <c r="D249" s="1" t="str">
        <f aca="false">'Raw Data'!D248</f>
        <v>SpeedX</v>
      </c>
      <c r="E249" s="1" t="str">
        <f aca="false">'Raw Data'!E248</f>
        <v>Mobile</v>
      </c>
      <c r="F249" s="1" t="str">
        <f aca="false">'Raw Data'!F248</f>
        <v>Central</v>
      </c>
      <c r="G249" s="23" t="n">
        <f aca="false">'Raw Data'!G248</f>
        <v>45675</v>
      </c>
      <c r="H249" s="1" t="n">
        <f aca="false">'Raw Data'!H248</f>
        <v>142</v>
      </c>
      <c r="I249" s="24" t="n">
        <f aca="false">'Raw Data'!I248</f>
        <v>0</v>
      </c>
      <c r="J249" s="1" t="str">
        <f aca="false">IF('Raw Data'!J248="None","None",IF(ISBLANK('Raw Data'!J248),"None",'Raw Data'!J248))</f>
        <v>None</v>
      </c>
      <c r="K249" s="1" t="str">
        <f aca="false">'Raw Data'!K248</f>
        <v>Completed</v>
      </c>
      <c r="L249" s="1" t="str">
        <f aca="false">'Raw Data'!L248</f>
        <v>Free</v>
      </c>
      <c r="M249" s="1" t="n">
        <f aca="false">'Raw Data'!M248</f>
        <v>11</v>
      </c>
      <c r="N249" s="1" t="str">
        <f aca="false">'Raw Data'!N248</f>
        <v>No</v>
      </c>
    </row>
    <row r="250" customFormat="false" ht="15" hidden="false" customHeight="true" outlineLevel="0" collapsed="false">
      <c r="A250" s="1" t="str">
        <f aca="false">'Raw Data'!A249</f>
        <v>S00246</v>
      </c>
      <c r="B250" s="1" t="str">
        <f aca="false">'Raw Data'!B249</f>
        <v>P4807</v>
      </c>
      <c r="C250" s="1" t="str">
        <f aca="false">'Raw Data'!C249</f>
        <v>alexwilson</v>
      </c>
      <c r="D250" s="1" t="str">
        <f aca="false">'Raw Data'!D249</f>
        <v>BattleZone</v>
      </c>
      <c r="E250" s="1" t="str">
        <f aca="false">'Raw Data'!E249</f>
        <v>Console</v>
      </c>
      <c r="F250" s="1" t="str">
        <f aca="false">'Raw Data'!F249</f>
        <v>Central</v>
      </c>
      <c r="G250" s="23" t="n">
        <f aca="false">'Raw Data'!G249</f>
        <v>45675</v>
      </c>
      <c r="H250" s="1" t="n">
        <f aca="false">'Raw Data'!H249</f>
        <v>154</v>
      </c>
      <c r="I250" s="24" t="n">
        <f aca="false">'Raw Data'!I249</f>
        <v>0</v>
      </c>
      <c r="J250" s="1" t="str">
        <f aca="false">IF('Raw Data'!J249="None","None",IF(ISBLANK('Raw Data'!J249),"None",'Raw Data'!J249))</f>
        <v>None</v>
      </c>
      <c r="K250" s="1" t="str">
        <f aca="false">'Raw Data'!K249</f>
        <v>Completed</v>
      </c>
      <c r="L250" s="1" t="str">
        <f aca="false">'Raw Data'!L249</f>
        <v>Free</v>
      </c>
      <c r="M250" s="1" t="n">
        <f aca="false">'Raw Data'!M249</f>
        <v>8</v>
      </c>
      <c r="N250" s="1" t="str">
        <f aca="false">'Raw Data'!N249</f>
        <v>Yes</v>
      </c>
    </row>
    <row r="251" customFormat="false" ht="15" hidden="false" customHeight="true" outlineLevel="0" collapsed="false">
      <c r="A251" s="1" t="str">
        <f aca="false">'Raw Data'!A250</f>
        <v>S00247</v>
      </c>
      <c r="B251" s="1" t="str">
        <f aca="false">'Raw Data'!B250</f>
        <v>P3394</v>
      </c>
      <c r="C251" s="1" t="str">
        <f aca="false">'Raw Data'!C250</f>
        <v>moyerdanny</v>
      </c>
      <c r="D251" s="1" t="str">
        <f aca="false">'Raw Data'!D250</f>
        <v>SpeedX</v>
      </c>
      <c r="E251" s="1" t="str">
        <f aca="false">'Raw Data'!E250</f>
        <v>Mobile</v>
      </c>
      <c r="F251" s="1" t="str">
        <f aca="false">'Raw Data'!F250</f>
        <v>West</v>
      </c>
      <c r="G251" s="23" t="n">
        <f aca="false">'Raw Data'!G250</f>
        <v>45680</v>
      </c>
      <c r="H251" s="1" t="n">
        <f aca="false">'Raw Data'!H250</f>
        <v>33</v>
      </c>
      <c r="I251" s="24" t="n">
        <f aca="false">'Raw Data'!I250</f>
        <v>0</v>
      </c>
      <c r="J251" s="1" t="str">
        <f aca="false">IF('Raw Data'!J250="None","None",IF(ISBLANK('Raw Data'!J250),"None",'Raw Data'!J250))</f>
        <v>None</v>
      </c>
      <c r="K251" s="1" t="str">
        <f aca="false">'Raw Data'!K250</f>
        <v>Completed</v>
      </c>
      <c r="L251" s="1" t="str">
        <f aca="false">'Raw Data'!L250</f>
        <v>Free</v>
      </c>
      <c r="M251" s="1" t="n">
        <f aca="false">'Raw Data'!M250</f>
        <v>9</v>
      </c>
      <c r="N251" s="1" t="str">
        <f aca="false">'Raw Data'!N250</f>
        <v>No</v>
      </c>
    </row>
    <row r="252" customFormat="false" ht="15" hidden="false" customHeight="true" outlineLevel="0" collapsed="false">
      <c r="A252" s="1" t="str">
        <f aca="false">'Raw Data'!A251</f>
        <v>S00248</v>
      </c>
      <c r="B252" s="1" t="str">
        <f aca="false">'Raw Data'!B251</f>
        <v>P2659</v>
      </c>
      <c r="C252" s="1" t="str">
        <f aca="false">'Raw Data'!C251</f>
        <v>joshuasmith</v>
      </c>
      <c r="D252" s="1" t="str">
        <f aca="false">'Raw Data'!D251</f>
        <v>SpeedX</v>
      </c>
      <c r="E252" s="1" t="str">
        <f aca="false">'Raw Data'!E251</f>
        <v>Mobile</v>
      </c>
      <c r="F252" s="1" t="str">
        <f aca="false">'Raw Data'!F251</f>
        <v>West</v>
      </c>
      <c r="G252" s="23" t="n">
        <f aca="false">'Raw Data'!G251</f>
        <v>45772</v>
      </c>
      <c r="H252" s="1" t="n">
        <f aca="false">'Raw Data'!H251</f>
        <v>91</v>
      </c>
      <c r="I252" s="24" t="n">
        <f aca="false">'Raw Data'!I251</f>
        <v>0</v>
      </c>
      <c r="J252" s="1" t="str">
        <f aca="false">IF('Raw Data'!J251="None","None",IF(ISBLANK('Raw Data'!J251),"None",'Raw Data'!J251))</f>
        <v>None</v>
      </c>
      <c r="K252" s="1" t="str">
        <f aca="false">'Raw Data'!K251</f>
        <v>Exited Early</v>
      </c>
      <c r="L252" s="1" t="str">
        <f aca="false">'Raw Data'!L251</f>
        <v>Free</v>
      </c>
      <c r="M252" s="1" t="n">
        <f aca="false">'Raw Data'!M251</f>
        <v>44</v>
      </c>
      <c r="N252" s="1" t="str">
        <f aca="false">'Raw Data'!N251</f>
        <v>No</v>
      </c>
    </row>
    <row r="253" customFormat="false" ht="15" hidden="false" customHeight="true" outlineLevel="0" collapsed="false">
      <c r="A253" s="1" t="str">
        <f aca="false">'Raw Data'!A252</f>
        <v>S00249</v>
      </c>
      <c r="B253" s="1" t="str">
        <f aca="false">'Raw Data'!B252</f>
        <v>P3780</v>
      </c>
      <c r="C253" s="1" t="str">
        <f aca="false">'Raw Data'!C252</f>
        <v>zacharygonzales</v>
      </c>
      <c r="D253" s="1" t="str">
        <f aca="false">'Raw Data'!D252</f>
        <v>Clash of Realms</v>
      </c>
      <c r="E253" s="1" t="str">
        <f aca="false">'Raw Data'!E252</f>
        <v>PC</v>
      </c>
      <c r="F253" s="1" t="str">
        <f aca="false">'Raw Data'!F252</f>
        <v>West</v>
      </c>
      <c r="G253" s="23" t="n">
        <f aca="false">'Raw Data'!G252</f>
        <v>45684</v>
      </c>
      <c r="H253" s="1" t="n">
        <f aca="false">'Raw Data'!H252</f>
        <v>36</v>
      </c>
      <c r="I253" s="24" t="n">
        <f aca="false">'Raw Data'!I252</f>
        <v>0</v>
      </c>
      <c r="J253" s="1" t="str">
        <f aca="false">IF('Raw Data'!J252="None","None",IF(ISBLANK('Raw Data'!J252),"None",'Raw Data'!J252))</f>
        <v>None</v>
      </c>
      <c r="K253" s="1" t="str">
        <f aca="false">'Raw Data'!K252</f>
        <v>Completed</v>
      </c>
      <c r="L253" s="1" t="str">
        <f aca="false">'Raw Data'!L252</f>
        <v>Free</v>
      </c>
      <c r="M253" s="1" t="n">
        <f aca="false">'Raw Data'!M252</f>
        <v>36</v>
      </c>
      <c r="N253" s="1" t="str">
        <f aca="false">'Raw Data'!N252</f>
        <v>No</v>
      </c>
    </row>
    <row r="254" customFormat="false" ht="15" hidden="false" customHeight="true" outlineLevel="0" collapsed="false">
      <c r="A254" s="1" t="str">
        <f aca="false">'Raw Data'!A253</f>
        <v>S00250</v>
      </c>
      <c r="B254" s="1" t="str">
        <f aca="false">'Raw Data'!B253</f>
        <v>P2357</v>
      </c>
      <c r="C254" s="1" t="str">
        <f aca="false">'Raw Data'!C253</f>
        <v>coxlauren</v>
      </c>
      <c r="D254" s="1" t="str">
        <f aca="false">'Raw Data'!D253</f>
        <v>BattleZone</v>
      </c>
      <c r="E254" s="1" t="str">
        <f aca="false">'Raw Data'!E253</f>
        <v>Mobile</v>
      </c>
      <c r="F254" s="1" t="str">
        <f aca="false">'Raw Data'!F253</f>
        <v>North-East</v>
      </c>
      <c r="G254" s="23" t="n">
        <f aca="false">'Raw Data'!G253</f>
        <v>45703</v>
      </c>
      <c r="H254" s="1" t="n">
        <f aca="false">'Raw Data'!H253</f>
        <v>66</v>
      </c>
      <c r="I254" s="24" t="n">
        <f aca="false">'Raw Data'!I253</f>
        <v>0</v>
      </c>
      <c r="J254" s="1" t="str">
        <f aca="false">IF('Raw Data'!J253="None","None",IF(ISBLANK('Raw Data'!J253),"None",'Raw Data'!J253))</f>
        <v>None</v>
      </c>
      <c r="K254" s="1" t="str">
        <f aca="false">'Raw Data'!K253</f>
        <v>Incomplete</v>
      </c>
      <c r="L254" s="1" t="str">
        <f aca="false">'Raw Data'!L253</f>
        <v>Paid</v>
      </c>
      <c r="M254" s="1" t="n">
        <f aca="false">'Raw Data'!M253</f>
        <v>38</v>
      </c>
      <c r="N254" s="1" t="str">
        <f aca="false">'Raw Data'!N253</f>
        <v>No</v>
      </c>
    </row>
    <row r="255" customFormat="false" ht="15" hidden="false" customHeight="true" outlineLevel="0" collapsed="false">
      <c r="A255" s="1" t="str">
        <f aca="false">'Raw Data'!A254</f>
        <v>S00251</v>
      </c>
      <c r="B255" s="1" t="str">
        <f aca="false">'Raw Data'!B254</f>
        <v>P6820</v>
      </c>
      <c r="C255" s="1" t="str">
        <f aca="false">'Raw Data'!C254</f>
        <v>espinozajennifer</v>
      </c>
      <c r="D255" s="1" t="str">
        <f aca="false">'Raw Data'!D254</f>
        <v>BattleZone</v>
      </c>
      <c r="E255" s="1" t="str">
        <f aca="false">'Raw Data'!E254</f>
        <v>Console</v>
      </c>
      <c r="F255" s="1" t="str">
        <f aca="false">'Raw Data'!F254</f>
        <v>North-East</v>
      </c>
      <c r="G255" s="23" t="n">
        <f aca="false">'Raw Data'!G254</f>
        <v>45691</v>
      </c>
      <c r="H255" s="1" t="n">
        <f aca="false">'Raw Data'!H254</f>
        <v>38</v>
      </c>
      <c r="I255" s="24" t="n">
        <f aca="false">'Raw Data'!I254</f>
        <v>30.6</v>
      </c>
      <c r="J255" s="1" t="str">
        <f aca="false">IF('Raw Data'!J254="None","None",IF(ISBLANK('Raw Data'!J254),"None",'Raw Data'!J254))</f>
        <v>Subscriptions</v>
      </c>
      <c r="K255" s="1" t="str">
        <f aca="false">'Raw Data'!K254</f>
        <v>Completed</v>
      </c>
      <c r="L255" s="1" t="str">
        <f aca="false">'Raw Data'!L254</f>
        <v>Paid</v>
      </c>
      <c r="M255" s="1" t="n">
        <f aca="false">'Raw Data'!M254</f>
        <v>27</v>
      </c>
      <c r="N255" s="1" t="str">
        <f aca="false">'Raw Data'!N254</f>
        <v>No</v>
      </c>
    </row>
    <row r="256" customFormat="false" ht="15" hidden="false" customHeight="true" outlineLevel="0" collapsed="false">
      <c r="A256" s="1" t="str">
        <f aca="false">'Raw Data'!A255</f>
        <v>S00252</v>
      </c>
      <c r="B256" s="1" t="str">
        <f aca="false">'Raw Data'!B255</f>
        <v>P7067</v>
      </c>
      <c r="C256" s="1" t="str">
        <f aca="false">'Raw Data'!C255</f>
        <v>jackbarnes</v>
      </c>
      <c r="D256" s="1" t="str">
        <f aca="false">'Raw Data'!D255</f>
        <v>Empire Wars</v>
      </c>
      <c r="E256" s="1" t="str">
        <f aca="false">'Raw Data'!E255</f>
        <v>Console</v>
      </c>
      <c r="F256" s="1" t="str">
        <f aca="false">'Raw Data'!F255</f>
        <v>North</v>
      </c>
      <c r="G256" s="23" t="n">
        <f aca="false">'Raw Data'!G255</f>
        <v>45639</v>
      </c>
      <c r="H256" s="1" t="n">
        <f aca="false">'Raw Data'!H255</f>
        <v>177</v>
      </c>
      <c r="I256" s="24" t="n">
        <f aca="false">'Raw Data'!I255</f>
        <v>0</v>
      </c>
      <c r="J256" s="1" t="str">
        <f aca="false">IF('Raw Data'!J255="None","None",IF(ISBLANK('Raw Data'!J255),"None",'Raw Data'!J255))</f>
        <v>None</v>
      </c>
      <c r="K256" s="1" t="str">
        <f aca="false">'Raw Data'!K255</f>
        <v>Completed</v>
      </c>
      <c r="L256" s="1" t="str">
        <f aca="false">'Raw Data'!L255</f>
        <v>Free</v>
      </c>
      <c r="M256" s="1" t="n">
        <f aca="false">'Raw Data'!M255</f>
        <v>25</v>
      </c>
      <c r="N256" s="1" t="str">
        <f aca="false">'Raw Data'!N255</f>
        <v>Yes</v>
      </c>
    </row>
    <row r="257" customFormat="false" ht="15" hidden="false" customHeight="true" outlineLevel="0" collapsed="false">
      <c r="A257" s="1" t="str">
        <f aca="false">'Raw Data'!A256</f>
        <v>S00253</v>
      </c>
      <c r="B257" s="1" t="str">
        <f aca="false">'Raw Data'!B256</f>
        <v>P6499</v>
      </c>
      <c r="C257" s="1" t="str">
        <f aca="false">'Raw Data'!C256</f>
        <v>juanjones</v>
      </c>
      <c r="D257" s="1" t="str">
        <f aca="false">'Raw Data'!D256</f>
        <v>Empire Wars</v>
      </c>
      <c r="E257" s="1" t="str">
        <f aca="false">'Raw Data'!E256</f>
        <v>Mobile</v>
      </c>
      <c r="F257" s="1" t="str">
        <f aca="false">'Raw Data'!F256</f>
        <v>West</v>
      </c>
      <c r="G257" s="23" t="n">
        <f aca="false">'Raw Data'!G256</f>
        <v>45639</v>
      </c>
      <c r="H257" s="1" t="n">
        <f aca="false">'Raw Data'!H256</f>
        <v>133</v>
      </c>
      <c r="I257" s="24" t="n">
        <f aca="false">'Raw Data'!I256</f>
        <v>8.05</v>
      </c>
      <c r="J257" s="1" t="str">
        <f aca="false">IF('Raw Data'!J256="None","None",IF(ISBLANK('Raw Data'!J256),"None",'Raw Data'!J256))</f>
        <v>Skins</v>
      </c>
      <c r="K257" s="1" t="str">
        <f aca="false">'Raw Data'!K256</f>
        <v>Completed</v>
      </c>
      <c r="L257" s="1" t="str">
        <f aca="false">'Raw Data'!L256</f>
        <v>Paid</v>
      </c>
      <c r="M257" s="1" t="n">
        <f aca="false">'Raw Data'!M256</f>
        <v>35</v>
      </c>
      <c r="N257" s="1" t="str">
        <f aca="false">'Raw Data'!N256</f>
        <v>No</v>
      </c>
    </row>
    <row r="258" customFormat="false" ht="15" hidden="false" customHeight="true" outlineLevel="0" collapsed="false">
      <c r="A258" s="1" t="str">
        <f aca="false">'Raw Data'!A257</f>
        <v>S00254</v>
      </c>
      <c r="B258" s="1" t="str">
        <f aca="false">'Raw Data'!B257</f>
        <v>P5142</v>
      </c>
      <c r="C258" s="1" t="str">
        <f aca="false">'Raw Data'!C257</f>
        <v>georgewarren</v>
      </c>
      <c r="D258" s="1" t="str">
        <f aca="false">'Raw Data'!D257</f>
        <v>Clash of Realms</v>
      </c>
      <c r="E258" s="1" t="str">
        <f aca="false">'Raw Data'!E257</f>
        <v>PC</v>
      </c>
      <c r="F258" s="1" t="str">
        <f aca="false">'Raw Data'!F257</f>
        <v>South</v>
      </c>
      <c r="G258" s="23" t="n">
        <f aca="false">'Raw Data'!G257</f>
        <v>45764</v>
      </c>
      <c r="H258" s="1" t="n">
        <f aca="false">'Raw Data'!H257</f>
        <v>116</v>
      </c>
      <c r="I258" s="24" t="n">
        <f aca="false">'Raw Data'!I257</f>
        <v>0</v>
      </c>
      <c r="J258" s="1" t="str">
        <f aca="false">IF('Raw Data'!J257="None","None",IF(ISBLANK('Raw Data'!J257),"None",'Raw Data'!J257))</f>
        <v>None</v>
      </c>
      <c r="K258" s="1" t="str">
        <f aca="false">'Raw Data'!K257</f>
        <v>Completed</v>
      </c>
      <c r="L258" s="1" t="str">
        <f aca="false">'Raw Data'!L257</f>
        <v>Free</v>
      </c>
      <c r="M258" s="1" t="n">
        <f aca="false">'Raw Data'!M257</f>
        <v>40</v>
      </c>
      <c r="N258" s="1" t="str">
        <f aca="false">'Raw Data'!N257</f>
        <v>No</v>
      </c>
    </row>
    <row r="259" customFormat="false" ht="15" hidden="false" customHeight="true" outlineLevel="0" collapsed="false">
      <c r="A259" s="1" t="str">
        <f aca="false">'Raw Data'!A258</f>
        <v>S00255</v>
      </c>
      <c r="B259" s="1" t="str">
        <f aca="false">'Raw Data'!B258</f>
        <v>P4616</v>
      </c>
      <c r="C259" s="1" t="str">
        <f aca="false">'Raw Data'!C258</f>
        <v>danieldonaldson</v>
      </c>
      <c r="D259" s="1" t="str">
        <f aca="false">'Raw Data'!D258</f>
        <v>Empire Wars</v>
      </c>
      <c r="E259" s="1" t="str">
        <f aca="false">'Raw Data'!E258</f>
        <v>PC</v>
      </c>
      <c r="F259" s="1" t="str">
        <f aca="false">'Raw Data'!F258</f>
        <v>West</v>
      </c>
      <c r="G259" s="23" t="n">
        <f aca="false">'Raw Data'!G258</f>
        <v>45646</v>
      </c>
      <c r="H259" s="1" t="n">
        <f aca="false">'Raw Data'!H258</f>
        <v>72</v>
      </c>
      <c r="I259" s="24" t="n">
        <f aca="false">'Raw Data'!I258</f>
        <v>0</v>
      </c>
      <c r="J259" s="1" t="str">
        <f aca="false">IF('Raw Data'!J258="None","None",IF(ISBLANK('Raw Data'!J258),"None",'Raw Data'!J258))</f>
        <v>None</v>
      </c>
      <c r="K259" s="1" t="str">
        <f aca="false">'Raw Data'!K258</f>
        <v>Completed</v>
      </c>
      <c r="L259" s="1" t="str">
        <f aca="false">'Raw Data'!L258</f>
        <v>Free</v>
      </c>
      <c r="M259" s="1" t="n">
        <f aca="false">'Raw Data'!M258</f>
        <v>34</v>
      </c>
      <c r="N259" s="1" t="str">
        <f aca="false">'Raw Data'!N258</f>
        <v>No</v>
      </c>
    </row>
    <row r="260" customFormat="false" ht="15" hidden="false" customHeight="true" outlineLevel="0" collapsed="false">
      <c r="A260" s="1" t="str">
        <f aca="false">'Raw Data'!A259</f>
        <v>S00256</v>
      </c>
      <c r="B260" s="1" t="str">
        <f aca="false">'Raw Data'!B259</f>
        <v>P7433</v>
      </c>
      <c r="C260" s="1" t="str">
        <f aca="false">'Raw Data'!C259</f>
        <v>wsanders</v>
      </c>
      <c r="D260" s="1" t="str">
        <f aca="false">'Raw Data'!D259</f>
        <v>Empire Wars</v>
      </c>
      <c r="E260" s="1" t="str">
        <f aca="false">'Raw Data'!E259</f>
        <v>Console</v>
      </c>
      <c r="F260" s="1" t="str">
        <f aca="false">'Raw Data'!F259</f>
        <v>West</v>
      </c>
      <c r="G260" s="23" t="n">
        <f aca="false">'Raw Data'!G259</f>
        <v>45758</v>
      </c>
      <c r="H260" s="1" t="n">
        <f aca="false">'Raw Data'!H259</f>
        <v>51</v>
      </c>
      <c r="I260" s="24" t="n">
        <f aca="false">'Raw Data'!I259</f>
        <v>0</v>
      </c>
      <c r="J260" s="1" t="str">
        <f aca="false">IF('Raw Data'!J259="None","None",IF(ISBLANK('Raw Data'!J259),"None",'Raw Data'!J259))</f>
        <v>None</v>
      </c>
      <c r="K260" s="1" t="str">
        <f aca="false">'Raw Data'!K259</f>
        <v>Completed</v>
      </c>
      <c r="L260" s="1" t="str">
        <f aca="false">'Raw Data'!L259</f>
        <v>Free</v>
      </c>
      <c r="M260" s="1" t="n">
        <f aca="false">'Raw Data'!M259</f>
        <v>30</v>
      </c>
      <c r="N260" s="1" t="str">
        <f aca="false">'Raw Data'!N259</f>
        <v>No</v>
      </c>
    </row>
    <row r="261" customFormat="false" ht="15" hidden="false" customHeight="true" outlineLevel="0" collapsed="false">
      <c r="A261" s="1" t="str">
        <f aca="false">'Raw Data'!A260</f>
        <v>S00257</v>
      </c>
      <c r="B261" s="1" t="str">
        <f aca="false">'Raw Data'!B260</f>
        <v>P8958</v>
      </c>
      <c r="C261" s="1" t="str">
        <f aca="false">'Raw Data'!C260</f>
        <v>dunnmelissa</v>
      </c>
      <c r="D261" s="1" t="str">
        <f aca="false">'Raw Data'!D260</f>
        <v>Clash of Realms</v>
      </c>
      <c r="E261" s="1" t="str">
        <f aca="false">'Raw Data'!E260</f>
        <v>Mobile</v>
      </c>
      <c r="F261" s="1" t="str">
        <f aca="false">'Raw Data'!F260</f>
        <v>North</v>
      </c>
      <c r="G261" s="23" t="n">
        <f aca="false">'Raw Data'!G260</f>
        <v>45681</v>
      </c>
      <c r="H261" s="1" t="n">
        <f aca="false">'Raw Data'!H260</f>
        <v>19</v>
      </c>
      <c r="I261" s="24" t="n">
        <f aca="false">'Raw Data'!I260</f>
        <v>0</v>
      </c>
      <c r="J261" s="1" t="str">
        <f aca="false">IF('Raw Data'!J260="None","None",IF(ISBLANK('Raw Data'!J260),"None",'Raw Data'!J260))</f>
        <v>None</v>
      </c>
      <c r="K261" s="1" t="str">
        <f aca="false">'Raw Data'!K260</f>
        <v>Completed</v>
      </c>
      <c r="L261" s="1" t="str">
        <f aca="false">'Raw Data'!L260</f>
        <v>Free</v>
      </c>
      <c r="M261" s="1" t="n">
        <f aca="false">'Raw Data'!M260</f>
        <v>6</v>
      </c>
      <c r="N261" s="1" t="str">
        <f aca="false">'Raw Data'!N260</f>
        <v>No</v>
      </c>
    </row>
    <row r="262" customFormat="false" ht="15" hidden="false" customHeight="true" outlineLevel="0" collapsed="false">
      <c r="A262" s="1" t="str">
        <f aca="false">'Raw Data'!A261</f>
        <v>S00258</v>
      </c>
      <c r="B262" s="1" t="str">
        <f aca="false">'Raw Data'!B261</f>
        <v>P1212</v>
      </c>
      <c r="C262" s="1" t="str">
        <f aca="false">'Raw Data'!C261</f>
        <v>hporter</v>
      </c>
      <c r="D262" s="1" t="str">
        <f aca="false">'Raw Data'!D261</f>
        <v>Zombie Rush</v>
      </c>
      <c r="E262" s="1" t="str">
        <f aca="false">'Raw Data'!E261</f>
        <v>Mobile</v>
      </c>
      <c r="F262" s="1" t="str">
        <f aca="false">'Raw Data'!F261</f>
        <v>South</v>
      </c>
      <c r="G262" s="23" t="n">
        <f aca="false">'Raw Data'!G261</f>
        <v>45684</v>
      </c>
      <c r="H262" s="1" t="n">
        <f aca="false">'Raw Data'!H261</f>
        <v>142</v>
      </c>
      <c r="I262" s="24" t="n">
        <f aca="false">'Raw Data'!I261</f>
        <v>8.64</v>
      </c>
      <c r="J262" s="1" t="str">
        <f aca="false">IF('Raw Data'!J261="None","None",IF(ISBLANK('Raw Data'!J261),"None",'Raw Data'!J261))</f>
        <v>Boosters</v>
      </c>
      <c r="K262" s="1" t="str">
        <f aca="false">'Raw Data'!K261</f>
        <v>Crashed</v>
      </c>
      <c r="L262" s="1" t="str">
        <f aca="false">'Raw Data'!L261</f>
        <v>Paid</v>
      </c>
      <c r="M262" s="1" t="n">
        <f aca="false">'Raw Data'!M261</f>
        <v>25</v>
      </c>
      <c r="N262" s="1" t="str">
        <f aca="false">'Raw Data'!N261</f>
        <v>No</v>
      </c>
    </row>
    <row r="263" customFormat="false" ht="15" hidden="false" customHeight="true" outlineLevel="0" collapsed="false">
      <c r="A263" s="1" t="str">
        <f aca="false">'Raw Data'!A262</f>
        <v>S00259</v>
      </c>
      <c r="B263" s="1" t="str">
        <f aca="false">'Raw Data'!B262</f>
        <v>P8750</v>
      </c>
      <c r="C263" s="1" t="str">
        <f aca="false">'Raw Data'!C262</f>
        <v>garciaisabel</v>
      </c>
      <c r="D263" s="1" t="str">
        <f aca="false">'Raw Data'!D262</f>
        <v>Empire Wars</v>
      </c>
      <c r="E263" s="1" t="str">
        <f aca="false">'Raw Data'!E262</f>
        <v>PC</v>
      </c>
      <c r="F263" s="1" t="str">
        <f aca="false">'Raw Data'!F262</f>
        <v>North</v>
      </c>
      <c r="G263" s="23" t="n">
        <f aca="false">'Raw Data'!G262</f>
        <v>45753</v>
      </c>
      <c r="H263" s="1" t="n">
        <f aca="false">'Raw Data'!H262</f>
        <v>31</v>
      </c>
      <c r="I263" s="24" t="n">
        <f aca="false">'Raw Data'!I262</f>
        <v>0</v>
      </c>
      <c r="J263" s="1" t="str">
        <f aca="false">IF('Raw Data'!J262="None","None",IF(ISBLANK('Raw Data'!J262),"None",'Raw Data'!J262))</f>
        <v>None</v>
      </c>
      <c r="K263" s="1" t="str">
        <f aca="false">'Raw Data'!K262</f>
        <v>Completed</v>
      </c>
      <c r="L263" s="1" t="str">
        <f aca="false">'Raw Data'!L262</f>
        <v>Free</v>
      </c>
      <c r="M263" s="1" t="n">
        <f aca="false">'Raw Data'!M262</f>
        <v>49</v>
      </c>
      <c r="N263" s="1" t="str">
        <f aca="false">'Raw Data'!N262</f>
        <v>No</v>
      </c>
    </row>
    <row r="264" customFormat="false" ht="15" hidden="false" customHeight="true" outlineLevel="0" collapsed="false">
      <c r="A264" s="1" t="str">
        <f aca="false">'Raw Data'!A263</f>
        <v>S00260</v>
      </c>
      <c r="B264" s="1" t="str">
        <f aca="false">'Raw Data'!B263</f>
        <v>P2956</v>
      </c>
      <c r="C264" s="1" t="str">
        <f aca="false">'Raw Data'!C263</f>
        <v>rsuarez</v>
      </c>
      <c r="D264" s="1" t="str">
        <f aca="false">'Raw Data'!D263</f>
        <v>Zombie Rush</v>
      </c>
      <c r="E264" s="1" t="str">
        <f aca="false">'Raw Data'!E263</f>
        <v>Console</v>
      </c>
      <c r="F264" s="1" t="str">
        <f aca="false">'Raw Data'!F263</f>
        <v>Central</v>
      </c>
      <c r="G264" s="23" t="n">
        <f aca="false">'Raw Data'!G263</f>
        <v>45721</v>
      </c>
      <c r="H264" s="1" t="n">
        <f aca="false">'Raw Data'!H263</f>
        <v>26</v>
      </c>
      <c r="I264" s="24" t="n">
        <f aca="false">'Raw Data'!I263</f>
        <v>0</v>
      </c>
      <c r="J264" s="1" t="str">
        <f aca="false">IF('Raw Data'!J263="None","None",IF(ISBLANK('Raw Data'!J263),"None",'Raw Data'!J263))</f>
        <v>None</v>
      </c>
      <c r="K264" s="1" t="str">
        <f aca="false">'Raw Data'!K263</f>
        <v>Completed</v>
      </c>
      <c r="L264" s="1" t="str">
        <f aca="false">'Raw Data'!L263</f>
        <v>Paid</v>
      </c>
      <c r="M264" s="1" t="n">
        <f aca="false">'Raw Data'!M263</f>
        <v>5</v>
      </c>
      <c r="N264" s="1" t="str">
        <f aca="false">'Raw Data'!N263</f>
        <v>No</v>
      </c>
    </row>
    <row r="265" customFormat="false" ht="15" hidden="false" customHeight="true" outlineLevel="0" collapsed="false">
      <c r="A265" s="1" t="str">
        <f aca="false">'Raw Data'!A264</f>
        <v>S00261</v>
      </c>
      <c r="B265" s="1" t="str">
        <f aca="false">'Raw Data'!B264</f>
        <v>P7483</v>
      </c>
      <c r="C265" s="1" t="str">
        <f aca="false">'Raw Data'!C264</f>
        <v>murrayaaron</v>
      </c>
      <c r="D265" s="1" t="str">
        <f aca="false">'Raw Data'!D264</f>
        <v>Zombie Rush</v>
      </c>
      <c r="E265" s="1" t="str">
        <f aca="false">'Raw Data'!E264</f>
        <v>Console</v>
      </c>
      <c r="F265" s="1" t="str">
        <f aca="false">'Raw Data'!F264</f>
        <v>East</v>
      </c>
      <c r="G265" s="23" t="n">
        <f aca="false">'Raw Data'!G264</f>
        <v>45815</v>
      </c>
      <c r="H265" s="1" t="n">
        <f aca="false">'Raw Data'!H264</f>
        <v>144</v>
      </c>
      <c r="I265" s="24" t="n">
        <f aca="false">'Raw Data'!I264</f>
        <v>40.29</v>
      </c>
      <c r="J265" s="1" t="str">
        <f aca="false">IF('Raw Data'!J264="None","None",IF(ISBLANK('Raw Data'!J264),"None",'Raw Data'!J264))</f>
        <v>Subscriptions</v>
      </c>
      <c r="K265" s="1" t="str">
        <f aca="false">'Raw Data'!K264</f>
        <v>Exited Early</v>
      </c>
      <c r="L265" s="1" t="str">
        <f aca="false">'Raw Data'!L264</f>
        <v>Paid</v>
      </c>
      <c r="M265" s="1" t="n">
        <f aca="false">'Raw Data'!M264</f>
        <v>1</v>
      </c>
      <c r="N265" s="1" t="str">
        <f aca="false">'Raw Data'!N264</f>
        <v>Yes</v>
      </c>
    </row>
    <row r="266" customFormat="false" ht="15" hidden="false" customHeight="true" outlineLevel="0" collapsed="false">
      <c r="A266" s="1" t="str">
        <f aca="false">'Raw Data'!A265</f>
        <v>S00262</v>
      </c>
      <c r="B266" s="1" t="str">
        <f aca="false">'Raw Data'!B265</f>
        <v>P3905</v>
      </c>
      <c r="C266" s="1" t="str">
        <f aca="false">'Raw Data'!C265</f>
        <v>stephen73</v>
      </c>
      <c r="D266" s="1" t="str">
        <f aca="false">'Raw Data'!D265</f>
        <v>Empire Wars</v>
      </c>
      <c r="E266" s="1" t="str">
        <f aca="false">'Raw Data'!E265</f>
        <v>PC</v>
      </c>
      <c r="F266" s="1" t="str">
        <f aca="false">'Raw Data'!F265</f>
        <v>North</v>
      </c>
      <c r="G266" s="23" t="n">
        <f aca="false">'Raw Data'!G265</f>
        <v>45758</v>
      </c>
      <c r="H266" s="1" t="n">
        <f aca="false">'Raw Data'!H265</f>
        <v>6</v>
      </c>
      <c r="I266" s="24" t="n">
        <f aca="false">'Raw Data'!I265</f>
        <v>0</v>
      </c>
      <c r="J266" s="1" t="str">
        <f aca="false">IF('Raw Data'!J265="None","None",IF(ISBLANK('Raw Data'!J265),"None",'Raw Data'!J265))</f>
        <v>None</v>
      </c>
      <c r="K266" s="1" t="str">
        <f aca="false">'Raw Data'!K265</f>
        <v>Completed</v>
      </c>
      <c r="L266" s="1" t="str">
        <f aca="false">'Raw Data'!L265</f>
        <v>Free</v>
      </c>
      <c r="M266" s="1" t="n">
        <f aca="false">'Raw Data'!M265</f>
        <v>7</v>
      </c>
      <c r="N266" s="1" t="str">
        <f aca="false">'Raw Data'!N265</f>
        <v>No</v>
      </c>
    </row>
    <row r="267" customFormat="false" ht="15" hidden="false" customHeight="true" outlineLevel="0" collapsed="false">
      <c r="A267" s="1" t="str">
        <f aca="false">'Raw Data'!A266</f>
        <v>S00263</v>
      </c>
      <c r="B267" s="1" t="str">
        <f aca="false">'Raw Data'!B266</f>
        <v>P2082</v>
      </c>
      <c r="C267" s="1" t="str">
        <f aca="false">'Raw Data'!C266</f>
        <v>iadkins</v>
      </c>
      <c r="D267" s="1" t="str">
        <f aca="false">'Raw Data'!D266</f>
        <v>Zombie Rush</v>
      </c>
      <c r="E267" s="1" t="str">
        <f aca="false">'Raw Data'!E266</f>
        <v>Console</v>
      </c>
      <c r="F267" s="1" t="str">
        <f aca="false">'Raw Data'!F266</f>
        <v>North</v>
      </c>
      <c r="G267" s="23" t="n">
        <f aca="false">'Raw Data'!G266</f>
        <v>45804</v>
      </c>
      <c r="H267" s="1" t="n">
        <f aca="false">'Raw Data'!H266</f>
        <v>176</v>
      </c>
      <c r="I267" s="24" t="n">
        <f aca="false">'Raw Data'!I266</f>
        <v>44.39</v>
      </c>
      <c r="J267" s="1" t="str">
        <f aca="false">IF('Raw Data'!J266="None","None",IF(ISBLANK('Raw Data'!J266),"None",'Raw Data'!J266))</f>
        <v>Battle Pass</v>
      </c>
      <c r="K267" s="1" t="str">
        <f aca="false">'Raw Data'!K266</f>
        <v>Completed</v>
      </c>
      <c r="L267" s="1" t="str">
        <f aca="false">'Raw Data'!L266</f>
        <v>Paid</v>
      </c>
      <c r="M267" s="1" t="n">
        <f aca="false">'Raw Data'!M266</f>
        <v>18</v>
      </c>
      <c r="N267" s="1" t="str">
        <f aca="false">'Raw Data'!N266</f>
        <v>Yes</v>
      </c>
    </row>
    <row r="268" customFormat="false" ht="15" hidden="false" customHeight="true" outlineLevel="0" collapsed="false">
      <c r="A268" s="1" t="str">
        <f aca="false">'Raw Data'!A267</f>
        <v>S00264</v>
      </c>
      <c r="B268" s="1" t="str">
        <f aca="false">'Raw Data'!B267</f>
        <v>P6567</v>
      </c>
      <c r="C268" s="1" t="str">
        <f aca="false">'Raw Data'!C267</f>
        <v>smithshawn</v>
      </c>
      <c r="D268" s="1" t="str">
        <f aca="false">'Raw Data'!D267</f>
        <v>BattleZone</v>
      </c>
      <c r="E268" s="1" t="str">
        <f aca="false">'Raw Data'!E267</f>
        <v>PC</v>
      </c>
      <c r="F268" s="1" t="str">
        <f aca="false">'Raw Data'!F267</f>
        <v>East</v>
      </c>
      <c r="G268" s="23" t="n">
        <f aca="false">'Raw Data'!G267</f>
        <v>45650</v>
      </c>
      <c r="H268" s="1" t="n">
        <f aca="false">'Raw Data'!H267</f>
        <v>175</v>
      </c>
      <c r="I268" s="24" t="n">
        <f aca="false">'Raw Data'!I267</f>
        <v>0</v>
      </c>
      <c r="J268" s="1" t="str">
        <f aca="false">IF('Raw Data'!J267="None","None",IF(ISBLANK('Raw Data'!J267),"None",'Raw Data'!J267))</f>
        <v>None</v>
      </c>
      <c r="K268" s="1" t="str">
        <f aca="false">'Raw Data'!K267</f>
        <v>Incomplete</v>
      </c>
      <c r="L268" s="1" t="str">
        <f aca="false">'Raw Data'!L267</f>
        <v>Free</v>
      </c>
      <c r="M268" s="1" t="n">
        <f aca="false">'Raw Data'!M267</f>
        <v>22</v>
      </c>
      <c r="N268" s="1" t="str">
        <f aca="false">'Raw Data'!N267</f>
        <v>Yes</v>
      </c>
    </row>
    <row r="269" customFormat="false" ht="15" hidden="false" customHeight="true" outlineLevel="0" collapsed="false">
      <c r="A269" s="1" t="str">
        <f aca="false">'Raw Data'!A268</f>
        <v>S00265</v>
      </c>
      <c r="B269" s="1" t="str">
        <f aca="false">'Raw Data'!B268</f>
        <v>P2068</v>
      </c>
      <c r="C269" s="1" t="str">
        <f aca="false">'Raw Data'!C268</f>
        <v>vanessasmith</v>
      </c>
      <c r="D269" s="1" t="str">
        <f aca="false">'Raw Data'!D268</f>
        <v>SpeedX</v>
      </c>
      <c r="E269" s="1" t="str">
        <f aca="false">'Raw Data'!E268</f>
        <v>Mobile</v>
      </c>
      <c r="F269" s="1" t="str">
        <f aca="false">'Raw Data'!F268</f>
        <v>South</v>
      </c>
      <c r="G269" s="23" t="n">
        <f aca="false">'Raw Data'!G268</f>
        <v>45680</v>
      </c>
      <c r="H269" s="1" t="n">
        <f aca="false">'Raw Data'!H268</f>
        <v>131</v>
      </c>
      <c r="I269" s="24" t="n">
        <f aca="false">'Raw Data'!I268</f>
        <v>0</v>
      </c>
      <c r="J269" s="1" t="str">
        <f aca="false">IF('Raw Data'!J268="None","None",IF(ISBLANK('Raw Data'!J268),"None",'Raw Data'!J268))</f>
        <v>None</v>
      </c>
      <c r="K269" s="1" t="str">
        <f aca="false">'Raw Data'!K268</f>
        <v>Crashed</v>
      </c>
      <c r="L269" s="1" t="str">
        <f aca="false">'Raw Data'!L268</f>
        <v>Free</v>
      </c>
      <c r="M269" s="1" t="n">
        <f aca="false">'Raw Data'!M268</f>
        <v>3</v>
      </c>
      <c r="N269" s="1" t="str">
        <f aca="false">'Raw Data'!N268</f>
        <v>No</v>
      </c>
    </row>
    <row r="270" customFormat="false" ht="15" hidden="false" customHeight="true" outlineLevel="0" collapsed="false">
      <c r="A270" s="1" t="str">
        <f aca="false">'Raw Data'!A269</f>
        <v>S00266</v>
      </c>
      <c r="B270" s="1" t="str">
        <f aca="false">'Raw Data'!B269</f>
        <v>P4801</v>
      </c>
      <c r="C270" s="1" t="str">
        <f aca="false">'Raw Data'!C269</f>
        <v>annaroy</v>
      </c>
      <c r="D270" s="1" t="str">
        <f aca="false">'Raw Data'!D269</f>
        <v>Clash of Realms</v>
      </c>
      <c r="E270" s="1" t="str">
        <f aca="false">'Raw Data'!E269</f>
        <v>Mobile</v>
      </c>
      <c r="F270" s="1" t="str">
        <f aca="false">'Raw Data'!F269</f>
        <v>West</v>
      </c>
      <c r="G270" s="23" t="n">
        <f aca="false">'Raw Data'!G269</f>
        <v>45768</v>
      </c>
      <c r="H270" s="1" t="n">
        <f aca="false">'Raw Data'!H269</f>
        <v>17</v>
      </c>
      <c r="I270" s="24" t="n">
        <f aca="false">'Raw Data'!I269</f>
        <v>0</v>
      </c>
      <c r="J270" s="1" t="str">
        <f aca="false">IF('Raw Data'!J269="None","None",IF(ISBLANK('Raw Data'!J269),"None",'Raw Data'!J269))</f>
        <v>None</v>
      </c>
      <c r="K270" s="1" t="str">
        <f aca="false">'Raw Data'!K269</f>
        <v>Completed</v>
      </c>
      <c r="L270" s="1" t="str">
        <f aca="false">'Raw Data'!L269</f>
        <v>Paid</v>
      </c>
      <c r="M270" s="1" t="n">
        <f aca="false">'Raw Data'!M269</f>
        <v>37</v>
      </c>
      <c r="N270" s="1" t="str">
        <f aca="false">'Raw Data'!N269</f>
        <v>No</v>
      </c>
    </row>
    <row r="271" customFormat="false" ht="15" hidden="false" customHeight="true" outlineLevel="0" collapsed="false">
      <c r="A271" s="1" t="str">
        <f aca="false">'Raw Data'!A270</f>
        <v>S00267</v>
      </c>
      <c r="B271" s="1" t="str">
        <f aca="false">'Raw Data'!B270</f>
        <v>P9642</v>
      </c>
      <c r="C271" s="1" t="str">
        <f aca="false">'Raw Data'!C270</f>
        <v>dfloyd</v>
      </c>
      <c r="D271" s="1" t="str">
        <f aca="false">'Raw Data'!D270</f>
        <v>Empire Wars</v>
      </c>
      <c r="E271" s="1" t="str">
        <f aca="false">'Raw Data'!E270</f>
        <v>Mobile</v>
      </c>
      <c r="F271" s="1" t="str">
        <f aca="false">'Raw Data'!F270</f>
        <v>East</v>
      </c>
      <c r="G271" s="23" t="n">
        <f aca="false">'Raw Data'!G270</f>
        <v>45810</v>
      </c>
      <c r="H271" s="1" t="n">
        <f aca="false">'Raw Data'!H270</f>
        <v>128</v>
      </c>
      <c r="I271" s="24" t="n">
        <f aca="false">'Raw Data'!I270</f>
        <v>0</v>
      </c>
      <c r="J271" s="1" t="str">
        <f aca="false">IF('Raw Data'!J270="None","None",IF(ISBLANK('Raw Data'!J270),"None",'Raw Data'!J270))</f>
        <v>None</v>
      </c>
      <c r="K271" s="1" t="str">
        <f aca="false">'Raw Data'!K270</f>
        <v>Completed</v>
      </c>
      <c r="L271" s="1" t="str">
        <f aca="false">'Raw Data'!L270</f>
        <v>Free</v>
      </c>
      <c r="M271" s="1" t="n">
        <f aca="false">'Raw Data'!M270</f>
        <v>15</v>
      </c>
      <c r="N271" s="1" t="str">
        <f aca="false">'Raw Data'!N270</f>
        <v>No</v>
      </c>
    </row>
    <row r="272" customFormat="false" ht="15" hidden="false" customHeight="true" outlineLevel="0" collapsed="false">
      <c r="A272" s="1" t="str">
        <f aca="false">'Raw Data'!A271</f>
        <v>S00268</v>
      </c>
      <c r="B272" s="1" t="str">
        <f aca="false">'Raw Data'!B271</f>
        <v>P4625</v>
      </c>
      <c r="C272" s="1" t="str">
        <f aca="false">'Raw Data'!C271</f>
        <v>maryrodriguez</v>
      </c>
      <c r="D272" s="1" t="str">
        <f aca="false">'Raw Data'!D271</f>
        <v>Empire Wars</v>
      </c>
      <c r="E272" s="1" t="str">
        <f aca="false">'Raw Data'!E271</f>
        <v>PC</v>
      </c>
      <c r="F272" s="1" t="str">
        <f aca="false">'Raw Data'!F271</f>
        <v>North</v>
      </c>
      <c r="G272" s="23" t="n">
        <f aca="false">'Raw Data'!G271</f>
        <v>45780</v>
      </c>
      <c r="H272" s="1" t="n">
        <f aca="false">'Raw Data'!H271</f>
        <v>39</v>
      </c>
      <c r="I272" s="24" t="n">
        <f aca="false">'Raw Data'!I271</f>
        <v>0</v>
      </c>
      <c r="J272" s="1" t="str">
        <f aca="false">IF('Raw Data'!J271="None","None",IF(ISBLANK('Raw Data'!J271),"None",'Raw Data'!J271))</f>
        <v>None</v>
      </c>
      <c r="K272" s="1" t="str">
        <f aca="false">'Raw Data'!K271</f>
        <v>Completed</v>
      </c>
      <c r="L272" s="1" t="str">
        <f aca="false">'Raw Data'!L271</f>
        <v>Free</v>
      </c>
      <c r="M272" s="1" t="n">
        <f aca="false">'Raw Data'!M271</f>
        <v>18</v>
      </c>
      <c r="N272" s="1" t="str">
        <f aca="false">'Raw Data'!N271</f>
        <v>No</v>
      </c>
    </row>
    <row r="273" customFormat="false" ht="15" hidden="false" customHeight="true" outlineLevel="0" collapsed="false">
      <c r="A273" s="1" t="str">
        <f aca="false">'Raw Data'!A272</f>
        <v>S00269</v>
      </c>
      <c r="B273" s="1" t="str">
        <f aca="false">'Raw Data'!B272</f>
        <v>P3615</v>
      </c>
      <c r="C273" s="1" t="str">
        <f aca="false">'Raw Data'!C272</f>
        <v>tamarafowler</v>
      </c>
      <c r="D273" s="1" t="str">
        <f aca="false">'Raw Data'!D272</f>
        <v>Zombie Rush</v>
      </c>
      <c r="E273" s="1" t="str">
        <f aca="false">'Raw Data'!E272</f>
        <v>Mobile</v>
      </c>
      <c r="F273" s="1" t="str">
        <f aca="false">'Raw Data'!F272</f>
        <v>East</v>
      </c>
      <c r="G273" s="23" t="n">
        <f aca="false">'Raw Data'!G272</f>
        <v>45794</v>
      </c>
      <c r="H273" s="1" t="n">
        <f aca="false">'Raw Data'!H272</f>
        <v>122</v>
      </c>
      <c r="I273" s="24" t="n">
        <f aca="false">'Raw Data'!I272</f>
        <v>0</v>
      </c>
      <c r="J273" s="1" t="str">
        <f aca="false">IF('Raw Data'!J272="None","None",IF(ISBLANK('Raw Data'!J272),"None",'Raw Data'!J272))</f>
        <v>None</v>
      </c>
      <c r="K273" s="1" t="str">
        <f aca="false">'Raw Data'!K272</f>
        <v>Completed</v>
      </c>
      <c r="L273" s="1" t="str">
        <f aca="false">'Raw Data'!L272</f>
        <v>Free</v>
      </c>
      <c r="M273" s="1" t="n">
        <f aca="false">'Raw Data'!M272</f>
        <v>28</v>
      </c>
      <c r="N273" s="1" t="str">
        <f aca="false">'Raw Data'!N272</f>
        <v>No</v>
      </c>
    </row>
    <row r="274" customFormat="false" ht="15" hidden="false" customHeight="true" outlineLevel="0" collapsed="false">
      <c r="A274" s="1" t="str">
        <f aca="false">'Raw Data'!A273</f>
        <v>S00270</v>
      </c>
      <c r="B274" s="1" t="str">
        <f aca="false">'Raw Data'!B273</f>
        <v>P9094</v>
      </c>
      <c r="C274" s="1" t="str">
        <f aca="false">'Raw Data'!C273</f>
        <v>nsmith</v>
      </c>
      <c r="D274" s="1" t="str">
        <f aca="false">'Raw Data'!D273</f>
        <v>Clash of Realms</v>
      </c>
      <c r="E274" s="1" t="str">
        <f aca="false">'Raw Data'!E273</f>
        <v>PC</v>
      </c>
      <c r="F274" s="1" t="str">
        <f aca="false">'Raw Data'!F273</f>
        <v>West</v>
      </c>
      <c r="G274" s="23" t="n">
        <f aca="false">'Raw Data'!G273</f>
        <v>45673</v>
      </c>
      <c r="H274" s="1" t="n">
        <f aca="false">'Raw Data'!H273</f>
        <v>15</v>
      </c>
      <c r="I274" s="24" t="n">
        <f aca="false">'Raw Data'!I273</f>
        <v>0</v>
      </c>
      <c r="J274" s="1" t="str">
        <f aca="false">IF('Raw Data'!J273="None","None",IF(ISBLANK('Raw Data'!J273),"None",'Raw Data'!J273))</f>
        <v>None</v>
      </c>
      <c r="K274" s="1" t="str">
        <f aca="false">'Raw Data'!K273</f>
        <v>Completed</v>
      </c>
      <c r="L274" s="1" t="str">
        <f aca="false">'Raw Data'!L273</f>
        <v>Paid</v>
      </c>
      <c r="M274" s="1" t="n">
        <f aca="false">'Raw Data'!M273</f>
        <v>47</v>
      </c>
      <c r="N274" s="1" t="str">
        <f aca="false">'Raw Data'!N273</f>
        <v>No</v>
      </c>
    </row>
    <row r="275" customFormat="false" ht="15" hidden="false" customHeight="true" outlineLevel="0" collapsed="false">
      <c r="A275" s="1" t="str">
        <f aca="false">'Raw Data'!A274</f>
        <v>S00271</v>
      </c>
      <c r="B275" s="1" t="str">
        <f aca="false">'Raw Data'!B274</f>
        <v>P7072</v>
      </c>
      <c r="C275" s="1" t="str">
        <f aca="false">'Raw Data'!C274</f>
        <v>matthew23</v>
      </c>
      <c r="D275" s="1" t="str">
        <f aca="false">'Raw Data'!D274</f>
        <v>Zombie Rush</v>
      </c>
      <c r="E275" s="1" t="str">
        <f aca="false">'Raw Data'!E274</f>
        <v>Console</v>
      </c>
      <c r="F275" s="1" t="str">
        <f aca="false">'Raw Data'!F274</f>
        <v>North</v>
      </c>
      <c r="G275" s="23" t="n">
        <f aca="false">'Raw Data'!G274</f>
        <v>45758</v>
      </c>
      <c r="H275" s="1" t="n">
        <f aca="false">'Raw Data'!H274</f>
        <v>166</v>
      </c>
      <c r="I275" s="24" t="n">
        <f aca="false">'Raw Data'!I274</f>
        <v>47.72</v>
      </c>
      <c r="J275" s="1" t="str">
        <f aca="false">IF('Raw Data'!J274="None","None",IF(ISBLANK('Raw Data'!J274),"None",'Raw Data'!J274))</f>
        <v>Skins</v>
      </c>
      <c r="K275" s="1" t="str">
        <f aca="false">'Raw Data'!K274</f>
        <v>Completed</v>
      </c>
      <c r="L275" s="1" t="str">
        <f aca="false">'Raw Data'!L274</f>
        <v>Paid</v>
      </c>
      <c r="M275" s="1" t="n">
        <f aca="false">'Raw Data'!M274</f>
        <v>40</v>
      </c>
      <c r="N275" s="1" t="str">
        <f aca="false">'Raw Data'!N274</f>
        <v>Yes</v>
      </c>
    </row>
    <row r="276" customFormat="false" ht="15" hidden="false" customHeight="true" outlineLevel="0" collapsed="false">
      <c r="A276" s="1" t="str">
        <f aca="false">'Raw Data'!A275</f>
        <v>S00272</v>
      </c>
      <c r="B276" s="1" t="str">
        <f aca="false">'Raw Data'!B275</f>
        <v>P4911</v>
      </c>
      <c r="C276" s="1" t="str">
        <f aca="false">'Raw Data'!C275</f>
        <v>mmorgan</v>
      </c>
      <c r="D276" s="1" t="str">
        <f aca="false">'Raw Data'!D275</f>
        <v>SpeedX</v>
      </c>
      <c r="E276" s="1" t="str">
        <f aca="false">'Raw Data'!E275</f>
        <v>PC</v>
      </c>
      <c r="F276" s="1" t="str">
        <f aca="false">'Raw Data'!F275</f>
        <v>North</v>
      </c>
      <c r="G276" s="23" t="n">
        <f aca="false">'Raw Data'!G275</f>
        <v>45721</v>
      </c>
      <c r="H276" s="1" t="n">
        <f aca="false">'Raw Data'!H275</f>
        <v>91</v>
      </c>
      <c r="I276" s="24" t="n">
        <f aca="false">'Raw Data'!I275</f>
        <v>45.51</v>
      </c>
      <c r="J276" s="1" t="str">
        <f aca="false">IF('Raw Data'!J275="None","None",IF(ISBLANK('Raw Data'!J275),"None",'Raw Data'!J275))</f>
        <v>Skins</v>
      </c>
      <c r="K276" s="1" t="str">
        <f aca="false">'Raw Data'!K275</f>
        <v>Completed</v>
      </c>
      <c r="L276" s="1" t="str">
        <f aca="false">'Raw Data'!L275</f>
        <v>Paid</v>
      </c>
      <c r="M276" s="1" t="n">
        <f aca="false">'Raw Data'!M275</f>
        <v>8</v>
      </c>
      <c r="N276" s="1" t="str">
        <f aca="false">'Raw Data'!N275</f>
        <v>Yes</v>
      </c>
    </row>
    <row r="277" customFormat="false" ht="15" hidden="false" customHeight="true" outlineLevel="0" collapsed="false">
      <c r="A277" s="1" t="str">
        <f aca="false">'Raw Data'!A276</f>
        <v>S00273</v>
      </c>
      <c r="B277" s="1" t="str">
        <f aca="false">'Raw Data'!B276</f>
        <v>P5122</v>
      </c>
      <c r="C277" s="1" t="str">
        <f aca="false">'Raw Data'!C276</f>
        <v>ronaldkennedy</v>
      </c>
      <c r="D277" s="1" t="str">
        <f aca="false">'Raw Data'!D276</f>
        <v>BattleZone</v>
      </c>
      <c r="E277" s="1" t="str">
        <f aca="false">'Raw Data'!E276</f>
        <v>PC</v>
      </c>
      <c r="F277" s="1" t="str">
        <f aca="false">'Raw Data'!F276</f>
        <v>North</v>
      </c>
      <c r="G277" s="23" t="n">
        <f aca="false">'Raw Data'!G276</f>
        <v>45770</v>
      </c>
      <c r="H277" s="1" t="n">
        <f aca="false">'Raw Data'!H276</f>
        <v>52</v>
      </c>
      <c r="I277" s="24" t="n">
        <f aca="false">'Raw Data'!I276</f>
        <v>0</v>
      </c>
      <c r="J277" s="1" t="str">
        <f aca="false">IF('Raw Data'!J276="None","None",IF(ISBLANK('Raw Data'!J276),"None",'Raw Data'!J276))</f>
        <v>None</v>
      </c>
      <c r="K277" s="1" t="str">
        <f aca="false">'Raw Data'!K276</f>
        <v>Completed</v>
      </c>
      <c r="L277" s="1" t="str">
        <f aca="false">'Raw Data'!L276</f>
        <v>Free</v>
      </c>
      <c r="M277" s="1" t="n">
        <f aca="false">'Raw Data'!M276</f>
        <v>3</v>
      </c>
      <c r="N277" s="1" t="str">
        <f aca="false">'Raw Data'!N276</f>
        <v>No</v>
      </c>
    </row>
    <row r="278" customFormat="false" ht="15" hidden="false" customHeight="true" outlineLevel="0" collapsed="false">
      <c r="A278" s="1" t="str">
        <f aca="false">'Raw Data'!A277</f>
        <v>S00274</v>
      </c>
      <c r="B278" s="1" t="str">
        <f aca="false">'Raw Data'!B277</f>
        <v>P4950</v>
      </c>
      <c r="C278" s="1" t="str">
        <f aca="false">'Raw Data'!C277</f>
        <v>megan08</v>
      </c>
      <c r="D278" s="1" t="str">
        <f aca="false">'Raw Data'!D277</f>
        <v>Empire Wars</v>
      </c>
      <c r="E278" s="1" t="str">
        <f aca="false">'Raw Data'!E277</f>
        <v>PC</v>
      </c>
      <c r="F278" s="1" t="str">
        <f aca="false">'Raw Data'!F277</f>
        <v>North</v>
      </c>
      <c r="G278" s="23" t="n">
        <f aca="false">'Raw Data'!G277</f>
        <v>45670</v>
      </c>
      <c r="H278" s="1" t="n">
        <f aca="false">'Raw Data'!H277</f>
        <v>130</v>
      </c>
      <c r="I278" s="24" t="n">
        <f aca="false">'Raw Data'!I277</f>
        <v>0</v>
      </c>
      <c r="J278" s="1" t="str">
        <f aca="false">IF('Raw Data'!J277="None","None",IF(ISBLANK('Raw Data'!J277),"None",'Raw Data'!J277))</f>
        <v>None</v>
      </c>
      <c r="K278" s="1" t="str">
        <f aca="false">'Raw Data'!K277</f>
        <v>Completed</v>
      </c>
      <c r="L278" s="1" t="str">
        <f aca="false">'Raw Data'!L277</f>
        <v>Free</v>
      </c>
      <c r="M278" s="1" t="n">
        <f aca="false">'Raw Data'!M277</f>
        <v>49</v>
      </c>
      <c r="N278" s="1" t="str">
        <f aca="false">'Raw Data'!N277</f>
        <v>No</v>
      </c>
    </row>
    <row r="279" customFormat="false" ht="15" hidden="false" customHeight="true" outlineLevel="0" collapsed="false">
      <c r="A279" s="1" t="str">
        <f aca="false">'Raw Data'!A278</f>
        <v>S00275</v>
      </c>
      <c r="B279" s="1" t="str">
        <f aca="false">'Raw Data'!B278</f>
        <v>P7472</v>
      </c>
      <c r="C279" s="1" t="str">
        <f aca="false">'Raw Data'!C278</f>
        <v>kcook</v>
      </c>
      <c r="D279" s="1" t="str">
        <f aca="false">'Raw Data'!D278</f>
        <v>Empire Wars</v>
      </c>
      <c r="E279" s="1" t="str">
        <f aca="false">'Raw Data'!E278</f>
        <v>Mobile</v>
      </c>
      <c r="F279" s="1" t="str">
        <f aca="false">'Raw Data'!F278</f>
        <v>Central</v>
      </c>
      <c r="G279" s="23" t="n">
        <f aca="false">'Raw Data'!G278</f>
        <v>45750</v>
      </c>
      <c r="H279" s="1" t="n">
        <f aca="false">'Raw Data'!H278</f>
        <v>87</v>
      </c>
      <c r="I279" s="24" t="n">
        <f aca="false">'Raw Data'!I278</f>
        <v>0</v>
      </c>
      <c r="J279" s="1" t="str">
        <f aca="false">IF('Raw Data'!J278="None","None",IF(ISBLANK('Raw Data'!J278),"None",'Raw Data'!J278))</f>
        <v>None</v>
      </c>
      <c r="K279" s="1" t="str">
        <f aca="false">'Raw Data'!K278</f>
        <v>Completed</v>
      </c>
      <c r="L279" s="1" t="str">
        <f aca="false">'Raw Data'!L278</f>
        <v>Free</v>
      </c>
      <c r="M279" s="1" t="n">
        <f aca="false">'Raw Data'!M278</f>
        <v>33</v>
      </c>
      <c r="N279" s="1" t="str">
        <f aca="false">'Raw Data'!N278</f>
        <v>No</v>
      </c>
    </row>
    <row r="280" customFormat="false" ht="15" hidden="false" customHeight="true" outlineLevel="0" collapsed="false">
      <c r="A280" s="1" t="str">
        <f aca="false">'Raw Data'!A279</f>
        <v>S00276</v>
      </c>
      <c r="B280" s="1" t="str">
        <f aca="false">'Raw Data'!B279</f>
        <v>P2232</v>
      </c>
      <c r="C280" s="1" t="str">
        <f aca="false">'Raw Data'!C279</f>
        <v>donovantrevor</v>
      </c>
      <c r="D280" s="1" t="str">
        <f aca="false">'Raw Data'!D279</f>
        <v>Zombie Rush</v>
      </c>
      <c r="E280" s="1" t="str">
        <f aca="false">'Raw Data'!E279</f>
        <v>PC</v>
      </c>
      <c r="F280" s="1" t="str">
        <f aca="false">'Raw Data'!F279</f>
        <v>North</v>
      </c>
      <c r="G280" s="23" t="n">
        <f aca="false">'Raw Data'!G279</f>
        <v>45738</v>
      </c>
      <c r="H280" s="1" t="n">
        <f aca="false">'Raw Data'!H279</f>
        <v>71</v>
      </c>
      <c r="I280" s="24" t="n">
        <f aca="false">'Raw Data'!I279</f>
        <v>0</v>
      </c>
      <c r="J280" s="1" t="str">
        <f aca="false">IF('Raw Data'!J279="None","None",IF(ISBLANK('Raw Data'!J279),"None",'Raw Data'!J279))</f>
        <v>None</v>
      </c>
      <c r="K280" s="1" t="str">
        <f aca="false">'Raw Data'!K279</f>
        <v>Completed</v>
      </c>
      <c r="L280" s="1" t="str">
        <f aca="false">'Raw Data'!L279</f>
        <v>Free</v>
      </c>
      <c r="M280" s="1" t="n">
        <f aca="false">'Raw Data'!M279</f>
        <v>38</v>
      </c>
      <c r="N280" s="1" t="str">
        <f aca="false">'Raw Data'!N279</f>
        <v>No</v>
      </c>
    </row>
    <row r="281" customFormat="false" ht="15" hidden="false" customHeight="true" outlineLevel="0" collapsed="false">
      <c r="A281" s="1" t="str">
        <f aca="false">'Raw Data'!A280</f>
        <v>S00277</v>
      </c>
      <c r="B281" s="1" t="str">
        <f aca="false">'Raw Data'!B280</f>
        <v>P8649</v>
      </c>
      <c r="C281" s="1" t="str">
        <f aca="false">'Raw Data'!C280</f>
        <v>melanie33</v>
      </c>
      <c r="D281" s="1" t="str">
        <f aca="false">'Raw Data'!D280</f>
        <v>Zombie Rush</v>
      </c>
      <c r="E281" s="1" t="str">
        <f aca="false">'Raw Data'!E280</f>
        <v>Mobile</v>
      </c>
      <c r="F281" s="1" t="str">
        <f aca="false">'Raw Data'!F280</f>
        <v>North</v>
      </c>
      <c r="G281" s="23" t="n">
        <f aca="false">'Raw Data'!G280</f>
        <v>45735</v>
      </c>
      <c r="H281" s="1" t="n">
        <f aca="false">'Raw Data'!H280</f>
        <v>63</v>
      </c>
      <c r="I281" s="24" t="n">
        <f aca="false">'Raw Data'!I280</f>
        <v>0</v>
      </c>
      <c r="J281" s="1" t="str">
        <f aca="false">IF('Raw Data'!J280="None","None",IF(ISBLANK('Raw Data'!J280),"None",'Raw Data'!J280))</f>
        <v>None</v>
      </c>
      <c r="K281" s="1" t="str">
        <f aca="false">'Raw Data'!K280</f>
        <v>Completed</v>
      </c>
      <c r="L281" s="1" t="str">
        <f aca="false">'Raw Data'!L280</f>
        <v>Free</v>
      </c>
      <c r="M281" s="1" t="n">
        <f aca="false">'Raw Data'!M280</f>
        <v>49</v>
      </c>
      <c r="N281" s="1" t="str">
        <f aca="false">'Raw Data'!N280</f>
        <v>No</v>
      </c>
    </row>
    <row r="282" customFormat="false" ht="15" hidden="false" customHeight="true" outlineLevel="0" collapsed="false">
      <c r="A282" s="1" t="str">
        <f aca="false">'Raw Data'!A281</f>
        <v>S00278</v>
      </c>
      <c r="B282" s="1" t="str">
        <f aca="false">'Raw Data'!B281</f>
        <v>P7465</v>
      </c>
      <c r="C282" s="1" t="str">
        <f aca="false">'Raw Data'!C281</f>
        <v>foxdawn</v>
      </c>
      <c r="D282" s="1" t="str">
        <f aca="false">'Raw Data'!D281</f>
        <v>Zombie Rush</v>
      </c>
      <c r="E282" s="1" t="str">
        <f aca="false">'Raw Data'!E281</f>
        <v>Console</v>
      </c>
      <c r="F282" s="1" t="str">
        <f aca="false">'Raw Data'!F281</f>
        <v>North</v>
      </c>
      <c r="G282" s="23" t="n">
        <f aca="false">'Raw Data'!G281</f>
        <v>45744</v>
      </c>
      <c r="H282" s="1" t="n">
        <f aca="false">'Raw Data'!H281</f>
        <v>175</v>
      </c>
      <c r="I282" s="24" t="n">
        <f aca="false">'Raw Data'!I281</f>
        <v>0</v>
      </c>
      <c r="J282" s="1" t="str">
        <f aca="false">IF('Raw Data'!J281="None","None",IF(ISBLANK('Raw Data'!J281),"None",'Raw Data'!J281))</f>
        <v>None</v>
      </c>
      <c r="K282" s="1" t="str">
        <f aca="false">'Raw Data'!K281</f>
        <v>Crashed</v>
      </c>
      <c r="L282" s="1" t="str">
        <f aca="false">'Raw Data'!L281</f>
        <v>Free</v>
      </c>
      <c r="M282" s="1" t="n">
        <f aca="false">'Raw Data'!M281</f>
        <v>33</v>
      </c>
      <c r="N282" s="1" t="str">
        <f aca="false">'Raw Data'!N281</f>
        <v>Yes</v>
      </c>
    </row>
    <row r="283" customFormat="false" ht="15" hidden="false" customHeight="true" outlineLevel="0" collapsed="false">
      <c r="A283" s="1" t="str">
        <f aca="false">'Raw Data'!A282</f>
        <v>S00279</v>
      </c>
      <c r="B283" s="1" t="str">
        <f aca="false">'Raw Data'!B282</f>
        <v>P8384</v>
      </c>
      <c r="C283" s="1" t="str">
        <f aca="false">'Raw Data'!C282</f>
        <v>walkernathan</v>
      </c>
      <c r="D283" s="1" t="str">
        <f aca="false">'Raw Data'!D282</f>
        <v>Empire Wars</v>
      </c>
      <c r="E283" s="1" t="str">
        <f aca="false">'Raw Data'!E282</f>
        <v>PC</v>
      </c>
      <c r="F283" s="1" t="str">
        <f aca="false">'Raw Data'!F282</f>
        <v>South</v>
      </c>
      <c r="G283" s="23" t="n">
        <f aca="false">'Raw Data'!G282</f>
        <v>45690</v>
      </c>
      <c r="H283" s="1" t="n">
        <f aca="false">'Raw Data'!H282</f>
        <v>91</v>
      </c>
      <c r="I283" s="24" t="n">
        <f aca="false">'Raw Data'!I282</f>
        <v>0</v>
      </c>
      <c r="J283" s="1" t="str">
        <f aca="false">IF('Raw Data'!J282="None","None",IF(ISBLANK('Raw Data'!J282),"None",'Raw Data'!J282))</f>
        <v>None</v>
      </c>
      <c r="K283" s="1" t="str">
        <f aca="false">'Raw Data'!K282</f>
        <v>Completed</v>
      </c>
      <c r="L283" s="1" t="str">
        <f aca="false">'Raw Data'!L282</f>
        <v>Free</v>
      </c>
      <c r="M283" s="1" t="n">
        <f aca="false">'Raw Data'!M282</f>
        <v>22</v>
      </c>
      <c r="N283" s="1" t="str">
        <f aca="false">'Raw Data'!N282</f>
        <v>No</v>
      </c>
    </row>
    <row r="284" customFormat="false" ht="15" hidden="false" customHeight="true" outlineLevel="0" collapsed="false">
      <c r="A284" s="1" t="str">
        <f aca="false">'Raw Data'!A283</f>
        <v>S00280</v>
      </c>
      <c r="B284" s="1" t="str">
        <f aca="false">'Raw Data'!B283</f>
        <v>P9835</v>
      </c>
      <c r="C284" s="1" t="str">
        <f aca="false">'Raw Data'!C283</f>
        <v>leslie88</v>
      </c>
      <c r="D284" s="1" t="str">
        <f aca="false">'Raw Data'!D283</f>
        <v>BattleZone</v>
      </c>
      <c r="E284" s="1" t="str">
        <f aca="false">'Raw Data'!E283</f>
        <v>Console</v>
      </c>
      <c r="F284" s="1" t="str">
        <f aca="false">'Raw Data'!F283</f>
        <v>North</v>
      </c>
      <c r="G284" s="23" t="n">
        <f aca="false">'Raw Data'!G283</f>
        <v>45708</v>
      </c>
      <c r="H284" s="1" t="n">
        <f aca="false">'Raw Data'!H283</f>
        <v>127</v>
      </c>
      <c r="I284" s="24" t="n">
        <f aca="false">'Raw Data'!I283</f>
        <v>40.21</v>
      </c>
      <c r="J284" s="1" t="str">
        <f aca="false">IF('Raw Data'!J283="None","None",IF(ISBLANK('Raw Data'!J283),"None",'Raw Data'!J283))</f>
        <v>Battle Pass</v>
      </c>
      <c r="K284" s="1" t="str">
        <f aca="false">'Raw Data'!K283</f>
        <v>Completed</v>
      </c>
      <c r="L284" s="1" t="str">
        <f aca="false">'Raw Data'!L283</f>
        <v>Paid</v>
      </c>
      <c r="M284" s="1" t="n">
        <f aca="false">'Raw Data'!M283</f>
        <v>38</v>
      </c>
      <c r="N284" s="1" t="str">
        <f aca="false">'Raw Data'!N283</f>
        <v>Yes</v>
      </c>
    </row>
    <row r="285" customFormat="false" ht="15" hidden="false" customHeight="true" outlineLevel="0" collapsed="false">
      <c r="A285" s="1" t="str">
        <f aca="false">'Raw Data'!A284</f>
        <v>S00281</v>
      </c>
      <c r="B285" s="1" t="str">
        <f aca="false">'Raw Data'!B284</f>
        <v>P5712</v>
      </c>
      <c r="C285" s="1" t="str">
        <f aca="false">'Raw Data'!C284</f>
        <v>brandon14</v>
      </c>
      <c r="D285" s="1" t="str">
        <f aca="false">'Raw Data'!D284</f>
        <v>Zombie Rush</v>
      </c>
      <c r="E285" s="1" t="str">
        <f aca="false">'Raw Data'!E284</f>
        <v>Console</v>
      </c>
      <c r="F285" s="1" t="str">
        <f aca="false">'Raw Data'!F284</f>
        <v>North-East</v>
      </c>
      <c r="G285" s="23" t="n">
        <f aca="false">'Raw Data'!G284</f>
        <v>45671</v>
      </c>
      <c r="H285" s="1" t="n">
        <f aca="false">'Raw Data'!H284</f>
        <v>179</v>
      </c>
      <c r="I285" s="24" t="n">
        <f aca="false">'Raw Data'!I284</f>
        <v>0</v>
      </c>
      <c r="J285" s="1" t="str">
        <f aca="false">IF('Raw Data'!J284="None","None",IF(ISBLANK('Raw Data'!J284),"None",'Raw Data'!J284))</f>
        <v>None</v>
      </c>
      <c r="K285" s="1" t="str">
        <f aca="false">'Raw Data'!K284</f>
        <v>Completed</v>
      </c>
      <c r="L285" s="1" t="str">
        <f aca="false">'Raw Data'!L284</f>
        <v>Paid</v>
      </c>
      <c r="M285" s="1" t="n">
        <f aca="false">'Raw Data'!M284</f>
        <v>34</v>
      </c>
      <c r="N285" s="1" t="str">
        <f aca="false">'Raw Data'!N284</f>
        <v>Yes</v>
      </c>
    </row>
    <row r="286" customFormat="false" ht="15" hidden="false" customHeight="true" outlineLevel="0" collapsed="false">
      <c r="A286" s="1" t="str">
        <f aca="false">'Raw Data'!A285</f>
        <v>S00282</v>
      </c>
      <c r="B286" s="1" t="str">
        <f aca="false">'Raw Data'!B285</f>
        <v>P7701</v>
      </c>
      <c r="C286" s="1" t="str">
        <f aca="false">'Raw Data'!C285</f>
        <v>carmenbutler</v>
      </c>
      <c r="D286" s="1" t="str">
        <f aca="false">'Raw Data'!D285</f>
        <v>SpeedX</v>
      </c>
      <c r="E286" s="1" t="str">
        <f aca="false">'Raw Data'!E285</f>
        <v>Mobile</v>
      </c>
      <c r="F286" s="1" t="str">
        <f aca="false">'Raw Data'!F285</f>
        <v>Central</v>
      </c>
      <c r="G286" s="23" t="n">
        <f aca="false">'Raw Data'!G285</f>
        <v>45727</v>
      </c>
      <c r="H286" s="1" t="n">
        <f aca="false">'Raw Data'!H285</f>
        <v>160</v>
      </c>
      <c r="I286" s="24" t="n">
        <f aca="false">'Raw Data'!I285</f>
        <v>0</v>
      </c>
      <c r="J286" s="1" t="str">
        <f aca="false">IF('Raw Data'!J285="None","None",IF(ISBLANK('Raw Data'!J285),"None",'Raw Data'!J285))</f>
        <v>None</v>
      </c>
      <c r="K286" s="1" t="str">
        <f aca="false">'Raw Data'!K285</f>
        <v>Completed</v>
      </c>
      <c r="L286" s="1" t="str">
        <f aca="false">'Raw Data'!L285</f>
        <v>Free</v>
      </c>
      <c r="M286" s="1" t="n">
        <f aca="false">'Raw Data'!M285</f>
        <v>1</v>
      </c>
      <c r="N286" s="1" t="str">
        <f aca="false">'Raw Data'!N285</f>
        <v>Yes</v>
      </c>
    </row>
    <row r="287" customFormat="false" ht="15" hidden="false" customHeight="true" outlineLevel="0" collapsed="false">
      <c r="A287" s="1" t="str">
        <f aca="false">'Raw Data'!A286</f>
        <v>S00283</v>
      </c>
      <c r="B287" s="1" t="str">
        <f aca="false">'Raw Data'!B286</f>
        <v>P7004</v>
      </c>
      <c r="C287" s="1" t="str">
        <f aca="false">'Raw Data'!C286</f>
        <v>monicaharris</v>
      </c>
      <c r="D287" s="1" t="str">
        <f aca="false">'Raw Data'!D286</f>
        <v>BattleZone</v>
      </c>
      <c r="E287" s="1" t="str">
        <f aca="false">'Raw Data'!E286</f>
        <v>PC</v>
      </c>
      <c r="F287" s="1" t="str">
        <f aca="false">'Raw Data'!F286</f>
        <v>West</v>
      </c>
      <c r="G287" s="23" t="n">
        <f aca="false">'Raw Data'!G286</f>
        <v>45762</v>
      </c>
      <c r="H287" s="1" t="n">
        <f aca="false">'Raw Data'!H286</f>
        <v>175</v>
      </c>
      <c r="I287" s="24" t="n">
        <f aca="false">'Raw Data'!I286</f>
        <v>0</v>
      </c>
      <c r="J287" s="1" t="str">
        <f aca="false">IF('Raw Data'!J286="None","None",IF(ISBLANK('Raw Data'!J286),"None",'Raw Data'!J286))</f>
        <v>None</v>
      </c>
      <c r="K287" s="1" t="str">
        <f aca="false">'Raw Data'!K286</f>
        <v>Completed</v>
      </c>
      <c r="L287" s="1" t="str">
        <f aca="false">'Raw Data'!L286</f>
        <v>Free</v>
      </c>
      <c r="M287" s="1" t="n">
        <f aca="false">'Raw Data'!M286</f>
        <v>1</v>
      </c>
      <c r="N287" s="1" t="str">
        <f aca="false">'Raw Data'!N286</f>
        <v>Yes</v>
      </c>
    </row>
    <row r="288" customFormat="false" ht="15" hidden="false" customHeight="true" outlineLevel="0" collapsed="false">
      <c r="A288" s="1" t="str">
        <f aca="false">'Raw Data'!A287</f>
        <v>S00284</v>
      </c>
      <c r="B288" s="1" t="str">
        <f aca="false">'Raw Data'!B287</f>
        <v>P4597</v>
      </c>
      <c r="C288" s="1" t="str">
        <f aca="false">'Raw Data'!C287</f>
        <v>john69</v>
      </c>
      <c r="D288" s="1" t="str">
        <f aca="false">'Raw Data'!D287</f>
        <v>SpeedX</v>
      </c>
      <c r="E288" s="1" t="str">
        <f aca="false">'Raw Data'!E287</f>
        <v>PC</v>
      </c>
      <c r="F288" s="1" t="str">
        <f aca="false">'Raw Data'!F287</f>
        <v>North</v>
      </c>
      <c r="G288" s="23" t="n">
        <f aca="false">'Raw Data'!G287</f>
        <v>45708</v>
      </c>
      <c r="H288" s="1" t="n">
        <f aca="false">'Raw Data'!H287</f>
        <v>112</v>
      </c>
      <c r="I288" s="24" t="n">
        <f aca="false">'Raw Data'!I287</f>
        <v>13.89</v>
      </c>
      <c r="J288" s="1" t="str">
        <f aca="false">IF('Raw Data'!J287="None","None",IF(ISBLANK('Raw Data'!J287),"None",'Raw Data'!J287))</f>
        <v>Battle Pass</v>
      </c>
      <c r="K288" s="1" t="str">
        <f aca="false">'Raw Data'!K287</f>
        <v>Crashed</v>
      </c>
      <c r="L288" s="1" t="str">
        <f aca="false">'Raw Data'!L287</f>
        <v>Paid</v>
      </c>
      <c r="M288" s="1" t="n">
        <f aca="false">'Raw Data'!M287</f>
        <v>25</v>
      </c>
      <c r="N288" s="1" t="str">
        <f aca="false">'Raw Data'!N287</f>
        <v>No</v>
      </c>
    </row>
    <row r="289" customFormat="false" ht="15" hidden="false" customHeight="true" outlineLevel="0" collapsed="false">
      <c r="A289" s="1" t="str">
        <f aca="false">'Raw Data'!A288</f>
        <v>S00285</v>
      </c>
      <c r="B289" s="1" t="str">
        <f aca="false">'Raw Data'!B288</f>
        <v>P3464</v>
      </c>
      <c r="C289" s="1" t="str">
        <f aca="false">'Raw Data'!C288</f>
        <v>ryan43</v>
      </c>
      <c r="D289" s="1" t="str">
        <f aca="false">'Raw Data'!D288</f>
        <v>BattleZone</v>
      </c>
      <c r="E289" s="1" t="str">
        <f aca="false">'Raw Data'!E288</f>
        <v>Console</v>
      </c>
      <c r="F289" s="1" t="str">
        <f aca="false">'Raw Data'!F288</f>
        <v>North-East</v>
      </c>
      <c r="G289" s="23" t="n">
        <f aca="false">'Raw Data'!G288</f>
        <v>45811</v>
      </c>
      <c r="H289" s="1" t="n">
        <f aca="false">'Raw Data'!H288</f>
        <v>85</v>
      </c>
      <c r="I289" s="24" t="n">
        <f aca="false">'Raw Data'!I288</f>
        <v>0</v>
      </c>
      <c r="J289" s="1" t="str">
        <f aca="false">IF('Raw Data'!J288="None","None",IF(ISBLANK('Raw Data'!J288),"None",'Raw Data'!J288))</f>
        <v>None</v>
      </c>
      <c r="K289" s="1" t="str">
        <f aca="false">'Raw Data'!K288</f>
        <v>Exited Early</v>
      </c>
      <c r="L289" s="1" t="str">
        <f aca="false">'Raw Data'!L288</f>
        <v>Free</v>
      </c>
      <c r="M289" s="1" t="n">
        <f aca="false">'Raw Data'!M288</f>
        <v>24</v>
      </c>
      <c r="N289" s="1" t="str">
        <f aca="false">'Raw Data'!N288</f>
        <v>No</v>
      </c>
    </row>
    <row r="290" customFormat="false" ht="15" hidden="false" customHeight="true" outlineLevel="0" collapsed="false">
      <c r="A290" s="1" t="str">
        <f aca="false">'Raw Data'!A289</f>
        <v>S00286</v>
      </c>
      <c r="B290" s="1" t="str">
        <f aca="false">'Raw Data'!B289</f>
        <v>P1653</v>
      </c>
      <c r="C290" s="1" t="str">
        <f aca="false">'Raw Data'!C289</f>
        <v>jeffreybaker</v>
      </c>
      <c r="D290" s="1" t="str">
        <f aca="false">'Raw Data'!D289</f>
        <v>Clash of Realms</v>
      </c>
      <c r="E290" s="1" t="str">
        <f aca="false">'Raw Data'!E289</f>
        <v>PC</v>
      </c>
      <c r="F290" s="1" t="str">
        <f aca="false">'Raw Data'!F289</f>
        <v>North-East</v>
      </c>
      <c r="G290" s="23" t="n">
        <f aca="false">'Raw Data'!G289</f>
        <v>45664</v>
      </c>
      <c r="H290" s="1" t="n">
        <f aca="false">'Raw Data'!H289</f>
        <v>16</v>
      </c>
      <c r="I290" s="24" t="n">
        <f aca="false">'Raw Data'!I289</f>
        <v>0</v>
      </c>
      <c r="J290" s="1" t="str">
        <f aca="false">IF('Raw Data'!J289="None","None",IF(ISBLANK('Raw Data'!J289),"None",'Raw Data'!J289))</f>
        <v>None</v>
      </c>
      <c r="K290" s="1" t="str">
        <f aca="false">'Raw Data'!K289</f>
        <v>Crashed</v>
      </c>
      <c r="L290" s="1" t="str">
        <f aca="false">'Raw Data'!L289</f>
        <v>Free</v>
      </c>
      <c r="M290" s="1" t="n">
        <f aca="false">'Raw Data'!M289</f>
        <v>6</v>
      </c>
      <c r="N290" s="1" t="str">
        <f aca="false">'Raw Data'!N289</f>
        <v>No</v>
      </c>
    </row>
    <row r="291" customFormat="false" ht="15" hidden="false" customHeight="true" outlineLevel="0" collapsed="false">
      <c r="A291" s="1" t="str">
        <f aca="false">'Raw Data'!A290</f>
        <v>S00287</v>
      </c>
      <c r="B291" s="1" t="str">
        <f aca="false">'Raw Data'!B290</f>
        <v>P8328</v>
      </c>
      <c r="C291" s="1" t="str">
        <f aca="false">'Raw Data'!C290</f>
        <v>floresnatalie</v>
      </c>
      <c r="D291" s="1" t="str">
        <f aca="false">'Raw Data'!D290</f>
        <v>Clash of Realms</v>
      </c>
      <c r="E291" s="1" t="str">
        <f aca="false">'Raw Data'!E290</f>
        <v>PC</v>
      </c>
      <c r="F291" s="1" t="str">
        <f aca="false">'Raw Data'!F290</f>
        <v>North</v>
      </c>
      <c r="G291" s="23" t="n">
        <f aca="false">'Raw Data'!G290</f>
        <v>45704</v>
      </c>
      <c r="H291" s="1" t="n">
        <f aca="false">'Raw Data'!H290</f>
        <v>80</v>
      </c>
      <c r="I291" s="24" t="n">
        <f aca="false">'Raw Data'!I290</f>
        <v>0</v>
      </c>
      <c r="J291" s="1" t="str">
        <f aca="false">IF('Raw Data'!J290="None","None",IF(ISBLANK('Raw Data'!J290),"None",'Raw Data'!J290))</f>
        <v>None</v>
      </c>
      <c r="K291" s="1" t="str">
        <f aca="false">'Raw Data'!K290</f>
        <v>Completed</v>
      </c>
      <c r="L291" s="1" t="str">
        <f aca="false">'Raw Data'!L290</f>
        <v>Free</v>
      </c>
      <c r="M291" s="1" t="n">
        <f aca="false">'Raw Data'!M290</f>
        <v>16</v>
      </c>
      <c r="N291" s="1" t="str">
        <f aca="false">'Raw Data'!N290</f>
        <v>No</v>
      </c>
    </row>
    <row r="292" customFormat="false" ht="15" hidden="false" customHeight="true" outlineLevel="0" collapsed="false">
      <c r="A292" s="1" t="str">
        <f aca="false">'Raw Data'!A291</f>
        <v>S00288</v>
      </c>
      <c r="B292" s="1" t="str">
        <f aca="false">'Raw Data'!B291</f>
        <v>P8167</v>
      </c>
      <c r="C292" s="1" t="str">
        <f aca="false">'Raw Data'!C291</f>
        <v>tyler13</v>
      </c>
      <c r="D292" s="1" t="str">
        <f aca="false">'Raw Data'!D291</f>
        <v>BattleZone</v>
      </c>
      <c r="E292" s="1" t="str">
        <f aca="false">'Raw Data'!E291</f>
        <v>Mobile</v>
      </c>
      <c r="F292" s="1" t="str">
        <f aca="false">'Raw Data'!F291</f>
        <v>Central</v>
      </c>
      <c r="G292" s="23" t="n">
        <f aca="false">'Raw Data'!G291</f>
        <v>45746</v>
      </c>
      <c r="H292" s="1" t="n">
        <f aca="false">'Raw Data'!H291</f>
        <v>69</v>
      </c>
      <c r="I292" s="24" t="n">
        <f aca="false">'Raw Data'!I291</f>
        <v>0</v>
      </c>
      <c r="J292" s="1" t="str">
        <f aca="false">IF('Raw Data'!J291="None","None",IF(ISBLANK('Raw Data'!J291),"None",'Raw Data'!J291))</f>
        <v>None</v>
      </c>
      <c r="K292" s="1" t="str">
        <f aca="false">'Raw Data'!K291</f>
        <v>Incomplete</v>
      </c>
      <c r="L292" s="1" t="str">
        <f aca="false">'Raw Data'!L291</f>
        <v>Paid</v>
      </c>
      <c r="M292" s="1" t="n">
        <f aca="false">'Raw Data'!M291</f>
        <v>17</v>
      </c>
      <c r="N292" s="1" t="str">
        <f aca="false">'Raw Data'!N291</f>
        <v>No</v>
      </c>
    </row>
    <row r="293" customFormat="false" ht="15" hidden="false" customHeight="true" outlineLevel="0" collapsed="false">
      <c r="A293" s="1" t="str">
        <f aca="false">'Raw Data'!A292</f>
        <v>S00289</v>
      </c>
      <c r="B293" s="1" t="str">
        <f aca="false">'Raw Data'!B292</f>
        <v>P6334</v>
      </c>
      <c r="C293" s="1" t="str">
        <f aca="false">'Raw Data'!C292</f>
        <v>erictrujillo</v>
      </c>
      <c r="D293" s="1" t="str">
        <f aca="false">'Raw Data'!D292</f>
        <v>SpeedX</v>
      </c>
      <c r="E293" s="1" t="str">
        <f aca="false">'Raw Data'!E292</f>
        <v>Console</v>
      </c>
      <c r="F293" s="1" t="str">
        <f aca="false">'Raw Data'!F292</f>
        <v>Central</v>
      </c>
      <c r="G293" s="23" t="n">
        <f aca="false">'Raw Data'!G292</f>
        <v>45719</v>
      </c>
      <c r="H293" s="1" t="n">
        <f aca="false">'Raw Data'!H292</f>
        <v>25</v>
      </c>
      <c r="I293" s="24" t="n">
        <f aca="false">'Raw Data'!I292</f>
        <v>0</v>
      </c>
      <c r="J293" s="1" t="str">
        <f aca="false">IF('Raw Data'!J292="None","None",IF(ISBLANK('Raw Data'!J292),"None",'Raw Data'!J292))</f>
        <v>None</v>
      </c>
      <c r="K293" s="1" t="str">
        <f aca="false">'Raw Data'!K292</f>
        <v>Completed</v>
      </c>
      <c r="L293" s="1" t="str">
        <f aca="false">'Raw Data'!L292</f>
        <v>Free</v>
      </c>
      <c r="M293" s="1" t="n">
        <f aca="false">'Raw Data'!M292</f>
        <v>34</v>
      </c>
      <c r="N293" s="1" t="str">
        <f aca="false">'Raw Data'!N292</f>
        <v>No</v>
      </c>
    </row>
    <row r="294" customFormat="false" ht="15" hidden="false" customHeight="true" outlineLevel="0" collapsed="false">
      <c r="A294" s="1" t="str">
        <f aca="false">'Raw Data'!A293</f>
        <v>S00290</v>
      </c>
      <c r="B294" s="1" t="str">
        <f aca="false">'Raw Data'!B293</f>
        <v>P4420</v>
      </c>
      <c r="C294" s="1" t="str">
        <f aca="false">'Raw Data'!C293</f>
        <v>wanda82</v>
      </c>
      <c r="D294" s="1" t="str">
        <f aca="false">'Raw Data'!D293</f>
        <v>Clash of Realms</v>
      </c>
      <c r="E294" s="1" t="str">
        <f aca="false">'Raw Data'!E293</f>
        <v>PC</v>
      </c>
      <c r="F294" s="1" t="str">
        <f aca="false">'Raw Data'!F293</f>
        <v>West</v>
      </c>
      <c r="G294" s="23" t="n">
        <f aca="false">'Raw Data'!G293</f>
        <v>45652</v>
      </c>
      <c r="H294" s="1" t="n">
        <f aca="false">'Raw Data'!H293</f>
        <v>154</v>
      </c>
      <c r="I294" s="24" t="n">
        <f aca="false">'Raw Data'!I293</f>
        <v>0</v>
      </c>
      <c r="J294" s="1" t="str">
        <f aca="false">IF('Raw Data'!J293="None","None",IF(ISBLANK('Raw Data'!J293),"None",'Raw Data'!J293))</f>
        <v>None</v>
      </c>
      <c r="K294" s="1" t="str">
        <f aca="false">'Raw Data'!K293</f>
        <v>Completed</v>
      </c>
      <c r="L294" s="1" t="str">
        <f aca="false">'Raw Data'!L293</f>
        <v>Paid</v>
      </c>
      <c r="M294" s="1" t="n">
        <f aca="false">'Raw Data'!M293</f>
        <v>14</v>
      </c>
      <c r="N294" s="1" t="str">
        <f aca="false">'Raw Data'!N293</f>
        <v>Yes</v>
      </c>
    </row>
    <row r="295" customFormat="false" ht="15" hidden="false" customHeight="true" outlineLevel="0" collapsed="false">
      <c r="A295" s="1" t="str">
        <f aca="false">'Raw Data'!A294</f>
        <v>S00291</v>
      </c>
      <c r="B295" s="1" t="str">
        <f aca="false">'Raw Data'!B294</f>
        <v>P6223</v>
      </c>
      <c r="C295" s="1" t="str">
        <f aca="false">'Raw Data'!C294</f>
        <v>raymondjenna</v>
      </c>
      <c r="D295" s="1" t="str">
        <f aca="false">'Raw Data'!D294</f>
        <v>SpeedX</v>
      </c>
      <c r="E295" s="1" t="str">
        <f aca="false">'Raw Data'!E294</f>
        <v>PC</v>
      </c>
      <c r="F295" s="1" t="str">
        <f aca="false">'Raw Data'!F294</f>
        <v>North-East</v>
      </c>
      <c r="G295" s="23" t="n">
        <f aca="false">'Raw Data'!G294</f>
        <v>45771</v>
      </c>
      <c r="H295" s="1" t="n">
        <f aca="false">'Raw Data'!H294</f>
        <v>66</v>
      </c>
      <c r="I295" s="24" t="n">
        <f aca="false">'Raw Data'!I294</f>
        <v>0</v>
      </c>
      <c r="J295" s="1" t="str">
        <f aca="false">IF('Raw Data'!J294="None","None",IF(ISBLANK('Raw Data'!J294),"None",'Raw Data'!J294))</f>
        <v>None</v>
      </c>
      <c r="K295" s="1" t="str">
        <f aca="false">'Raw Data'!K294</f>
        <v>Exited Early</v>
      </c>
      <c r="L295" s="1" t="str">
        <f aca="false">'Raw Data'!L294</f>
        <v>Free</v>
      </c>
      <c r="M295" s="1" t="n">
        <f aca="false">'Raw Data'!M294</f>
        <v>4</v>
      </c>
      <c r="N295" s="1" t="str">
        <f aca="false">'Raw Data'!N294</f>
        <v>No</v>
      </c>
    </row>
    <row r="296" customFormat="false" ht="15" hidden="false" customHeight="true" outlineLevel="0" collapsed="false">
      <c r="A296" s="1" t="str">
        <f aca="false">'Raw Data'!A295</f>
        <v>S00292</v>
      </c>
      <c r="B296" s="1" t="str">
        <f aca="false">'Raw Data'!B295</f>
        <v>P2113</v>
      </c>
      <c r="C296" s="1" t="str">
        <f aca="false">'Raw Data'!C295</f>
        <v>cassandrarice</v>
      </c>
      <c r="D296" s="1" t="str">
        <f aca="false">'Raw Data'!D295</f>
        <v>Zombie Rush</v>
      </c>
      <c r="E296" s="1" t="str">
        <f aca="false">'Raw Data'!E295</f>
        <v>Console</v>
      </c>
      <c r="F296" s="1" t="str">
        <f aca="false">'Raw Data'!F295</f>
        <v>North</v>
      </c>
      <c r="G296" s="23" t="n">
        <f aca="false">'Raw Data'!G295</f>
        <v>45797</v>
      </c>
      <c r="H296" s="1" t="n">
        <f aca="false">'Raw Data'!H295</f>
        <v>164</v>
      </c>
      <c r="I296" s="24" t="n">
        <f aca="false">'Raw Data'!I295</f>
        <v>14.33</v>
      </c>
      <c r="J296" s="1" t="str">
        <f aca="false">IF('Raw Data'!J295="None","None",IF(ISBLANK('Raw Data'!J295),"None",'Raw Data'!J295))</f>
        <v>Skins</v>
      </c>
      <c r="K296" s="1" t="str">
        <f aca="false">'Raw Data'!K295</f>
        <v>Completed</v>
      </c>
      <c r="L296" s="1" t="str">
        <f aca="false">'Raw Data'!L295</f>
        <v>Paid</v>
      </c>
      <c r="M296" s="1" t="n">
        <f aca="false">'Raw Data'!M295</f>
        <v>4</v>
      </c>
      <c r="N296" s="1" t="str">
        <f aca="false">'Raw Data'!N295</f>
        <v>Yes</v>
      </c>
    </row>
    <row r="297" customFormat="false" ht="15" hidden="false" customHeight="true" outlineLevel="0" collapsed="false">
      <c r="A297" s="1" t="str">
        <f aca="false">'Raw Data'!A296</f>
        <v>S00293</v>
      </c>
      <c r="B297" s="1" t="str">
        <f aca="false">'Raw Data'!B296</f>
        <v>P6122</v>
      </c>
      <c r="C297" s="1" t="str">
        <f aca="false">'Raw Data'!C296</f>
        <v>browndenise</v>
      </c>
      <c r="D297" s="1" t="str">
        <f aca="false">'Raw Data'!D296</f>
        <v>Empire Wars</v>
      </c>
      <c r="E297" s="1" t="str">
        <f aca="false">'Raw Data'!E296</f>
        <v>Console</v>
      </c>
      <c r="F297" s="1" t="str">
        <f aca="false">'Raw Data'!F296</f>
        <v>East</v>
      </c>
      <c r="G297" s="23" t="n">
        <f aca="false">'Raw Data'!G296</f>
        <v>45811</v>
      </c>
      <c r="H297" s="1" t="n">
        <f aca="false">'Raw Data'!H296</f>
        <v>9</v>
      </c>
      <c r="I297" s="24" t="n">
        <f aca="false">'Raw Data'!I296</f>
        <v>0</v>
      </c>
      <c r="J297" s="1" t="str">
        <f aca="false">IF('Raw Data'!J296="None","None",IF(ISBLANK('Raw Data'!J296),"None",'Raw Data'!J296))</f>
        <v>None</v>
      </c>
      <c r="K297" s="1" t="str">
        <f aca="false">'Raw Data'!K296</f>
        <v>Completed</v>
      </c>
      <c r="L297" s="1" t="str">
        <f aca="false">'Raw Data'!L296</f>
        <v>Free</v>
      </c>
      <c r="M297" s="1" t="n">
        <f aca="false">'Raw Data'!M296</f>
        <v>10</v>
      </c>
      <c r="N297" s="1" t="str">
        <f aca="false">'Raw Data'!N296</f>
        <v>No</v>
      </c>
    </row>
    <row r="298" customFormat="false" ht="15" hidden="false" customHeight="true" outlineLevel="0" collapsed="false">
      <c r="A298" s="1" t="str">
        <f aca="false">'Raw Data'!A297</f>
        <v>S00294</v>
      </c>
      <c r="B298" s="1" t="str">
        <f aca="false">'Raw Data'!B297</f>
        <v>P2984</v>
      </c>
      <c r="C298" s="1" t="str">
        <f aca="false">'Raw Data'!C297</f>
        <v>jenniferrollins</v>
      </c>
      <c r="D298" s="1" t="str">
        <f aca="false">'Raw Data'!D297</f>
        <v>BattleZone</v>
      </c>
      <c r="E298" s="1" t="str">
        <f aca="false">'Raw Data'!E297</f>
        <v>Mobile</v>
      </c>
      <c r="F298" s="1" t="str">
        <f aca="false">'Raw Data'!F297</f>
        <v>East</v>
      </c>
      <c r="G298" s="23" t="n">
        <f aca="false">'Raw Data'!G297</f>
        <v>45788</v>
      </c>
      <c r="H298" s="1" t="n">
        <f aca="false">'Raw Data'!H297</f>
        <v>31</v>
      </c>
      <c r="I298" s="24" t="n">
        <f aca="false">'Raw Data'!I297</f>
        <v>0</v>
      </c>
      <c r="J298" s="1" t="str">
        <f aca="false">IF('Raw Data'!J297="None","None",IF(ISBLANK('Raw Data'!J297),"None",'Raw Data'!J297))</f>
        <v>None</v>
      </c>
      <c r="K298" s="1" t="str">
        <f aca="false">'Raw Data'!K297</f>
        <v>Crashed</v>
      </c>
      <c r="L298" s="1" t="str">
        <f aca="false">'Raw Data'!L297</f>
        <v>Free</v>
      </c>
      <c r="M298" s="1" t="n">
        <f aca="false">'Raw Data'!M297</f>
        <v>23</v>
      </c>
      <c r="N298" s="1" t="str">
        <f aca="false">'Raw Data'!N297</f>
        <v>No</v>
      </c>
    </row>
    <row r="299" customFormat="false" ht="15" hidden="false" customHeight="true" outlineLevel="0" collapsed="false">
      <c r="A299" s="1" t="str">
        <f aca="false">'Raw Data'!A298</f>
        <v>S00295</v>
      </c>
      <c r="B299" s="1" t="str">
        <f aca="false">'Raw Data'!B298</f>
        <v>P8996</v>
      </c>
      <c r="C299" s="1" t="str">
        <f aca="false">'Raw Data'!C298</f>
        <v>sbrown</v>
      </c>
      <c r="D299" s="1" t="str">
        <f aca="false">'Raw Data'!D298</f>
        <v>Empire Wars</v>
      </c>
      <c r="E299" s="1" t="str">
        <f aca="false">'Raw Data'!E298</f>
        <v>Mobile</v>
      </c>
      <c r="F299" s="1" t="str">
        <f aca="false">'Raw Data'!F298</f>
        <v>Central</v>
      </c>
      <c r="G299" s="23" t="n">
        <f aca="false">'Raw Data'!G298</f>
        <v>45669</v>
      </c>
      <c r="H299" s="1" t="n">
        <f aca="false">'Raw Data'!H298</f>
        <v>61</v>
      </c>
      <c r="I299" s="24" t="n">
        <f aca="false">'Raw Data'!I298</f>
        <v>0</v>
      </c>
      <c r="J299" s="1" t="str">
        <f aca="false">IF('Raw Data'!J298="None","None",IF(ISBLANK('Raw Data'!J298),"None",'Raw Data'!J298))</f>
        <v>None</v>
      </c>
      <c r="K299" s="1" t="str">
        <f aca="false">'Raw Data'!K298</f>
        <v>Completed</v>
      </c>
      <c r="L299" s="1" t="str">
        <f aca="false">'Raw Data'!L298</f>
        <v>Free</v>
      </c>
      <c r="M299" s="1" t="n">
        <f aca="false">'Raw Data'!M298</f>
        <v>30</v>
      </c>
      <c r="N299" s="1" t="str">
        <f aca="false">'Raw Data'!N298</f>
        <v>No</v>
      </c>
    </row>
    <row r="300" customFormat="false" ht="15" hidden="false" customHeight="true" outlineLevel="0" collapsed="false">
      <c r="A300" s="1" t="str">
        <f aca="false">'Raw Data'!A299</f>
        <v>S00296</v>
      </c>
      <c r="B300" s="1" t="str">
        <f aca="false">'Raw Data'!B299</f>
        <v>P1051</v>
      </c>
      <c r="C300" s="1" t="str">
        <f aca="false">'Raw Data'!C299</f>
        <v>kevin42</v>
      </c>
      <c r="D300" s="1" t="str">
        <f aca="false">'Raw Data'!D299</f>
        <v>Empire Wars</v>
      </c>
      <c r="E300" s="1" t="str">
        <f aca="false">'Raw Data'!E299</f>
        <v>PC</v>
      </c>
      <c r="F300" s="1" t="str">
        <f aca="false">'Raw Data'!F299</f>
        <v>South</v>
      </c>
      <c r="G300" s="23" t="n">
        <f aca="false">'Raw Data'!G299</f>
        <v>45719</v>
      </c>
      <c r="H300" s="1" t="n">
        <f aca="false">'Raw Data'!H299</f>
        <v>178</v>
      </c>
      <c r="I300" s="24" t="n">
        <f aca="false">'Raw Data'!I299</f>
        <v>0</v>
      </c>
      <c r="J300" s="1" t="str">
        <f aca="false">IF('Raw Data'!J299="None","None",IF(ISBLANK('Raw Data'!J299),"None",'Raw Data'!J299))</f>
        <v>None</v>
      </c>
      <c r="K300" s="1" t="str">
        <f aca="false">'Raw Data'!K299</f>
        <v>Completed</v>
      </c>
      <c r="L300" s="1" t="str">
        <f aca="false">'Raw Data'!L299</f>
        <v>Free</v>
      </c>
      <c r="M300" s="1" t="n">
        <f aca="false">'Raw Data'!M299</f>
        <v>30</v>
      </c>
      <c r="N300" s="1" t="str">
        <f aca="false">'Raw Data'!N299</f>
        <v>Yes</v>
      </c>
    </row>
    <row r="301" customFormat="false" ht="15" hidden="false" customHeight="true" outlineLevel="0" collapsed="false">
      <c r="A301" s="1" t="str">
        <f aca="false">'Raw Data'!A300</f>
        <v>S00297</v>
      </c>
      <c r="B301" s="1" t="str">
        <f aca="false">'Raw Data'!B300</f>
        <v>P2001</v>
      </c>
      <c r="C301" s="1" t="str">
        <f aca="false">'Raw Data'!C300</f>
        <v>yrichardson</v>
      </c>
      <c r="D301" s="1" t="str">
        <f aca="false">'Raw Data'!D300</f>
        <v>BattleZone</v>
      </c>
      <c r="E301" s="1" t="str">
        <f aca="false">'Raw Data'!E300</f>
        <v>PC</v>
      </c>
      <c r="F301" s="1" t="str">
        <f aca="false">'Raw Data'!F300</f>
        <v>East</v>
      </c>
      <c r="G301" s="23" t="n">
        <f aca="false">'Raw Data'!G300</f>
        <v>45782</v>
      </c>
      <c r="H301" s="1" t="n">
        <f aca="false">'Raw Data'!H300</f>
        <v>68</v>
      </c>
      <c r="I301" s="24" t="n">
        <f aca="false">'Raw Data'!I300</f>
        <v>0</v>
      </c>
      <c r="J301" s="1" t="str">
        <f aca="false">IF('Raw Data'!J300="None","None",IF(ISBLANK('Raw Data'!J300),"None",'Raw Data'!J300))</f>
        <v>None</v>
      </c>
      <c r="K301" s="1" t="str">
        <f aca="false">'Raw Data'!K300</f>
        <v>Completed</v>
      </c>
      <c r="L301" s="1" t="str">
        <f aca="false">'Raw Data'!L300</f>
        <v>Free</v>
      </c>
      <c r="M301" s="1" t="n">
        <f aca="false">'Raw Data'!M300</f>
        <v>21</v>
      </c>
      <c r="N301" s="1" t="str">
        <f aca="false">'Raw Data'!N300</f>
        <v>No</v>
      </c>
    </row>
    <row r="302" customFormat="false" ht="15" hidden="false" customHeight="true" outlineLevel="0" collapsed="false">
      <c r="A302" s="1" t="str">
        <f aca="false">'Raw Data'!A301</f>
        <v>S00298</v>
      </c>
      <c r="B302" s="1" t="str">
        <f aca="false">'Raw Data'!B301</f>
        <v>P1898</v>
      </c>
      <c r="C302" s="1" t="str">
        <f aca="false">'Raw Data'!C301</f>
        <v>yperez</v>
      </c>
      <c r="D302" s="1" t="str">
        <f aca="false">'Raw Data'!D301</f>
        <v>SpeedX</v>
      </c>
      <c r="E302" s="1" t="str">
        <f aca="false">'Raw Data'!E301</f>
        <v>PC</v>
      </c>
      <c r="F302" s="1" t="str">
        <f aca="false">'Raw Data'!F301</f>
        <v>East</v>
      </c>
      <c r="G302" s="23" t="n">
        <f aca="false">'Raw Data'!G301</f>
        <v>45644</v>
      </c>
      <c r="H302" s="1" t="n">
        <f aca="false">'Raw Data'!H301</f>
        <v>174</v>
      </c>
      <c r="I302" s="24" t="n">
        <f aca="false">'Raw Data'!I301</f>
        <v>0</v>
      </c>
      <c r="J302" s="1" t="str">
        <f aca="false">IF('Raw Data'!J301="None","None",IF(ISBLANK('Raw Data'!J301),"None",'Raw Data'!J301))</f>
        <v>None</v>
      </c>
      <c r="K302" s="1" t="str">
        <f aca="false">'Raw Data'!K301</f>
        <v>Exited Early</v>
      </c>
      <c r="L302" s="1" t="str">
        <f aca="false">'Raw Data'!L301</f>
        <v>Free</v>
      </c>
      <c r="M302" s="1" t="n">
        <f aca="false">'Raw Data'!M301</f>
        <v>50</v>
      </c>
      <c r="N302" s="1" t="str">
        <f aca="false">'Raw Data'!N301</f>
        <v>Yes</v>
      </c>
    </row>
    <row r="303" customFormat="false" ht="15" hidden="false" customHeight="true" outlineLevel="0" collapsed="false">
      <c r="A303" s="1" t="str">
        <f aca="false">'Raw Data'!A302</f>
        <v>S00299</v>
      </c>
      <c r="B303" s="1" t="str">
        <f aca="false">'Raw Data'!B302</f>
        <v>P2792</v>
      </c>
      <c r="C303" s="1" t="str">
        <f aca="false">'Raw Data'!C302</f>
        <v>rileyjohn</v>
      </c>
      <c r="D303" s="1" t="str">
        <f aca="false">'Raw Data'!D302</f>
        <v>SpeedX</v>
      </c>
      <c r="E303" s="1" t="str">
        <f aca="false">'Raw Data'!E302</f>
        <v>Mobile</v>
      </c>
      <c r="F303" s="1" t="str">
        <f aca="false">'Raw Data'!F302</f>
        <v>South</v>
      </c>
      <c r="G303" s="23" t="n">
        <f aca="false">'Raw Data'!G302</f>
        <v>45705</v>
      </c>
      <c r="H303" s="1" t="n">
        <f aca="false">'Raw Data'!H302</f>
        <v>42</v>
      </c>
      <c r="I303" s="24" t="n">
        <f aca="false">'Raw Data'!I302</f>
        <v>0</v>
      </c>
      <c r="J303" s="1" t="str">
        <f aca="false">IF('Raw Data'!J302="None","None",IF(ISBLANK('Raw Data'!J302),"None",'Raw Data'!J302))</f>
        <v>None</v>
      </c>
      <c r="K303" s="1" t="str">
        <f aca="false">'Raw Data'!K302</f>
        <v>Completed</v>
      </c>
      <c r="L303" s="1" t="str">
        <f aca="false">'Raw Data'!L302</f>
        <v>Free</v>
      </c>
      <c r="M303" s="1" t="n">
        <f aca="false">'Raw Data'!M302</f>
        <v>15</v>
      </c>
      <c r="N303" s="1" t="str">
        <f aca="false">'Raw Data'!N302</f>
        <v>No</v>
      </c>
    </row>
    <row r="304" customFormat="false" ht="15" hidden="false" customHeight="true" outlineLevel="0" collapsed="false">
      <c r="A304" s="1" t="str">
        <f aca="false">'Raw Data'!A303</f>
        <v>S00300</v>
      </c>
      <c r="B304" s="1" t="str">
        <f aca="false">'Raw Data'!B303</f>
        <v>P8477</v>
      </c>
      <c r="C304" s="1" t="str">
        <f aca="false">'Raw Data'!C303</f>
        <v>smallalice</v>
      </c>
      <c r="D304" s="1" t="str">
        <f aca="false">'Raw Data'!D303</f>
        <v>Zombie Rush</v>
      </c>
      <c r="E304" s="1" t="str">
        <f aca="false">'Raw Data'!E303</f>
        <v>Console</v>
      </c>
      <c r="F304" s="1" t="str">
        <f aca="false">'Raw Data'!F303</f>
        <v>East</v>
      </c>
      <c r="G304" s="23" t="n">
        <f aca="false">'Raw Data'!G303</f>
        <v>45664</v>
      </c>
      <c r="H304" s="1" t="n">
        <f aca="false">'Raw Data'!H303</f>
        <v>90</v>
      </c>
      <c r="I304" s="24" t="n">
        <f aca="false">'Raw Data'!I303</f>
        <v>0</v>
      </c>
      <c r="J304" s="1" t="str">
        <f aca="false">IF('Raw Data'!J303="None","None",IF(ISBLANK('Raw Data'!J303),"None",'Raw Data'!J303))</f>
        <v>None</v>
      </c>
      <c r="K304" s="1" t="str">
        <f aca="false">'Raw Data'!K303</f>
        <v>Exited Early</v>
      </c>
      <c r="L304" s="1" t="str">
        <f aca="false">'Raw Data'!L303</f>
        <v>Free</v>
      </c>
      <c r="M304" s="1" t="n">
        <f aca="false">'Raw Data'!M303</f>
        <v>3</v>
      </c>
      <c r="N304" s="1" t="str">
        <f aca="false">'Raw Data'!N303</f>
        <v>No</v>
      </c>
    </row>
    <row r="305" customFormat="false" ht="15" hidden="false" customHeight="true" outlineLevel="0" collapsed="false">
      <c r="A305" s="1" t="str">
        <f aca="false">'Raw Data'!A304</f>
        <v>S00301</v>
      </c>
      <c r="B305" s="1" t="str">
        <f aca="false">'Raw Data'!B304</f>
        <v>P1529</v>
      </c>
      <c r="C305" s="1" t="str">
        <f aca="false">'Raw Data'!C304</f>
        <v>nicole11</v>
      </c>
      <c r="D305" s="1" t="str">
        <f aca="false">'Raw Data'!D304</f>
        <v>Empire Wars</v>
      </c>
      <c r="E305" s="1" t="str">
        <f aca="false">'Raw Data'!E304</f>
        <v>Mobile</v>
      </c>
      <c r="F305" s="1" t="str">
        <f aca="false">'Raw Data'!F304</f>
        <v>Central</v>
      </c>
      <c r="G305" s="23" t="n">
        <f aca="false">'Raw Data'!G304</f>
        <v>45708</v>
      </c>
      <c r="H305" s="1" t="n">
        <f aca="false">'Raw Data'!H304</f>
        <v>70</v>
      </c>
      <c r="I305" s="24" t="n">
        <f aca="false">'Raw Data'!I304</f>
        <v>19.62</v>
      </c>
      <c r="J305" s="1" t="str">
        <f aca="false">IF('Raw Data'!J304="None","None",IF(ISBLANK('Raw Data'!J304),"None",'Raw Data'!J304))</f>
        <v>Skins</v>
      </c>
      <c r="K305" s="1" t="str">
        <f aca="false">'Raw Data'!K304</f>
        <v>Completed</v>
      </c>
      <c r="L305" s="1" t="str">
        <f aca="false">'Raw Data'!L304</f>
        <v>Paid</v>
      </c>
      <c r="M305" s="1" t="n">
        <f aca="false">'Raw Data'!M304</f>
        <v>47</v>
      </c>
      <c r="N305" s="1" t="str">
        <f aca="false">'Raw Data'!N304</f>
        <v>No</v>
      </c>
    </row>
    <row r="306" customFormat="false" ht="15" hidden="false" customHeight="true" outlineLevel="0" collapsed="false">
      <c r="A306" s="1" t="str">
        <f aca="false">'Raw Data'!A305</f>
        <v>S00302</v>
      </c>
      <c r="B306" s="1" t="str">
        <f aca="false">'Raw Data'!B305</f>
        <v>P5078</v>
      </c>
      <c r="C306" s="1" t="str">
        <f aca="false">'Raw Data'!C305</f>
        <v>elizabeth99</v>
      </c>
      <c r="D306" s="1" t="str">
        <f aca="false">'Raw Data'!D305</f>
        <v>Clash of Realms</v>
      </c>
      <c r="E306" s="1" t="str">
        <f aca="false">'Raw Data'!E305</f>
        <v>Mobile</v>
      </c>
      <c r="F306" s="1" t="str">
        <f aca="false">'Raw Data'!F305</f>
        <v>North</v>
      </c>
      <c r="G306" s="23" t="n">
        <f aca="false">'Raw Data'!G305</f>
        <v>45748</v>
      </c>
      <c r="H306" s="1" t="n">
        <f aca="false">'Raw Data'!H305</f>
        <v>93</v>
      </c>
      <c r="I306" s="24" t="n">
        <f aca="false">'Raw Data'!I305</f>
        <v>0</v>
      </c>
      <c r="J306" s="1" t="str">
        <f aca="false">IF('Raw Data'!J305="None","None",IF(ISBLANK('Raw Data'!J305),"None",'Raw Data'!J305))</f>
        <v>None</v>
      </c>
      <c r="K306" s="1" t="str">
        <f aca="false">'Raw Data'!K305</f>
        <v>Completed</v>
      </c>
      <c r="L306" s="1" t="str">
        <f aca="false">'Raw Data'!L305</f>
        <v>Free</v>
      </c>
      <c r="M306" s="1" t="n">
        <f aca="false">'Raw Data'!M305</f>
        <v>47</v>
      </c>
      <c r="N306" s="1" t="str">
        <f aca="false">'Raw Data'!N305</f>
        <v>No</v>
      </c>
    </row>
    <row r="307" customFormat="false" ht="15" hidden="false" customHeight="true" outlineLevel="0" collapsed="false">
      <c r="A307" s="1" t="str">
        <f aca="false">'Raw Data'!A306</f>
        <v>S00303</v>
      </c>
      <c r="B307" s="1" t="str">
        <f aca="false">'Raw Data'!B306</f>
        <v>P8482</v>
      </c>
      <c r="C307" s="1" t="str">
        <f aca="false">'Raw Data'!C306</f>
        <v>hornjoshua</v>
      </c>
      <c r="D307" s="1" t="str">
        <f aca="false">'Raw Data'!D306</f>
        <v>BattleZone</v>
      </c>
      <c r="E307" s="1" t="str">
        <f aca="false">'Raw Data'!E306</f>
        <v>PC</v>
      </c>
      <c r="F307" s="1" t="str">
        <f aca="false">'Raw Data'!F306</f>
        <v>East</v>
      </c>
      <c r="G307" s="23" t="n">
        <f aca="false">'Raw Data'!G306</f>
        <v>45801</v>
      </c>
      <c r="H307" s="1" t="n">
        <f aca="false">'Raw Data'!H306</f>
        <v>155</v>
      </c>
      <c r="I307" s="24" t="n">
        <f aca="false">'Raw Data'!I306</f>
        <v>31.24</v>
      </c>
      <c r="J307" s="1" t="str">
        <f aca="false">IF('Raw Data'!J306="None","None",IF(ISBLANK('Raw Data'!J306),"None",'Raw Data'!J306))</f>
        <v>Battle Pass</v>
      </c>
      <c r="K307" s="1" t="str">
        <f aca="false">'Raw Data'!K306</f>
        <v>Completed</v>
      </c>
      <c r="L307" s="1" t="str">
        <f aca="false">'Raw Data'!L306</f>
        <v>Paid</v>
      </c>
      <c r="M307" s="1" t="n">
        <f aca="false">'Raw Data'!M306</f>
        <v>33</v>
      </c>
      <c r="N307" s="1" t="str">
        <f aca="false">'Raw Data'!N306</f>
        <v>Yes</v>
      </c>
    </row>
    <row r="308" customFormat="false" ht="15" hidden="false" customHeight="true" outlineLevel="0" collapsed="false">
      <c r="A308" s="1" t="str">
        <f aca="false">'Raw Data'!A307</f>
        <v>S00304</v>
      </c>
      <c r="B308" s="1" t="str">
        <f aca="false">'Raw Data'!B307</f>
        <v>P1757</v>
      </c>
      <c r="C308" s="1" t="str">
        <f aca="false">'Raw Data'!C307</f>
        <v>thomas29</v>
      </c>
      <c r="D308" s="1" t="str">
        <f aca="false">'Raw Data'!D307</f>
        <v>Clash of Realms</v>
      </c>
      <c r="E308" s="1" t="str">
        <f aca="false">'Raw Data'!E307</f>
        <v>Mobile</v>
      </c>
      <c r="F308" s="1" t="str">
        <f aca="false">'Raw Data'!F307</f>
        <v>North</v>
      </c>
      <c r="G308" s="23" t="n">
        <f aca="false">'Raw Data'!G307</f>
        <v>45785</v>
      </c>
      <c r="H308" s="1" t="n">
        <f aca="false">'Raw Data'!H307</f>
        <v>122</v>
      </c>
      <c r="I308" s="24" t="n">
        <f aca="false">'Raw Data'!I307</f>
        <v>40.31</v>
      </c>
      <c r="J308" s="1" t="str">
        <f aca="false">IF('Raw Data'!J307="None","None",IF(ISBLANK('Raw Data'!J307),"None",'Raw Data'!J307))</f>
        <v>Battle Pass</v>
      </c>
      <c r="K308" s="1" t="str">
        <f aca="false">'Raw Data'!K307</f>
        <v>Completed</v>
      </c>
      <c r="L308" s="1" t="str">
        <f aca="false">'Raw Data'!L307</f>
        <v>Paid</v>
      </c>
      <c r="M308" s="1" t="n">
        <f aca="false">'Raw Data'!M307</f>
        <v>33</v>
      </c>
      <c r="N308" s="1" t="str">
        <f aca="false">'Raw Data'!N307</f>
        <v>Yes</v>
      </c>
    </row>
    <row r="309" customFormat="false" ht="15" hidden="false" customHeight="true" outlineLevel="0" collapsed="false">
      <c r="A309" s="1" t="str">
        <f aca="false">'Raw Data'!A308</f>
        <v>S00305</v>
      </c>
      <c r="B309" s="1" t="str">
        <f aca="false">'Raw Data'!B308</f>
        <v>P2330</v>
      </c>
      <c r="C309" s="1" t="str">
        <f aca="false">'Raw Data'!C308</f>
        <v>davidmendoza</v>
      </c>
      <c r="D309" s="1" t="str">
        <f aca="false">'Raw Data'!D308</f>
        <v>Empire Wars</v>
      </c>
      <c r="E309" s="1" t="str">
        <f aca="false">'Raw Data'!E308</f>
        <v>Console</v>
      </c>
      <c r="F309" s="1" t="str">
        <f aca="false">'Raw Data'!F308</f>
        <v>North</v>
      </c>
      <c r="G309" s="23" t="n">
        <f aca="false">'Raw Data'!G308</f>
        <v>45719</v>
      </c>
      <c r="H309" s="1" t="n">
        <f aca="false">'Raw Data'!H308</f>
        <v>62</v>
      </c>
      <c r="I309" s="24" t="n">
        <f aca="false">'Raw Data'!I308</f>
        <v>0</v>
      </c>
      <c r="J309" s="1" t="str">
        <f aca="false">IF('Raw Data'!J308="None","None",IF(ISBLANK('Raw Data'!J308),"None",'Raw Data'!J308))</f>
        <v>None</v>
      </c>
      <c r="K309" s="1" t="str">
        <f aca="false">'Raw Data'!K308</f>
        <v>Incomplete</v>
      </c>
      <c r="L309" s="1" t="str">
        <f aca="false">'Raw Data'!L308</f>
        <v>Free</v>
      </c>
      <c r="M309" s="1" t="n">
        <f aca="false">'Raw Data'!M308</f>
        <v>19</v>
      </c>
      <c r="N309" s="1" t="str">
        <f aca="false">'Raw Data'!N308</f>
        <v>No</v>
      </c>
    </row>
    <row r="310" customFormat="false" ht="15" hidden="false" customHeight="true" outlineLevel="0" collapsed="false">
      <c r="A310" s="1" t="str">
        <f aca="false">'Raw Data'!A309</f>
        <v>S00306</v>
      </c>
      <c r="B310" s="1" t="str">
        <f aca="false">'Raw Data'!B309</f>
        <v>P2906</v>
      </c>
      <c r="C310" s="1" t="str">
        <f aca="false">'Raw Data'!C309</f>
        <v>jacob24</v>
      </c>
      <c r="D310" s="1" t="str">
        <f aca="false">'Raw Data'!D309</f>
        <v>Empire Wars</v>
      </c>
      <c r="E310" s="1" t="str">
        <f aca="false">'Raw Data'!E309</f>
        <v>PC</v>
      </c>
      <c r="F310" s="1" t="str">
        <f aca="false">'Raw Data'!F309</f>
        <v>East</v>
      </c>
      <c r="G310" s="23" t="n">
        <f aca="false">'Raw Data'!G309</f>
        <v>45794</v>
      </c>
      <c r="H310" s="1" t="n">
        <f aca="false">'Raw Data'!H309</f>
        <v>31</v>
      </c>
      <c r="I310" s="24" t="n">
        <f aca="false">'Raw Data'!I309</f>
        <v>0</v>
      </c>
      <c r="J310" s="1" t="str">
        <f aca="false">IF('Raw Data'!J309="None","None",IF(ISBLANK('Raw Data'!J309),"None",'Raw Data'!J309))</f>
        <v>None</v>
      </c>
      <c r="K310" s="1" t="str">
        <f aca="false">'Raw Data'!K309</f>
        <v>Completed</v>
      </c>
      <c r="L310" s="1" t="str">
        <f aca="false">'Raw Data'!L309</f>
        <v>Free</v>
      </c>
      <c r="M310" s="1" t="n">
        <f aca="false">'Raw Data'!M309</f>
        <v>18</v>
      </c>
      <c r="N310" s="1" t="str">
        <f aca="false">'Raw Data'!N309</f>
        <v>No</v>
      </c>
    </row>
    <row r="311" customFormat="false" ht="15" hidden="false" customHeight="true" outlineLevel="0" collapsed="false">
      <c r="A311" s="1" t="str">
        <f aca="false">'Raw Data'!A310</f>
        <v>S00307</v>
      </c>
      <c r="B311" s="1" t="str">
        <f aca="false">'Raw Data'!B310</f>
        <v>P9068</v>
      </c>
      <c r="C311" s="1" t="str">
        <f aca="false">'Raw Data'!C310</f>
        <v>nthompson</v>
      </c>
      <c r="D311" s="1" t="str">
        <f aca="false">'Raw Data'!D310</f>
        <v>BattleZone</v>
      </c>
      <c r="E311" s="1" t="str">
        <f aca="false">'Raw Data'!E310</f>
        <v>Mobile</v>
      </c>
      <c r="F311" s="1" t="str">
        <f aca="false">'Raw Data'!F310</f>
        <v>North-East</v>
      </c>
      <c r="G311" s="23" t="n">
        <f aca="false">'Raw Data'!G310</f>
        <v>45759</v>
      </c>
      <c r="H311" s="1" t="n">
        <f aca="false">'Raw Data'!H310</f>
        <v>109</v>
      </c>
      <c r="I311" s="24" t="n">
        <f aca="false">'Raw Data'!I310</f>
        <v>0</v>
      </c>
      <c r="J311" s="1" t="str">
        <f aca="false">IF('Raw Data'!J310="None","None",IF(ISBLANK('Raw Data'!J310),"None",'Raw Data'!J310))</f>
        <v>None</v>
      </c>
      <c r="K311" s="1" t="str">
        <f aca="false">'Raw Data'!K310</f>
        <v>Completed</v>
      </c>
      <c r="L311" s="1" t="str">
        <f aca="false">'Raw Data'!L310</f>
        <v>Free</v>
      </c>
      <c r="M311" s="1" t="n">
        <f aca="false">'Raw Data'!M310</f>
        <v>40</v>
      </c>
      <c r="N311" s="1" t="str">
        <f aca="false">'Raw Data'!N310</f>
        <v>No</v>
      </c>
    </row>
    <row r="312" customFormat="false" ht="15" hidden="false" customHeight="true" outlineLevel="0" collapsed="false">
      <c r="A312" s="1" t="str">
        <f aca="false">'Raw Data'!A311</f>
        <v>S00308</v>
      </c>
      <c r="B312" s="1" t="str">
        <f aca="false">'Raw Data'!B311</f>
        <v>P6026</v>
      </c>
      <c r="C312" s="1" t="str">
        <f aca="false">'Raw Data'!C311</f>
        <v>ogarcia</v>
      </c>
      <c r="D312" s="1" t="str">
        <f aca="false">'Raw Data'!D311</f>
        <v>SpeedX</v>
      </c>
      <c r="E312" s="1" t="str">
        <f aca="false">'Raw Data'!E311</f>
        <v>Console</v>
      </c>
      <c r="F312" s="1" t="str">
        <f aca="false">'Raw Data'!F311</f>
        <v>East</v>
      </c>
      <c r="G312" s="23" t="n">
        <f aca="false">'Raw Data'!G311</f>
        <v>45708</v>
      </c>
      <c r="H312" s="1" t="n">
        <f aca="false">'Raw Data'!H311</f>
        <v>178</v>
      </c>
      <c r="I312" s="24" t="n">
        <f aca="false">'Raw Data'!I311</f>
        <v>38.37</v>
      </c>
      <c r="J312" s="1" t="str">
        <f aca="false">IF('Raw Data'!J311="None","None",IF(ISBLANK('Raw Data'!J311),"None",'Raw Data'!J311))</f>
        <v>Battle Pass</v>
      </c>
      <c r="K312" s="1" t="str">
        <f aca="false">'Raw Data'!K311</f>
        <v>Completed</v>
      </c>
      <c r="L312" s="1" t="str">
        <f aca="false">'Raw Data'!L311</f>
        <v>Paid</v>
      </c>
      <c r="M312" s="1" t="n">
        <f aca="false">'Raw Data'!M311</f>
        <v>32</v>
      </c>
      <c r="N312" s="1" t="str">
        <f aca="false">'Raw Data'!N311</f>
        <v>Yes</v>
      </c>
    </row>
    <row r="313" customFormat="false" ht="15" hidden="false" customHeight="true" outlineLevel="0" collapsed="false">
      <c r="A313" s="1" t="str">
        <f aca="false">'Raw Data'!A312</f>
        <v>S00309</v>
      </c>
      <c r="B313" s="1" t="str">
        <f aca="false">'Raw Data'!B312</f>
        <v>P8611</v>
      </c>
      <c r="C313" s="1" t="str">
        <f aca="false">'Raw Data'!C312</f>
        <v>cheyennebenton</v>
      </c>
      <c r="D313" s="1" t="str">
        <f aca="false">'Raw Data'!D312</f>
        <v>BattleZone</v>
      </c>
      <c r="E313" s="1" t="str">
        <f aca="false">'Raw Data'!E312</f>
        <v>Mobile</v>
      </c>
      <c r="F313" s="1" t="str">
        <f aca="false">'Raw Data'!F312</f>
        <v>North-East</v>
      </c>
      <c r="G313" s="23" t="n">
        <f aca="false">'Raw Data'!G312</f>
        <v>45666</v>
      </c>
      <c r="H313" s="1" t="n">
        <f aca="false">'Raw Data'!H312</f>
        <v>34</v>
      </c>
      <c r="I313" s="24" t="n">
        <f aca="false">'Raw Data'!I312</f>
        <v>0</v>
      </c>
      <c r="J313" s="1" t="str">
        <f aca="false">IF('Raw Data'!J312="None","None",IF(ISBLANK('Raw Data'!J312),"None",'Raw Data'!J312))</f>
        <v>None</v>
      </c>
      <c r="K313" s="1" t="str">
        <f aca="false">'Raw Data'!K312</f>
        <v>Completed</v>
      </c>
      <c r="L313" s="1" t="str">
        <f aca="false">'Raw Data'!L312</f>
        <v>Free</v>
      </c>
      <c r="M313" s="1" t="n">
        <f aca="false">'Raw Data'!M312</f>
        <v>12</v>
      </c>
      <c r="N313" s="1" t="str">
        <f aca="false">'Raw Data'!N312</f>
        <v>No</v>
      </c>
    </row>
    <row r="314" customFormat="false" ht="15" hidden="false" customHeight="true" outlineLevel="0" collapsed="false">
      <c r="A314" s="1" t="str">
        <f aca="false">'Raw Data'!A313</f>
        <v>S00310</v>
      </c>
      <c r="B314" s="1" t="str">
        <f aca="false">'Raw Data'!B313</f>
        <v>P5092</v>
      </c>
      <c r="C314" s="1" t="str">
        <f aca="false">'Raw Data'!C313</f>
        <v>owenssherry</v>
      </c>
      <c r="D314" s="1" t="str">
        <f aca="false">'Raw Data'!D313</f>
        <v>Clash of Realms</v>
      </c>
      <c r="E314" s="1" t="str">
        <f aca="false">'Raw Data'!E313</f>
        <v>Console</v>
      </c>
      <c r="F314" s="1" t="str">
        <f aca="false">'Raw Data'!F313</f>
        <v>East</v>
      </c>
      <c r="G314" s="23" t="n">
        <f aca="false">'Raw Data'!G313</f>
        <v>45812</v>
      </c>
      <c r="H314" s="1" t="n">
        <f aca="false">'Raw Data'!H313</f>
        <v>139</v>
      </c>
      <c r="I314" s="24" t="n">
        <f aca="false">'Raw Data'!I313</f>
        <v>0</v>
      </c>
      <c r="J314" s="1" t="str">
        <f aca="false">IF('Raw Data'!J313="None","None",IF(ISBLANK('Raw Data'!J313),"None",'Raw Data'!J313))</f>
        <v>None</v>
      </c>
      <c r="K314" s="1" t="str">
        <f aca="false">'Raw Data'!K313</f>
        <v>Completed</v>
      </c>
      <c r="L314" s="1" t="str">
        <f aca="false">'Raw Data'!L313</f>
        <v>Free</v>
      </c>
      <c r="M314" s="1" t="n">
        <f aca="false">'Raw Data'!M313</f>
        <v>1</v>
      </c>
      <c r="N314" s="1" t="str">
        <f aca="false">'Raw Data'!N313</f>
        <v>No</v>
      </c>
    </row>
    <row r="315" customFormat="false" ht="15" hidden="false" customHeight="true" outlineLevel="0" collapsed="false">
      <c r="A315" s="1" t="str">
        <f aca="false">'Raw Data'!A314</f>
        <v>S00311</v>
      </c>
      <c r="B315" s="1" t="str">
        <f aca="false">'Raw Data'!B314</f>
        <v>P6038</v>
      </c>
      <c r="C315" s="1" t="str">
        <f aca="false">'Raw Data'!C314</f>
        <v>tbarker</v>
      </c>
      <c r="D315" s="1" t="str">
        <f aca="false">'Raw Data'!D314</f>
        <v>BattleZone</v>
      </c>
      <c r="E315" s="1" t="str">
        <f aca="false">'Raw Data'!E314</f>
        <v>Mobile</v>
      </c>
      <c r="F315" s="1" t="str">
        <f aca="false">'Raw Data'!F314</f>
        <v>North-East</v>
      </c>
      <c r="G315" s="23" t="n">
        <f aca="false">'Raw Data'!G314</f>
        <v>45682</v>
      </c>
      <c r="H315" s="1" t="n">
        <f aca="false">'Raw Data'!H314</f>
        <v>81</v>
      </c>
      <c r="I315" s="24" t="n">
        <f aca="false">'Raw Data'!I314</f>
        <v>0</v>
      </c>
      <c r="J315" s="1" t="str">
        <f aca="false">IF('Raw Data'!J314="None","None",IF(ISBLANK('Raw Data'!J314),"None",'Raw Data'!J314))</f>
        <v>None</v>
      </c>
      <c r="K315" s="1" t="str">
        <f aca="false">'Raw Data'!K314</f>
        <v>Incomplete</v>
      </c>
      <c r="L315" s="1" t="str">
        <f aca="false">'Raw Data'!L314</f>
        <v>Free</v>
      </c>
      <c r="M315" s="1" t="n">
        <f aca="false">'Raw Data'!M314</f>
        <v>21</v>
      </c>
      <c r="N315" s="1" t="str">
        <f aca="false">'Raw Data'!N314</f>
        <v>No</v>
      </c>
    </row>
    <row r="316" customFormat="false" ht="15" hidden="false" customHeight="true" outlineLevel="0" collapsed="false">
      <c r="A316" s="1" t="str">
        <f aca="false">'Raw Data'!A315</f>
        <v>S00312</v>
      </c>
      <c r="B316" s="1" t="str">
        <f aca="false">'Raw Data'!B315</f>
        <v>P5060</v>
      </c>
      <c r="C316" s="1" t="str">
        <f aca="false">'Raw Data'!C315</f>
        <v>fmason</v>
      </c>
      <c r="D316" s="1" t="str">
        <f aca="false">'Raw Data'!D315</f>
        <v>BattleZone</v>
      </c>
      <c r="E316" s="1" t="str">
        <f aca="false">'Raw Data'!E315</f>
        <v>Mobile</v>
      </c>
      <c r="F316" s="1" t="str">
        <f aca="false">'Raw Data'!F315</f>
        <v>South</v>
      </c>
      <c r="G316" s="23" t="n">
        <f aca="false">'Raw Data'!G315</f>
        <v>45647</v>
      </c>
      <c r="H316" s="1" t="n">
        <f aca="false">'Raw Data'!H315</f>
        <v>13</v>
      </c>
      <c r="I316" s="24" t="n">
        <f aca="false">'Raw Data'!I315</f>
        <v>0</v>
      </c>
      <c r="J316" s="1" t="str">
        <f aca="false">IF('Raw Data'!J315="None","None",IF(ISBLANK('Raw Data'!J315),"None",'Raw Data'!J315))</f>
        <v>None</v>
      </c>
      <c r="K316" s="1" t="str">
        <f aca="false">'Raw Data'!K315</f>
        <v>Completed</v>
      </c>
      <c r="L316" s="1" t="str">
        <f aca="false">'Raw Data'!L315</f>
        <v>Free</v>
      </c>
      <c r="M316" s="1" t="n">
        <f aca="false">'Raw Data'!M315</f>
        <v>12</v>
      </c>
      <c r="N316" s="1" t="str">
        <f aca="false">'Raw Data'!N315</f>
        <v>No</v>
      </c>
    </row>
    <row r="317" customFormat="false" ht="15" hidden="false" customHeight="true" outlineLevel="0" collapsed="false">
      <c r="A317" s="1" t="str">
        <f aca="false">'Raw Data'!A316</f>
        <v>S00313</v>
      </c>
      <c r="B317" s="1" t="str">
        <f aca="false">'Raw Data'!B316</f>
        <v>P9354</v>
      </c>
      <c r="C317" s="1" t="str">
        <f aca="false">'Raw Data'!C316</f>
        <v>jameswanda</v>
      </c>
      <c r="D317" s="1" t="str">
        <f aca="false">'Raw Data'!D316</f>
        <v>BattleZone</v>
      </c>
      <c r="E317" s="1" t="str">
        <f aca="false">'Raw Data'!E316</f>
        <v>PC</v>
      </c>
      <c r="F317" s="1" t="str">
        <f aca="false">'Raw Data'!F316</f>
        <v>West</v>
      </c>
      <c r="G317" s="23" t="n">
        <f aca="false">'Raw Data'!G316</f>
        <v>45664</v>
      </c>
      <c r="H317" s="1" t="n">
        <f aca="false">'Raw Data'!H316</f>
        <v>85</v>
      </c>
      <c r="I317" s="24" t="n">
        <f aca="false">'Raw Data'!I316</f>
        <v>0</v>
      </c>
      <c r="J317" s="1" t="str">
        <f aca="false">IF('Raw Data'!J316="None","None",IF(ISBLANK('Raw Data'!J316),"None",'Raw Data'!J316))</f>
        <v>None</v>
      </c>
      <c r="K317" s="1" t="str">
        <f aca="false">'Raw Data'!K316</f>
        <v>Completed</v>
      </c>
      <c r="L317" s="1" t="str">
        <f aca="false">'Raw Data'!L316</f>
        <v>Free</v>
      </c>
      <c r="M317" s="1" t="n">
        <f aca="false">'Raw Data'!M316</f>
        <v>28</v>
      </c>
      <c r="N317" s="1" t="str">
        <f aca="false">'Raw Data'!N316</f>
        <v>No</v>
      </c>
    </row>
    <row r="318" customFormat="false" ht="15" hidden="false" customHeight="true" outlineLevel="0" collapsed="false">
      <c r="A318" s="1" t="str">
        <f aca="false">'Raw Data'!A317</f>
        <v>S00314</v>
      </c>
      <c r="B318" s="1" t="str">
        <f aca="false">'Raw Data'!B317</f>
        <v>P6556</v>
      </c>
      <c r="C318" s="1" t="str">
        <f aca="false">'Raw Data'!C317</f>
        <v>dennis63</v>
      </c>
      <c r="D318" s="1" t="str">
        <f aca="false">'Raw Data'!D317</f>
        <v>SpeedX</v>
      </c>
      <c r="E318" s="1" t="str">
        <f aca="false">'Raw Data'!E317</f>
        <v>Console</v>
      </c>
      <c r="F318" s="1" t="str">
        <f aca="false">'Raw Data'!F317</f>
        <v>South</v>
      </c>
      <c r="G318" s="23" t="n">
        <f aca="false">'Raw Data'!G317</f>
        <v>45727</v>
      </c>
      <c r="H318" s="1" t="n">
        <f aca="false">'Raw Data'!H317</f>
        <v>158</v>
      </c>
      <c r="I318" s="24" t="n">
        <f aca="false">'Raw Data'!I317</f>
        <v>0</v>
      </c>
      <c r="J318" s="1" t="str">
        <f aca="false">IF('Raw Data'!J317="None","None",IF(ISBLANK('Raw Data'!J317),"None",'Raw Data'!J317))</f>
        <v>None</v>
      </c>
      <c r="K318" s="1" t="str">
        <f aca="false">'Raw Data'!K317</f>
        <v>Crashed</v>
      </c>
      <c r="L318" s="1" t="str">
        <f aca="false">'Raw Data'!L317</f>
        <v>Free</v>
      </c>
      <c r="M318" s="1" t="n">
        <f aca="false">'Raw Data'!M317</f>
        <v>22</v>
      </c>
      <c r="N318" s="1" t="str">
        <f aca="false">'Raw Data'!N317</f>
        <v>Yes</v>
      </c>
    </row>
    <row r="319" customFormat="false" ht="15" hidden="false" customHeight="true" outlineLevel="0" collapsed="false">
      <c r="A319" s="1" t="str">
        <f aca="false">'Raw Data'!A318</f>
        <v>S00315</v>
      </c>
      <c r="B319" s="1" t="str">
        <f aca="false">'Raw Data'!B318</f>
        <v>P6685</v>
      </c>
      <c r="C319" s="1" t="str">
        <f aca="false">'Raw Data'!C318</f>
        <v>coreyperez</v>
      </c>
      <c r="D319" s="1" t="str">
        <f aca="false">'Raw Data'!D318</f>
        <v>BattleZone</v>
      </c>
      <c r="E319" s="1" t="str">
        <f aca="false">'Raw Data'!E318</f>
        <v>Console</v>
      </c>
      <c r="F319" s="1" t="str">
        <f aca="false">'Raw Data'!F318</f>
        <v>North</v>
      </c>
      <c r="G319" s="23" t="n">
        <f aca="false">'Raw Data'!G318</f>
        <v>45776</v>
      </c>
      <c r="H319" s="1" t="n">
        <f aca="false">'Raw Data'!H318</f>
        <v>140</v>
      </c>
      <c r="I319" s="24" t="n">
        <f aca="false">'Raw Data'!I318</f>
        <v>0</v>
      </c>
      <c r="J319" s="1" t="str">
        <f aca="false">IF('Raw Data'!J318="None","None",IF(ISBLANK('Raw Data'!J318),"None",'Raw Data'!J318))</f>
        <v>None</v>
      </c>
      <c r="K319" s="1" t="str">
        <f aca="false">'Raw Data'!K318</f>
        <v>Completed</v>
      </c>
      <c r="L319" s="1" t="str">
        <f aca="false">'Raw Data'!L318</f>
        <v>Free</v>
      </c>
      <c r="M319" s="1" t="n">
        <f aca="false">'Raw Data'!M318</f>
        <v>1</v>
      </c>
      <c r="N319" s="1" t="str">
        <f aca="false">'Raw Data'!N318</f>
        <v>No</v>
      </c>
    </row>
    <row r="320" customFormat="false" ht="15" hidden="false" customHeight="true" outlineLevel="0" collapsed="false">
      <c r="A320" s="1" t="str">
        <f aca="false">'Raw Data'!A319</f>
        <v>S00316</v>
      </c>
      <c r="B320" s="1" t="str">
        <f aca="false">'Raw Data'!B319</f>
        <v>P3050</v>
      </c>
      <c r="C320" s="1" t="str">
        <f aca="false">'Raw Data'!C319</f>
        <v>gonzalezcindy</v>
      </c>
      <c r="D320" s="1" t="str">
        <f aca="false">'Raw Data'!D319</f>
        <v>Clash of Realms</v>
      </c>
      <c r="E320" s="1" t="str">
        <f aca="false">'Raw Data'!E319</f>
        <v>PC</v>
      </c>
      <c r="F320" s="1" t="str">
        <f aca="false">'Raw Data'!F319</f>
        <v>West</v>
      </c>
      <c r="G320" s="23" t="n">
        <f aca="false">'Raw Data'!G319</f>
        <v>45747</v>
      </c>
      <c r="H320" s="1" t="n">
        <f aca="false">'Raw Data'!H319</f>
        <v>179</v>
      </c>
      <c r="I320" s="24" t="n">
        <f aca="false">'Raw Data'!I319</f>
        <v>0</v>
      </c>
      <c r="J320" s="1" t="str">
        <f aca="false">IF('Raw Data'!J319="None","None",IF(ISBLANK('Raw Data'!J319),"None",'Raw Data'!J319))</f>
        <v>None</v>
      </c>
      <c r="K320" s="1" t="str">
        <f aca="false">'Raw Data'!K319</f>
        <v>Completed</v>
      </c>
      <c r="L320" s="1" t="str">
        <f aca="false">'Raw Data'!L319</f>
        <v>Free</v>
      </c>
      <c r="M320" s="1" t="n">
        <f aca="false">'Raw Data'!M319</f>
        <v>5</v>
      </c>
      <c r="N320" s="1" t="str">
        <f aca="false">'Raw Data'!N319</f>
        <v>Yes</v>
      </c>
    </row>
    <row r="321" customFormat="false" ht="15" hidden="false" customHeight="true" outlineLevel="0" collapsed="false">
      <c r="A321" s="1" t="str">
        <f aca="false">'Raw Data'!A320</f>
        <v>S00317</v>
      </c>
      <c r="B321" s="1" t="str">
        <f aca="false">'Raw Data'!B320</f>
        <v>P2939</v>
      </c>
      <c r="C321" s="1" t="str">
        <f aca="false">'Raw Data'!C320</f>
        <v>millersarah</v>
      </c>
      <c r="D321" s="1" t="str">
        <f aca="false">'Raw Data'!D320</f>
        <v>SpeedX</v>
      </c>
      <c r="E321" s="1" t="str">
        <f aca="false">'Raw Data'!E320</f>
        <v>PC</v>
      </c>
      <c r="F321" s="1" t="str">
        <f aca="false">'Raw Data'!F320</f>
        <v>South</v>
      </c>
      <c r="G321" s="23" t="n">
        <f aca="false">'Raw Data'!G320</f>
        <v>45666</v>
      </c>
      <c r="H321" s="1" t="n">
        <f aca="false">'Raw Data'!H320</f>
        <v>73</v>
      </c>
      <c r="I321" s="24" t="n">
        <f aca="false">'Raw Data'!I320</f>
        <v>0</v>
      </c>
      <c r="J321" s="1" t="str">
        <f aca="false">IF('Raw Data'!J320="None","None",IF(ISBLANK('Raw Data'!J320),"None",'Raw Data'!J320))</f>
        <v>None</v>
      </c>
      <c r="K321" s="1" t="str">
        <f aca="false">'Raw Data'!K320</f>
        <v>Incomplete</v>
      </c>
      <c r="L321" s="1" t="str">
        <f aca="false">'Raw Data'!L320</f>
        <v>Free</v>
      </c>
      <c r="M321" s="1" t="n">
        <f aca="false">'Raw Data'!M320</f>
        <v>15</v>
      </c>
      <c r="N321" s="1" t="str">
        <f aca="false">'Raw Data'!N320</f>
        <v>No</v>
      </c>
    </row>
    <row r="322" customFormat="false" ht="15" hidden="false" customHeight="true" outlineLevel="0" collapsed="false">
      <c r="A322" s="1" t="str">
        <f aca="false">'Raw Data'!A321</f>
        <v>S00318</v>
      </c>
      <c r="B322" s="1" t="str">
        <f aca="false">'Raw Data'!B321</f>
        <v>P4946</v>
      </c>
      <c r="C322" s="1" t="str">
        <f aca="false">'Raw Data'!C321</f>
        <v>thompsontodd</v>
      </c>
      <c r="D322" s="1" t="str">
        <f aca="false">'Raw Data'!D321</f>
        <v>Empire Wars</v>
      </c>
      <c r="E322" s="1" t="str">
        <f aca="false">'Raw Data'!E321</f>
        <v>PC</v>
      </c>
      <c r="F322" s="1" t="str">
        <f aca="false">'Raw Data'!F321</f>
        <v>East</v>
      </c>
      <c r="G322" s="23" t="n">
        <f aca="false">'Raw Data'!G321</f>
        <v>45747</v>
      </c>
      <c r="H322" s="1" t="n">
        <f aca="false">'Raw Data'!H321</f>
        <v>83</v>
      </c>
      <c r="I322" s="24" t="n">
        <f aca="false">'Raw Data'!I321</f>
        <v>0</v>
      </c>
      <c r="J322" s="1" t="str">
        <f aca="false">IF('Raw Data'!J321="None","None",IF(ISBLANK('Raw Data'!J321),"None",'Raw Data'!J321))</f>
        <v>None</v>
      </c>
      <c r="K322" s="1" t="str">
        <f aca="false">'Raw Data'!K321</f>
        <v>Completed</v>
      </c>
      <c r="L322" s="1" t="str">
        <f aca="false">'Raw Data'!L321</f>
        <v>Free</v>
      </c>
      <c r="M322" s="1" t="n">
        <f aca="false">'Raw Data'!M321</f>
        <v>1</v>
      </c>
      <c r="N322" s="1" t="str">
        <f aca="false">'Raw Data'!N321</f>
        <v>No</v>
      </c>
    </row>
    <row r="323" customFormat="false" ht="15" hidden="false" customHeight="true" outlineLevel="0" collapsed="false">
      <c r="A323" s="1" t="str">
        <f aca="false">'Raw Data'!A322</f>
        <v>S00319</v>
      </c>
      <c r="B323" s="1" t="str">
        <f aca="false">'Raw Data'!B322</f>
        <v>P2067</v>
      </c>
      <c r="C323" s="1" t="str">
        <f aca="false">'Raw Data'!C322</f>
        <v>waltersnicholas</v>
      </c>
      <c r="D323" s="1" t="str">
        <f aca="false">'Raw Data'!D322</f>
        <v>Zombie Rush</v>
      </c>
      <c r="E323" s="1" t="str">
        <f aca="false">'Raw Data'!E322</f>
        <v>PC</v>
      </c>
      <c r="F323" s="1" t="str">
        <f aca="false">'Raw Data'!F322</f>
        <v>North</v>
      </c>
      <c r="G323" s="23" t="n">
        <f aca="false">'Raw Data'!G322</f>
        <v>45678</v>
      </c>
      <c r="H323" s="1" t="n">
        <f aca="false">'Raw Data'!H322</f>
        <v>152</v>
      </c>
      <c r="I323" s="24" t="n">
        <f aca="false">'Raw Data'!I322</f>
        <v>0</v>
      </c>
      <c r="J323" s="1" t="str">
        <f aca="false">IF('Raw Data'!J322="None","None",IF(ISBLANK('Raw Data'!J322),"None",'Raw Data'!J322))</f>
        <v>None</v>
      </c>
      <c r="K323" s="1" t="str">
        <f aca="false">'Raw Data'!K322</f>
        <v>Completed</v>
      </c>
      <c r="L323" s="1" t="str">
        <f aca="false">'Raw Data'!L322</f>
        <v>Free</v>
      </c>
      <c r="M323" s="1" t="n">
        <f aca="false">'Raw Data'!M322</f>
        <v>31</v>
      </c>
      <c r="N323" s="1" t="str">
        <f aca="false">'Raw Data'!N322</f>
        <v>Yes</v>
      </c>
    </row>
    <row r="324" customFormat="false" ht="15" hidden="false" customHeight="true" outlineLevel="0" collapsed="false">
      <c r="A324" s="1" t="str">
        <f aca="false">'Raw Data'!A323</f>
        <v>S00320</v>
      </c>
      <c r="B324" s="1" t="str">
        <f aca="false">'Raw Data'!B323</f>
        <v>P1338</v>
      </c>
      <c r="C324" s="1" t="str">
        <f aca="false">'Raw Data'!C323</f>
        <v>hharris</v>
      </c>
      <c r="D324" s="1" t="str">
        <f aca="false">'Raw Data'!D323</f>
        <v>BattleZone</v>
      </c>
      <c r="E324" s="1" t="str">
        <f aca="false">'Raw Data'!E323</f>
        <v>PC</v>
      </c>
      <c r="F324" s="1" t="str">
        <f aca="false">'Raw Data'!F323</f>
        <v>Central</v>
      </c>
      <c r="G324" s="23" t="n">
        <f aca="false">'Raw Data'!G323</f>
        <v>45688</v>
      </c>
      <c r="H324" s="1" t="n">
        <f aca="false">'Raw Data'!H323</f>
        <v>156</v>
      </c>
      <c r="I324" s="24" t="n">
        <f aca="false">'Raw Data'!I323</f>
        <v>0</v>
      </c>
      <c r="J324" s="1" t="str">
        <f aca="false">IF('Raw Data'!J323="None","None",IF(ISBLANK('Raw Data'!J323),"None",'Raw Data'!J323))</f>
        <v>None</v>
      </c>
      <c r="K324" s="1" t="str">
        <f aca="false">'Raw Data'!K323</f>
        <v>Crashed</v>
      </c>
      <c r="L324" s="1" t="str">
        <f aca="false">'Raw Data'!L323</f>
        <v>Free</v>
      </c>
      <c r="M324" s="1" t="n">
        <f aca="false">'Raw Data'!M323</f>
        <v>14</v>
      </c>
      <c r="N324" s="1" t="str">
        <f aca="false">'Raw Data'!N323</f>
        <v>Yes</v>
      </c>
    </row>
    <row r="325" customFormat="false" ht="15" hidden="false" customHeight="true" outlineLevel="0" collapsed="false">
      <c r="A325" s="1" t="str">
        <f aca="false">'Raw Data'!A324</f>
        <v>S00321</v>
      </c>
      <c r="B325" s="1" t="str">
        <f aca="false">'Raw Data'!B324</f>
        <v>P3964</v>
      </c>
      <c r="C325" s="1" t="str">
        <f aca="false">'Raw Data'!C324</f>
        <v>kristopheralvarez</v>
      </c>
      <c r="D325" s="1" t="str">
        <f aca="false">'Raw Data'!D324</f>
        <v>Zombie Rush</v>
      </c>
      <c r="E325" s="1" t="str">
        <f aca="false">'Raw Data'!E324</f>
        <v>Mobile</v>
      </c>
      <c r="F325" s="1" t="str">
        <f aca="false">'Raw Data'!F324</f>
        <v>West</v>
      </c>
      <c r="G325" s="23" t="n">
        <f aca="false">'Raw Data'!G324</f>
        <v>45788</v>
      </c>
      <c r="H325" s="1" t="n">
        <f aca="false">'Raw Data'!H324</f>
        <v>33</v>
      </c>
      <c r="I325" s="24" t="n">
        <f aca="false">'Raw Data'!I324</f>
        <v>0</v>
      </c>
      <c r="J325" s="1" t="str">
        <f aca="false">IF('Raw Data'!J324="None","None",IF(ISBLANK('Raw Data'!J324),"None",'Raw Data'!J324))</f>
        <v>None</v>
      </c>
      <c r="K325" s="1" t="str">
        <f aca="false">'Raw Data'!K324</f>
        <v>Crashed</v>
      </c>
      <c r="L325" s="1" t="str">
        <f aca="false">'Raw Data'!L324</f>
        <v>Free</v>
      </c>
      <c r="M325" s="1" t="n">
        <f aca="false">'Raw Data'!M324</f>
        <v>7</v>
      </c>
      <c r="N325" s="1" t="str">
        <f aca="false">'Raw Data'!N324</f>
        <v>No</v>
      </c>
    </row>
    <row r="326" customFormat="false" ht="15" hidden="false" customHeight="true" outlineLevel="0" collapsed="false">
      <c r="A326" s="1" t="str">
        <f aca="false">'Raw Data'!A325</f>
        <v>S00322</v>
      </c>
      <c r="B326" s="1" t="str">
        <f aca="false">'Raw Data'!B325</f>
        <v>P6010</v>
      </c>
      <c r="C326" s="1" t="str">
        <f aca="false">'Raw Data'!C325</f>
        <v>emilyking</v>
      </c>
      <c r="D326" s="1" t="str">
        <f aca="false">'Raw Data'!D325</f>
        <v>BattleZone</v>
      </c>
      <c r="E326" s="1" t="str">
        <f aca="false">'Raw Data'!E325</f>
        <v>PC</v>
      </c>
      <c r="F326" s="1" t="str">
        <f aca="false">'Raw Data'!F325</f>
        <v>South</v>
      </c>
      <c r="G326" s="23" t="n">
        <f aca="false">'Raw Data'!G325</f>
        <v>45678</v>
      </c>
      <c r="H326" s="1" t="n">
        <f aca="false">'Raw Data'!H325</f>
        <v>128</v>
      </c>
      <c r="I326" s="24" t="n">
        <f aca="false">'Raw Data'!I325</f>
        <v>0</v>
      </c>
      <c r="J326" s="1" t="str">
        <f aca="false">IF('Raw Data'!J325="None","None",IF(ISBLANK('Raw Data'!J325),"None",'Raw Data'!J325))</f>
        <v>None</v>
      </c>
      <c r="K326" s="1" t="str">
        <f aca="false">'Raw Data'!K325</f>
        <v>Completed</v>
      </c>
      <c r="L326" s="1" t="str">
        <f aca="false">'Raw Data'!L325</f>
        <v>Free</v>
      </c>
      <c r="M326" s="1" t="n">
        <f aca="false">'Raw Data'!M325</f>
        <v>35</v>
      </c>
      <c r="N326" s="1" t="str">
        <f aca="false">'Raw Data'!N325</f>
        <v>No</v>
      </c>
    </row>
    <row r="327" customFormat="false" ht="15" hidden="false" customHeight="true" outlineLevel="0" collapsed="false">
      <c r="A327" s="1" t="str">
        <f aca="false">'Raw Data'!A326</f>
        <v>S00323</v>
      </c>
      <c r="B327" s="1" t="str">
        <f aca="false">'Raw Data'!B326</f>
        <v>P7890</v>
      </c>
      <c r="C327" s="1" t="str">
        <f aca="false">'Raw Data'!C326</f>
        <v>bobbyanderson</v>
      </c>
      <c r="D327" s="1" t="str">
        <f aca="false">'Raw Data'!D326</f>
        <v>BattleZone</v>
      </c>
      <c r="E327" s="1" t="str">
        <f aca="false">'Raw Data'!E326</f>
        <v>Mobile</v>
      </c>
      <c r="F327" s="1" t="str">
        <f aca="false">'Raw Data'!F326</f>
        <v>South</v>
      </c>
      <c r="G327" s="23" t="n">
        <f aca="false">'Raw Data'!G326</f>
        <v>45694</v>
      </c>
      <c r="H327" s="1" t="n">
        <f aca="false">'Raw Data'!H326</f>
        <v>58</v>
      </c>
      <c r="I327" s="24" t="n">
        <f aca="false">'Raw Data'!I326</f>
        <v>0</v>
      </c>
      <c r="J327" s="1" t="str">
        <f aca="false">IF('Raw Data'!J326="None","None",IF(ISBLANK('Raw Data'!J326),"None",'Raw Data'!J326))</f>
        <v>None</v>
      </c>
      <c r="K327" s="1" t="str">
        <f aca="false">'Raw Data'!K326</f>
        <v>Incomplete</v>
      </c>
      <c r="L327" s="1" t="str">
        <f aca="false">'Raw Data'!L326</f>
        <v>Free</v>
      </c>
      <c r="M327" s="1" t="n">
        <f aca="false">'Raw Data'!M326</f>
        <v>15</v>
      </c>
      <c r="N327" s="1" t="str">
        <f aca="false">'Raw Data'!N326</f>
        <v>No</v>
      </c>
    </row>
    <row r="328" customFormat="false" ht="15" hidden="false" customHeight="true" outlineLevel="0" collapsed="false">
      <c r="A328" s="1" t="str">
        <f aca="false">'Raw Data'!A327</f>
        <v>S00324</v>
      </c>
      <c r="B328" s="1" t="str">
        <f aca="false">'Raw Data'!B327</f>
        <v>P5731</v>
      </c>
      <c r="C328" s="1" t="str">
        <f aca="false">'Raw Data'!C327</f>
        <v>erinhansen</v>
      </c>
      <c r="D328" s="1" t="str">
        <f aca="false">'Raw Data'!D327</f>
        <v>SpeedX</v>
      </c>
      <c r="E328" s="1" t="str">
        <f aca="false">'Raw Data'!E327</f>
        <v>Mobile</v>
      </c>
      <c r="F328" s="1" t="str">
        <f aca="false">'Raw Data'!F327</f>
        <v>South</v>
      </c>
      <c r="G328" s="23" t="n">
        <f aca="false">'Raw Data'!G327</f>
        <v>45647</v>
      </c>
      <c r="H328" s="1" t="n">
        <f aca="false">'Raw Data'!H327</f>
        <v>77</v>
      </c>
      <c r="I328" s="24" t="n">
        <f aca="false">'Raw Data'!I327</f>
        <v>0</v>
      </c>
      <c r="J328" s="1" t="str">
        <f aca="false">IF('Raw Data'!J327="None","None",IF(ISBLANK('Raw Data'!J327),"None",'Raw Data'!J327))</f>
        <v>None</v>
      </c>
      <c r="K328" s="1" t="str">
        <f aca="false">'Raw Data'!K327</f>
        <v>Completed</v>
      </c>
      <c r="L328" s="1" t="str">
        <f aca="false">'Raw Data'!L327</f>
        <v>Free</v>
      </c>
      <c r="M328" s="1" t="n">
        <f aca="false">'Raw Data'!M327</f>
        <v>11</v>
      </c>
      <c r="N328" s="1" t="str">
        <f aca="false">'Raw Data'!N327</f>
        <v>No</v>
      </c>
    </row>
    <row r="329" customFormat="false" ht="15" hidden="false" customHeight="true" outlineLevel="0" collapsed="false">
      <c r="A329" s="1" t="str">
        <f aca="false">'Raw Data'!A328</f>
        <v>S00325</v>
      </c>
      <c r="B329" s="1" t="str">
        <f aca="false">'Raw Data'!B328</f>
        <v>P2254</v>
      </c>
      <c r="C329" s="1" t="str">
        <f aca="false">'Raw Data'!C328</f>
        <v>gerald82</v>
      </c>
      <c r="D329" s="1" t="str">
        <f aca="false">'Raw Data'!D328</f>
        <v>Clash of Realms</v>
      </c>
      <c r="E329" s="1" t="str">
        <f aca="false">'Raw Data'!E328</f>
        <v>Console</v>
      </c>
      <c r="F329" s="1" t="str">
        <f aca="false">'Raw Data'!F328</f>
        <v>South</v>
      </c>
      <c r="G329" s="23" t="n">
        <f aca="false">'Raw Data'!G328</f>
        <v>45641</v>
      </c>
      <c r="H329" s="1" t="n">
        <f aca="false">'Raw Data'!H328</f>
        <v>175</v>
      </c>
      <c r="I329" s="24" t="n">
        <f aca="false">'Raw Data'!I328</f>
        <v>0</v>
      </c>
      <c r="J329" s="1" t="str">
        <f aca="false">IF('Raw Data'!J328="None","None",IF(ISBLANK('Raw Data'!J328),"None",'Raw Data'!J328))</f>
        <v>None</v>
      </c>
      <c r="K329" s="1" t="str">
        <f aca="false">'Raw Data'!K328</f>
        <v>Crashed</v>
      </c>
      <c r="L329" s="1" t="str">
        <f aca="false">'Raw Data'!L328</f>
        <v>Paid</v>
      </c>
      <c r="M329" s="1" t="n">
        <f aca="false">'Raw Data'!M328</f>
        <v>10</v>
      </c>
      <c r="N329" s="1" t="str">
        <f aca="false">'Raw Data'!N328</f>
        <v>Yes</v>
      </c>
    </row>
    <row r="330" customFormat="false" ht="15" hidden="false" customHeight="true" outlineLevel="0" collapsed="false">
      <c r="A330" s="1" t="str">
        <f aca="false">'Raw Data'!A329</f>
        <v>S00326</v>
      </c>
      <c r="B330" s="1" t="str">
        <f aca="false">'Raw Data'!B329</f>
        <v>P2231</v>
      </c>
      <c r="C330" s="1" t="str">
        <f aca="false">'Raw Data'!C329</f>
        <v>jeffreyjimenez</v>
      </c>
      <c r="D330" s="1" t="str">
        <f aca="false">'Raw Data'!D329</f>
        <v>Clash of Realms</v>
      </c>
      <c r="E330" s="1" t="str">
        <f aca="false">'Raw Data'!E329</f>
        <v>PC</v>
      </c>
      <c r="F330" s="1" t="str">
        <f aca="false">'Raw Data'!F329</f>
        <v>North</v>
      </c>
      <c r="G330" s="23" t="n">
        <f aca="false">'Raw Data'!G329</f>
        <v>45727</v>
      </c>
      <c r="H330" s="1" t="n">
        <f aca="false">'Raw Data'!H329</f>
        <v>90</v>
      </c>
      <c r="I330" s="24" t="n">
        <f aca="false">'Raw Data'!I329</f>
        <v>0</v>
      </c>
      <c r="J330" s="1" t="str">
        <f aca="false">IF('Raw Data'!J329="None","None",IF(ISBLANK('Raw Data'!J329),"None",'Raw Data'!J329))</f>
        <v>None</v>
      </c>
      <c r="K330" s="1" t="str">
        <f aca="false">'Raw Data'!K329</f>
        <v>Completed</v>
      </c>
      <c r="L330" s="1" t="str">
        <f aca="false">'Raw Data'!L329</f>
        <v>Free</v>
      </c>
      <c r="M330" s="1" t="n">
        <f aca="false">'Raw Data'!M329</f>
        <v>50</v>
      </c>
      <c r="N330" s="1" t="str">
        <f aca="false">'Raw Data'!N329</f>
        <v>No</v>
      </c>
    </row>
    <row r="331" customFormat="false" ht="15" hidden="false" customHeight="true" outlineLevel="0" collapsed="false">
      <c r="A331" s="1" t="str">
        <f aca="false">'Raw Data'!A330</f>
        <v>S00327</v>
      </c>
      <c r="B331" s="1" t="str">
        <f aca="false">'Raw Data'!B330</f>
        <v>P2736</v>
      </c>
      <c r="C331" s="1" t="str">
        <f aca="false">'Raw Data'!C330</f>
        <v>lcase</v>
      </c>
      <c r="D331" s="1" t="str">
        <f aca="false">'Raw Data'!D330</f>
        <v>Empire Wars</v>
      </c>
      <c r="E331" s="1" t="str">
        <f aca="false">'Raw Data'!E330</f>
        <v>Mobile</v>
      </c>
      <c r="F331" s="1" t="str">
        <f aca="false">'Raw Data'!F330</f>
        <v>Central</v>
      </c>
      <c r="G331" s="23" t="n">
        <f aca="false">'Raw Data'!G330</f>
        <v>45793</v>
      </c>
      <c r="H331" s="1" t="n">
        <f aca="false">'Raw Data'!H330</f>
        <v>142</v>
      </c>
      <c r="I331" s="24" t="n">
        <f aca="false">'Raw Data'!I330</f>
        <v>0</v>
      </c>
      <c r="J331" s="1" t="str">
        <f aca="false">IF('Raw Data'!J330="None","None",IF(ISBLANK('Raw Data'!J330),"None",'Raw Data'!J330))</f>
        <v>None</v>
      </c>
      <c r="K331" s="1" t="str">
        <f aca="false">'Raw Data'!K330</f>
        <v>Incomplete</v>
      </c>
      <c r="L331" s="1" t="str">
        <f aca="false">'Raw Data'!L330</f>
        <v>Free</v>
      </c>
      <c r="M331" s="1" t="n">
        <f aca="false">'Raw Data'!M330</f>
        <v>49</v>
      </c>
      <c r="N331" s="1" t="str">
        <f aca="false">'Raw Data'!N330</f>
        <v>No</v>
      </c>
    </row>
    <row r="332" customFormat="false" ht="15" hidden="false" customHeight="true" outlineLevel="0" collapsed="false">
      <c r="A332" s="1" t="str">
        <f aca="false">'Raw Data'!A331</f>
        <v>S00328</v>
      </c>
      <c r="B332" s="1" t="str">
        <f aca="false">'Raw Data'!B331</f>
        <v>P3118</v>
      </c>
      <c r="C332" s="1" t="str">
        <f aca="false">'Raw Data'!C331</f>
        <v>jonathan53</v>
      </c>
      <c r="D332" s="1" t="str">
        <f aca="false">'Raw Data'!D331</f>
        <v>Zombie Rush</v>
      </c>
      <c r="E332" s="1" t="str">
        <f aca="false">'Raw Data'!E331</f>
        <v>PC</v>
      </c>
      <c r="F332" s="1" t="str">
        <f aca="false">'Raw Data'!F331</f>
        <v>West</v>
      </c>
      <c r="G332" s="23" t="n">
        <f aca="false">'Raw Data'!G331</f>
        <v>45801</v>
      </c>
      <c r="H332" s="1" t="n">
        <f aca="false">'Raw Data'!H331</f>
        <v>102</v>
      </c>
      <c r="I332" s="24" t="n">
        <f aca="false">'Raw Data'!I331</f>
        <v>0</v>
      </c>
      <c r="J332" s="1" t="str">
        <f aca="false">IF('Raw Data'!J331="None","None",IF(ISBLANK('Raw Data'!J331),"None",'Raw Data'!J331))</f>
        <v>None</v>
      </c>
      <c r="K332" s="1" t="str">
        <f aca="false">'Raw Data'!K331</f>
        <v>Completed</v>
      </c>
      <c r="L332" s="1" t="str">
        <f aca="false">'Raw Data'!L331</f>
        <v>Paid</v>
      </c>
      <c r="M332" s="1" t="n">
        <f aca="false">'Raw Data'!M331</f>
        <v>44</v>
      </c>
      <c r="N332" s="1" t="str">
        <f aca="false">'Raw Data'!N331</f>
        <v>No</v>
      </c>
    </row>
    <row r="333" customFormat="false" ht="15" hidden="false" customHeight="true" outlineLevel="0" collapsed="false">
      <c r="A333" s="1" t="str">
        <f aca="false">'Raw Data'!A332</f>
        <v>S00329</v>
      </c>
      <c r="B333" s="1" t="str">
        <f aca="false">'Raw Data'!B332</f>
        <v>P3169</v>
      </c>
      <c r="C333" s="1" t="str">
        <f aca="false">'Raw Data'!C332</f>
        <v>ethankaufman</v>
      </c>
      <c r="D333" s="1" t="str">
        <f aca="false">'Raw Data'!D332</f>
        <v>BattleZone</v>
      </c>
      <c r="E333" s="1" t="str">
        <f aca="false">'Raw Data'!E332</f>
        <v>Mobile</v>
      </c>
      <c r="F333" s="1" t="str">
        <f aca="false">'Raw Data'!F332</f>
        <v>North</v>
      </c>
      <c r="G333" s="23" t="n">
        <f aca="false">'Raw Data'!G332</f>
        <v>45737</v>
      </c>
      <c r="H333" s="1" t="n">
        <f aca="false">'Raw Data'!H332</f>
        <v>47</v>
      </c>
      <c r="I333" s="24" t="n">
        <f aca="false">'Raw Data'!I332</f>
        <v>0</v>
      </c>
      <c r="J333" s="1" t="str">
        <f aca="false">IF('Raw Data'!J332="None","None",IF(ISBLANK('Raw Data'!J332),"None",'Raw Data'!J332))</f>
        <v>None</v>
      </c>
      <c r="K333" s="1" t="str">
        <f aca="false">'Raw Data'!K332</f>
        <v>Completed</v>
      </c>
      <c r="L333" s="1" t="str">
        <f aca="false">'Raw Data'!L332</f>
        <v>Paid</v>
      </c>
      <c r="M333" s="1" t="n">
        <f aca="false">'Raw Data'!M332</f>
        <v>49</v>
      </c>
      <c r="N333" s="1" t="str">
        <f aca="false">'Raw Data'!N332</f>
        <v>No</v>
      </c>
    </row>
    <row r="334" customFormat="false" ht="15" hidden="false" customHeight="true" outlineLevel="0" collapsed="false">
      <c r="A334" s="1" t="str">
        <f aca="false">'Raw Data'!A333</f>
        <v>S00330</v>
      </c>
      <c r="B334" s="1" t="str">
        <f aca="false">'Raw Data'!B333</f>
        <v>P6447</v>
      </c>
      <c r="C334" s="1" t="str">
        <f aca="false">'Raw Data'!C333</f>
        <v>jessica34</v>
      </c>
      <c r="D334" s="1" t="str">
        <f aca="false">'Raw Data'!D333</f>
        <v>BattleZone</v>
      </c>
      <c r="E334" s="1" t="str">
        <f aca="false">'Raw Data'!E333</f>
        <v>Console</v>
      </c>
      <c r="F334" s="1" t="str">
        <f aca="false">'Raw Data'!F333</f>
        <v>Central</v>
      </c>
      <c r="G334" s="23" t="n">
        <f aca="false">'Raw Data'!G333</f>
        <v>45799</v>
      </c>
      <c r="H334" s="1" t="n">
        <f aca="false">'Raw Data'!H333</f>
        <v>100</v>
      </c>
      <c r="I334" s="24" t="n">
        <f aca="false">'Raw Data'!I333</f>
        <v>0</v>
      </c>
      <c r="J334" s="1" t="str">
        <f aca="false">IF('Raw Data'!J333="None","None",IF(ISBLANK('Raw Data'!J333),"None",'Raw Data'!J333))</f>
        <v>None</v>
      </c>
      <c r="K334" s="1" t="str">
        <f aca="false">'Raw Data'!K333</f>
        <v>Completed</v>
      </c>
      <c r="L334" s="1" t="str">
        <f aca="false">'Raw Data'!L333</f>
        <v>Free</v>
      </c>
      <c r="M334" s="1" t="n">
        <f aca="false">'Raw Data'!M333</f>
        <v>25</v>
      </c>
      <c r="N334" s="1" t="str">
        <f aca="false">'Raw Data'!N333</f>
        <v>No</v>
      </c>
    </row>
    <row r="335" customFormat="false" ht="15" hidden="false" customHeight="true" outlineLevel="0" collapsed="false">
      <c r="A335" s="1" t="str">
        <f aca="false">'Raw Data'!A334</f>
        <v>S00331</v>
      </c>
      <c r="B335" s="1" t="str">
        <f aca="false">'Raw Data'!B334</f>
        <v>P1496</v>
      </c>
      <c r="C335" s="1" t="str">
        <f aca="false">'Raw Data'!C334</f>
        <v>newtonjose</v>
      </c>
      <c r="D335" s="1" t="str">
        <f aca="false">'Raw Data'!D334</f>
        <v>BattleZone</v>
      </c>
      <c r="E335" s="1" t="str">
        <f aca="false">'Raw Data'!E334</f>
        <v>PC</v>
      </c>
      <c r="F335" s="1" t="str">
        <f aca="false">'Raw Data'!F334</f>
        <v>South</v>
      </c>
      <c r="G335" s="23" t="n">
        <f aca="false">'Raw Data'!G334</f>
        <v>45702</v>
      </c>
      <c r="H335" s="1" t="n">
        <f aca="false">'Raw Data'!H334</f>
        <v>30</v>
      </c>
      <c r="I335" s="24" t="n">
        <f aca="false">'Raw Data'!I334</f>
        <v>36.8</v>
      </c>
      <c r="J335" s="1" t="str">
        <f aca="false">IF('Raw Data'!J334="None","None",IF(ISBLANK('Raw Data'!J334),"None",'Raw Data'!J334))</f>
        <v>Skins</v>
      </c>
      <c r="K335" s="1" t="str">
        <f aca="false">'Raw Data'!K334</f>
        <v>Exited Early</v>
      </c>
      <c r="L335" s="1" t="str">
        <f aca="false">'Raw Data'!L334</f>
        <v>Paid</v>
      </c>
      <c r="M335" s="1" t="n">
        <f aca="false">'Raw Data'!M334</f>
        <v>24</v>
      </c>
      <c r="N335" s="1" t="str">
        <f aca="false">'Raw Data'!N334</f>
        <v>No</v>
      </c>
    </row>
    <row r="336" customFormat="false" ht="15" hidden="false" customHeight="true" outlineLevel="0" collapsed="false">
      <c r="A336" s="1" t="str">
        <f aca="false">'Raw Data'!A335</f>
        <v>S00332</v>
      </c>
      <c r="B336" s="1" t="str">
        <f aca="false">'Raw Data'!B335</f>
        <v>P4764</v>
      </c>
      <c r="C336" s="1" t="str">
        <f aca="false">'Raw Data'!C335</f>
        <v>johnsonjulie</v>
      </c>
      <c r="D336" s="1" t="str">
        <f aca="false">'Raw Data'!D335</f>
        <v>SpeedX</v>
      </c>
      <c r="E336" s="1" t="str">
        <f aca="false">'Raw Data'!E335</f>
        <v>Console</v>
      </c>
      <c r="F336" s="1" t="str">
        <f aca="false">'Raw Data'!F335</f>
        <v>East</v>
      </c>
      <c r="G336" s="23" t="n">
        <f aca="false">'Raw Data'!G335</f>
        <v>45734</v>
      </c>
      <c r="H336" s="1" t="n">
        <f aca="false">'Raw Data'!H335</f>
        <v>180</v>
      </c>
      <c r="I336" s="24" t="n">
        <f aca="false">'Raw Data'!I335</f>
        <v>0</v>
      </c>
      <c r="J336" s="1" t="str">
        <f aca="false">IF('Raw Data'!J335="None","None",IF(ISBLANK('Raw Data'!J335),"None",'Raw Data'!J335))</f>
        <v>None</v>
      </c>
      <c r="K336" s="1" t="str">
        <f aca="false">'Raw Data'!K335</f>
        <v>Completed</v>
      </c>
      <c r="L336" s="1" t="str">
        <f aca="false">'Raw Data'!L335</f>
        <v>Free</v>
      </c>
      <c r="M336" s="1" t="n">
        <f aca="false">'Raw Data'!M335</f>
        <v>18</v>
      </c>
      <c r="N336" s="1" t="str">
        <f aca="false">'Raw Data'!N335</f>
        <v>Yes</v>
      </c>
    </row>
    <row r="337" customFormat="false" ht="15" hidden="false" customHeight="true" outlineLevel="0" collapsed="false">
      <c r="A337" s="1" t="str">
        <f aca="false">'Raw Data'!A336</f>
        <v>S00333</v>
      </c>
      <c r="B337" s="1" t="str">
        <f aca="false">'Raw Data'!B336</f>
        <v>P8963</v>
      </c>
      <c r="C337" s="1" t="str">
        <f aca="false">'Raw Data'!C336</f>
        <v>justin27</v>
      </c>
      <c r="D337" s="1" t="str">
        <f aca="false">'Raw Data'!D336</f>
        <v>Empire Wars</v>
      </c>
      <c r="E337" s="1" t="str">
        <f aca="false">'Raw Data'!E336</f>
        <v>Console</v>
      </c>
      <c r="F337" s="1" t="str">
        <f aca="false">'Raw Data'!F336</f>
        <v>North</v>
      </c>
      <c r="G337" s="23" t="n">
        <f aca="false">'Raw Data'!G336</f>
        <v>45657</v>
      </c>
      <c r="H337" s="1" t="n">
        <f aca="false">'Raw Data'!H336</f>
        <v>18</v>
      </c>
      <c r="I337" s="24" t="n">
        <f aca="false">'Raw Data'!I336</f>
        <v>36.07</v>
      </c>
      <c r="J337" s="1" t="str">
        <f aca="false">IF('Raw Data'!J336="None","None",IF(ISBLANK('Raw Data'!J336),"None",'Raw Data'!J336))</f>
        <v>Battle Pass</v>
      </c>
      <c r="K337" s="1" t="str">
        <f aca="false">'Raw Data'!K336</f>
        <v>Completed</v>
      </c>
      <c r="L337" s="1" t="str">
        <f aca="false">'Raw Data'!L336</f>
        <v>Paid</v>
      </c>
      <c r="M337" s="1" t="n">
        <f aca="false">'Raw Data'!M336</f>
        <v>4</v>
      </c>
      <c r="N337" s="1" t="str">
        <f aca="false">'Raw Data'!N336</f>
        <v>No</v>
      </c>
    </row>
    <row r="338" customFormat="false" ht="15" hidden="false" customHeight="true" outlineLevel="0" collapsed="false">
      <c r="A338" s="1" t="str">
        <f aca="false">'Raw Data'!A337</f>
        <v>S00334</v>
      </c>
      <c r="B338" s="1" t="str">
        <f aca="false">'Raw Data'!B337</f>
        <v>P1470</v>
      </c>
      <c r="C338" s="1" t="str">
        <f aca="false">'Raw Data'!C337</f>
        <v>jonesjames</v>
      </c>
      <c r="D338" s="1" t="str">
        <f aca="false">'Raw Data'!D337</f>
        <v>BattleZone</v>
      </c>
      <c r="E338" s="1" t="str">
        <f aca="false">'Raw Data'!E337</f>
        <v>Console</v>
      </c>
      <c r="F338" s="1" t="str">
        <f aca="false">'Raw Data'!F337</f>
        <v>Central</v>
      </c>
      <c r="G338" s="23" t="n">
        <f aca="false">'Raw Data'!G337</f>
        <v>45676</v>
      </c>
      <c r="H338" s="1" t="n">
        <f aca="false">'Raw Data'!H337</f>
        <v>5</v>
      </c>
      <c r="I338" s="24" t="n">
        <f aca="false">'Raw Data'!I337</f>
        <v>14.86</v>
      </c>
      <c r="J338" s="1" t="str">
        <f aca="false">IF('Raw Data'!J337="None","None",IF(ISBLANK('Raw Data'!J337),"None",'Raw Data'!J337))</f>
        <v>Battle Pass</v>
      </c>
      <c r="K338" s="1" t="str">
        <f aca="false">'Raw Data'!K337</f>
        <v>Incomplete</v>
      </c>
      <c r="L338" s="1" t="str">
        <f aca="false">'Raw Data'!L337</f>
        <v>Paid</v>
      </c>
      <c r="M338" s="1" t="n">
        <f aca="false">'Raw Data'!M337</f>
        <v>23</v>
      </c>
      <c r="N338" s="1" t="str">
        <f aca="false">'Raw Data'!N337</f>
        <v>No</v>
      </c>
    </row>
    <row r="339" customFormat="false" ht="15" hidden="false" customHeight="true" outlineLevel="0" collapsed="false">
      <c r="A339" s="1" t="str">
        <f aca="false">'Raw Data'!A338</f>
        <v>S00335</v>
      </c>
      <c r="B339" s="1" t="str">
        <f aca="false">'Raw Data'!B338</f>
        <v>P5228</v>
      </c>
      <c r="C339" s="1" t="str">
        <f aca="false">'Raw Data'!C338</f>
        <v>melissa44</v>
      </c>
      <c r="D339" s="1" t="str">
        <f aca="false">'Raw Data'!D338</f>
        <v>Empire Wars</v>
      </c>
      <c r="E339" s="1" t="str">
        <f aca="false">'Raw Data'!E338</f>
        <v>PC</v>
      </c>
      <c r="F339" s="1" t="str">
        <f aca="false">'Raw Data'!F338</f>
        <v>East</v>
      </c>
      <c r="G339" s="23" t="n">
        <f aca="false">'Raw Data'!G338</f>
        <v>45665</v>
      </c>
      <c r="H339" s="1" t="n">
        <f aca="false">'Raw Data'!H338</f>
        <v>159</v>
      </c>
      <c r="I339" s="24" t="n">
        <f aca="false">'Raw Data'!I338</f>
        <v>0</v>
      </c>
      <c r="J339" s="1" t="str">
        <f aca="false">IF('Raw Data'!J338="None","None",IF(ISBLANK('Raw Data'!J338),"None",'Raw Data'!J338))</f>
        <v>None</v>
      </c>
      <c r="K339" s="1" t="str">
        <f aca="false">'Raw Data'!K338</f>
        <v>Completed</v>
      </c>
      <c r="L339" s="1" t="str">
        <f aca="false">'Raw Data'!L338</f>
        <v>Free</v>
      </c>
      <c r="M339" s="1" t="n">
        <f aca="false">'Raw Data'!M338</f>
        <v>20</v>
      </c>
      <c r="N339" s="1" t="str">
        <f aca="false">'Raw Data'!N338</f>
        <v>Yes</v>
      </c>
    </row>
    <row r="340" customFormat="false" ht="15" hidden="false" customHeight="true" outlineLevel="0" collapsed="false">
      <c r="A340" s="1" t="str">
        <f aca="false">'Raw Data'!A339</f>
        <v>S00336</v>
      </c>
      <c r="B340" s="1" t="str">
        <f aca="false">'Raw Data'!B339</f>
        <v>P4680</v>
      </c>
      <c r="C340" s="1" t="str">
        <f aca="false">'Raw Data'!C339</f>
        <v>jack69</v>
      </c>
      <c r="D340" s="1" t="str">
        <f aca="false">'Raw Data'!D339</f>
        <v>Empire Wars</v>
      </c>
      <c r="E340" s="1" t="str">
        <f aca="false">'Raw Data'!E339</f>
        <v>PC</v>
      </c>
      <c r="F340" s="1" t="str">
        <f aca="false">'Raw Data'!F339</f>
        <v>East</v>
      </c>
      <c r="G340" s="23" t="n">
        <f aca="false">'Raw Data'!G339</f>
        <v>45732</v>
      </c>
      <c r="H340" s="1" t="n">
        <f aca="false">'Raw Data'!H339</f>
        <v>161</v>
      </c>
      <c r="I340" s="24" t="n">
        <f aca="false">'Raw Data'!I339</f>
        <v>45.73</v>
      </c>
      <c r="J340" s="1" t="str">
        <f aca="false">IF('Raw Data'!J339="None","None",IF(ISBLANK('Raw Data'!J339),"None",'Raw Data'!J339))</f>
        <v>Boosters</v>
      </c>
      <c r="K340" s="1" t="str">
        <f aca="false">'Raw Data'!K339</f>
        <v>Completed</v>
      </c>
      <c r="L340" s="1" t="str">
        <f aca="false">'Raw Data'!L339</f>
        <v>Paid</v>
      </c>
      <c r="M340" s="1" t="n">
        <f aca="false">'Raw Data'!M339</f>
        <v>4</v>
      </c>
      <c r="N340" s="1" t="str">
        <f aca="false">'Raw Data'!N339</f>
        <v>Yes</v>
      </c>
    </row>
    <row r="341" customFormat="false" ht="15" hidden="false" customHeight="true" outlineLevel="0" collapsed="false">
      <c r="A341" s="1" t="str">
        <f aca="false">'Raw Data'!A340</f>
        <v>S00337</v>
      </c>
      <c r="B341" s="1" t="str">
        <f aca="false">'Raw Data'!B340</f>
        <v>P2974</v>
      </c>
      <c r="C341" s="1" t="str">
        <f aca="false">'Raw Data'!C340</f>
        <v>maciasronald</v>
      </c>
      <c r="D341" s="1" t="str">
        <f aca="false">'Raw Data'!D340</f>
        <v>Zombie Rush</v>
      </c>
      <c r="E341" s="1" t="str">
        <f aca="false">'Raw Data'!E340</f>
        <v>Console</v>
      </c>
      <c r="F341" s="1" t="str">
        <f aca="false">'Raw Data'!F340</f>
        <v>East</v>
      </c>
      <c r="G341" s="23" t="n">
        <f aca="false">'Raw Data'!G340</f>
        <v>45723</v>
      </c>
      <c r="H341" s="1" t="n">
        <f aca="false">'Raw Data'!H340</f>
        <v>13</v>
      </c>
      <c r="I341" s="24" t="n">
        <f aca="false">'Raw Data'!I340</f>
        <v>0</v>
      </c>
      <c r="J341" s="1" t="str">
        <f aca="false">IF('Raw Data'!J340="None","None",IF(ISBLANK('Raw Data'!J340),"None",'Raw Data'!J340))</f>
        <v>None</v>
      </c>
      <c r="K341" s="1" t="str">
        <f aca="false">'Raw Data'!K340</f>
        <v>Exited Early</v>
      </c>
      <c r="L341" s="1" t="str">
        <f aca="false">'Raw Data'!L340</f>
        <v>Free</v>
      </c>
      <c r="M341" s="1" t="n">
        <f aca="false">'Raw Data'!M340</f>
        <v>49</v>
      </c>
      <c r="N341" s="1" t="str">
        <f aca="false">'Raw Data'!N340</f>
        <v>No</v>
      </c>
    </row>
    <row r="342" customFormat="false" ht="15" hidden="false" customHeight="true" outlineLevel="0" collapsed="false">
      <c r="A342" s="1" t="str">
        <f aca="false">'Raw Data'!A341</f>
        <v>S00338</v>
      </c>
      <c r="B342" s="1" t="str">
        <f aca="false">'Raw Data'!B341</f>
        <v>P9449</v>
      </c>
      <c r="C342" s="1" t="str">
        <f aca="false">'Raw Data'!C341</f>
        <v>douglasluke</v>
      </c>
      <c r="D342" s="1" t="str">
        <f aca="false">'Raw Data'!D341</f>
        <v>SpeedX</v>
      </c>
      <c r="E342" s="1" t="str">
        <f aca="false">'Raw Data'!E341</f>
        <v>PC</v>
      </c>
      <c r="F342" s="1" t="str">
        <f aca="false">'Raw Data'!F341</f>
        <v>South</v>
      </c>
      <c r="G342" s="23" t="n">
        <f aca="false">'Raw Data'!G341</f>
        <v>45759</v>
      </c>
      <c r="H342" s="1" t="n">
        <f aca="false">'Raw Data'!H341</f>
        <v>110</v>
      </c>
      <c r="I342" s="24" t="n">
        <f aca="false">'Raw Data'!I341</f>
        <v>0</v>
      </c>
      <c r="J342" s="1" t="str">
        <f aca="false">IF('Raw Data'!J341="None","None",IF(ISBLANK('Raw Data'!J341),"None",'Raw Data'!J341))</f>
        <v>None</v>
      </c>
      <c r="K342" s="1" t="str">
        <f aca="false">'Raw Data'!K341</f>
        <v>Completed</v>
      </c>
      <c r="L342" s="1" t="str">
        <f aca="false">'Raw Data'!L341</f>
        <v>Free</v>
      </c>
      <c r="M342" s="1" t="n">
        <f aca="false">'Raw Data'!M341</f>
        <v>40</v>
      </c>
      <c r="N342" s="1" t="str">
        <f aca="false">'Raw Data'!N341</f>
        <v>No</v>
      </c>
    </row>
    <row r="343" customFormat="false" ht="15" hidden="false" customHeight="true" outlineLevel="0" collapsed="false">
      <c r="A343" s="1" t="str">
        <f aca="false">'Raw Data'!A342</f>
        <v>S00339</v>
      </c>
      <c r="B343" s="1" t="str">
        <f aca="false">'Raw Data'!B342</f>
        <v>P1806</v>
      </c>
      <c r="C343" s="1" t="str">
        <f aca="false">'Raw Data'!C342</f>
        <v>michael88</v>
      </c>
      <c r="D343" s="1" t="str">
        <f aca="false">'Raw Data'!D342</f>
        <v>Empire Wars</v>
      </c>
      <c r="E343" s="1" t="str">
        <f aca="false">'Raw Data'!E342</f>
        <v>PC</v>
      </c>
      <c r="F343" s="1" t="str">
        <f aca="false">'Raw Data'!F342</f>
        <v>West</v>
      </c>
      <c r="G343" s="23" t="n">
        <f aca="false">'Raw Data'!G342</f>
        <v>45703</v>
      </c>
      <c r="H343" s="1" t="n">
        <f aca="false">'Raw Data'!H342</f>
        <v>22</v>
      </c>
      <c r="I343" s="24" t="n">
        <f aca="false">'Raw Data'!I342</f>
        <v>0</v>
      </c>
      <c r="J343" s="1" t="str">
        <f aca="false">IF('Raw Data'!J342="None","None",IF(ISBLANK('Raw Data'!J342),"None",'Raw Data'!J342))</f>
        <v>None</v>
      </c>
      <c r="K343" s="1" t="str">
        <f aca="false">'Raw Data'!K342</f>
        <v>Completed</v>
      </c>
      <c r="L343" s="1" t="str">
        <f aca="false">'Raw Data'!L342</f>
        <v>Free</v>
      </c>
      <c r="M343" s="1" t="n">
        <f aca="false">'Raw Data'!M342</f>
        <v>34</v>
      </c>
      <c r="N343" s="1" t="str">
        <f aca="false">'Raw Data'!N342</f>
        <v>No</v>
      </c>
    </row>
    <row r="344" customFormat="false" ht="15" hidden="false" customHeight="true" outlineLevel="0" collapsed="false">
      <c r="A344" s="1" t="str">
        <f aca="false">'Raw Data'!A343</f>
        <v>S00340</v>
      </c>
      <c r="B344" s="1" t="str">
        <f aca="false">'Raw Data'!B343</f>
        <v>P6015</v>
      </c>
      <c r="C344" s="1" t="str">
        <f aca="false">'Raw Data'!C343</f>
        <v>terrychristina</v>
      </c>
      <c r="D344" s="1" t="str">
        <f aca="false">'Raw Data'!D343</f>
        <v>Zombie Rush</v>
      </c>
      <c r="E344" s="1" t="str">
        <f aca="false">'Raw Data'!E343</f>
        <v>Console</v>
      </c>
      <c r="F344" s="1" t="str">
        <f aca="false">'Raw Data'!F343</f>
        <v>South</v>
      </c>
      <c r="G344" s="23" t="n">
        <f aca="false">'Raw Data'!G343</f>
        <v>45789</v>
      </c>
      <c r="H344" s="1" t="n">
        <f aca="false">'Raw Data'!H343</f>
        <v>168</v>
      </c>
      <c r="I344" s="24" t="n">
        <f aca="false">'Raw Data'!I343</f>
        <v>33.73</v>
      </c>
      <c r="J344" s="1" t="str">
        <f aca="false">IF('Raw Data'!J343="None","None",IF(ISBLANK('Raw Data'!J343),"None",'Raw Data'!J343))</f>
        <v>Battle Pass</v>
      </c>
      <c r="K344" s="1" t="str">
        <f aca="false">'Raw Data'!K343</f>
        <v>Completed</v>
      </c>
      <c r="L344" s="1" t="str">
        <f aca="false">'Raw Data'!L343</f>
        <v>Paid</v>
      </c>
      <c r="M344" s="1" t="n">
        <f aca="false">'Raw Data'!M343</f>
        <v>48</v>
      </c>
      <c r="N344" s="1" t="str">
        <f aca="false">'Raw Data'!N343</f>
        <v>Yes</v>
      </c>
    </row>
    <row r="345" customFormat="false" ht="15" hidden="false" customHeight="true" outlineLevel="0" collapsed="false">
      <c r="A345" s="1" t="str">
        <f aca="false">'Raw Data'!A344</f>
        <v>S00341</v>
      </c>
      <c r="B345" s="1" t="str">
        <f aca="false">'Raw Data'!B344</f>
        <v>P7017</v>
      </c>
      <c r="C345" s="1" t="str">
        <f aca="false">'Raw Data'!C344</f>
        <v>smartin</v>
      </c>
      <c r="D345" s="1" t="str">
        <f aca="false">'Raw Data'!D344</f>
        <v>SpeedX</v>
      </c>
      <c r="E345" s="1" t="str">
        <f aca="false">'Raw Data'!E344</f>
        <v>PC</v>
      </c>
      <c r="F345" s="1" t="str">
        <f aca="false">'Raw Data'!F344</f>
        <v>Central</v>
      </c>
      <c r="G345" s="23" t="n">
        <f aca="false">'Raw Data'!G344</f>
        <v>45668</v>
      </c>
      <c r="H345" s="1" t="n">
        <f aca="false">'Raw Data'!H344</f>
        <v>24</v>
      </c>
      <c r="I345" s="24" t="n">
        <f aca="false">'Raw Data'!I344</f>
        <v>0</v>
      </c>
      <c r="J345" s="1" t="str">
        <f aca="false">IF('Raw Data'!J344="None","None",IF(ISBLANK('Raw Data'!J344),"None",'Raw Data'!J344))</f>
        <v>None</v>
      </c>
      <c r="K345" s="1" t="str">
        <f aca="false">'Raw Data'!K344</f>
        <v>Completed</v>
      </c>
      <c r="L345" s="1" t="str">
        <f aca="false">'Raw Data'!L344</f>
        <v>Free</v>
      </c>
      <c r="M345" s="1" t="n">
        <f aca="false">'Raw Data'!M344</f>
        <v>41</v>
      </c>
      <c r="N345" s="1" t="str">
        <f aca="false">'Raw Data'!N344</f>
        <v>No</v>
      </c>
    </row>
    <row r="346" customFormat="false" ht="15" hidden="false" customHeight="true" outlineLevel="0" collapsed="false">
      <c r="A346" s="1" t="str">
        <f aca="false">'Raw Data'!A345</f>
        <v>S00342</v>
      </c>
      <c r="B346" s="1" t="str">
        <f aca="false">'Raw Data'!B345</f>
        <v>P9340</v>
      </c>
      <c r="C346" s="1" t="str">
        <f aca="false">'Raw Data'!C345</f>
        <v>davisheather</v>
      </c>
      <c r="D346" s="1" t="str">
        <f aca="false">'Raw Data'!D345</f>
        <v>Clash of Realms</v>
      </c>
      <c r="E346" s="1" t="str">
        <f aca="false">'Raw Data'!E345</f>
        <v>Mobile</v>
      </c>
      <c r="F346" s="1" t="str">
        <f aca="false">'Raw Data'!F345</f>
        <v>East</v>
      </c>
      <c r="G346" s="23" t="n">
        <f aca="false">'Raw Data'!G345</f>
        <v>45655</v>
      </c>
      <c r="H346" s="1" t="n">
        <f aca="false">'Raw Data'!H345</f>
        <v>166</v>
      </c>
      <c r="I346" s="24" t="n">
        <f aca="false">'Raw Data'!I345</f>
        <v>0</v>
      </c>
      <c r="J346" s="1" t="str">
        <f aca="false">IF('Raw Data'!J345="None","None",IF(ISBLANK('Raw Data'!J345),"None",'Raw Data'!J345))</f>
        <v>None</v>
      </c>
      <c r="K346" s="1" t="str">
        <f aca="false">'Raw Data'!K345</f>
        <v>Incomplete</v>
      </c>
      <c r="L346" s="1" t="str">
        <f aca="false">'Raw Data'!L345</f>
        <v>Free</v>
      </c>
      <c r="M346" s="1" t="n">
        <f aca="false">'Raw Data'!M345</f>
        <v>30</v>
      </c>
      <c r="N346" s="1" t="str">
        <f aca="false">'Raw Data'!N345</f>
        <v>Yes</v>
      </c>
    </row>
    <row r="347" customFormat="false" ht="15" hidden="false" customHeight="true" outlineLevel="0" collapsed="false">
      <c r="A347" s="1" t="str">
        <f aca="false">'Raw Data'!A346</f>
        <v>S00343</v>
      </c>
      <c r="B347" s="1" t="str">
        <f aca="false">'Raw Data'!B346</f>
        <v>P6916</v>
      </c>
      <c r="C347" s="1" t="str">
        <f aca="false">'Raw Data'!C346</f>
        <v>amber18</v>
      </c>
      <c r="D347" s="1" t="str">
        <f aca="false">'Raw Data'!D346</f>
        <v>Empire Wars</v>
      </c>
      <c r="E347" s="1" t="str">
        <f aca="false">'Raw Data'!E346</f>
        <v>PC</v>
      </c>
      <c r="F347" s="1" t="str">
        <f aca="false">'Raw Data'!F346</f>
        <v>East</v>
      </c>
      <c r="G347" s="23" t="n">
        <f aca="false">'Raw Data'!G346</f>
        <v>45756</v>
      </c>
      <c r="H347" s="1" t="n">
        <f aca="false">'Raw Data'!H346</f>
        <v>42</v>
      </c>
      <c r="I347" s="24" t="n">
        <f aca="false">'Raw Data'!I346</f>
        <v>0</v>
      </c>
      <c r="J347" s="1" t="str">
        <f aca="false">IF('Raw Data'!J346="None","None",IF(ISBLANK('Raw Data'!J346),"None",'Raw Data'!J346))</f>
        <v>None</v>
      </c>
      <c r="K347" s="1" t="str">
        <f aca="false">'Raw Data'!K346</f>
        <v>Completed</v>
      </c>
      <c r="L347" s="1" t="str">
        <f aca="false">'Raw Data'!L346</f>
        <v>Paid</v>
      </c>
      <c r="M347" s="1" t="n">
        <f aca="false">'Raw Data'!M346</f>
        <v>12</v>
      </c>
      <c r="N347" s="1" t="str">
        <f aca="false">'Raw Data'!N346</f>
        <v>No</v>
      </c>
    </row>
    <row r="348" customFormat="false" ht="15" hidden="false" customHeight="true" outlineLevel="0" collapsed="false">
      <c r="A348" s="1" t="str">
        <f aca="false">'Raw Data'!A347</f>
        <v>S00344</v>
      </c>
      <c r="B348" s="1" t="str">
        <f aca="false">'Raw Data'!B347</f>
        <v>P9975</v>
      </c>
      <c r="C348" s="1" t="str">
        <f aca="false">'Raw Data'!C347</f>
        <v>hollyjenkins</v>
      </c>
      <c r="D348" s="1" t="str">
        <f aca="false">'Raw Data'!D347</f>
        <v>Empire Wars</v>
      </c>
      <c r="E348" s="1" t="str">
        <f aca="false">'Raw Data'!E347</f>
        <v>PC</v>
      </c>
      <c r="F348" s="1" t="str">
        <f aca="false">'Raw Data'!F347</f>
        <v>South</v>
      </c>
      <c r="G348" s="23" t="n">
        <f aca="false">'Raw Data'!G347</f>
        <v>45780</v>
      </c>
      <c r="H348" s="1" t="n">
        <f aca="false">'Raw Data'!H347</f>
        <v>39</v>
      </c>
      <c r="I348" s="24" t="n">
        <f aca="false">'Raw Data'!I347</f>
        <v>0</v>
      </c>
      <c r="J348" s="1" t="str">
        <f aca="false">IF('Raw Data'!J347="None","None",IF(ISBLANK('Raw Data'!J347),"None",'Raw Data'!J347))</f>
        <v>None</v>
      </c>
      <c r="K348" s="1" t="str">
        <f aca="false">'Raw Data'!K347</f>
        <v>Completed</v>
      </c>
      <c r="L348" s="1" t="str">
        <f aca="false">'Raw Data'!L347</f>
        <v>Free</v>
      </c>
      <c r="M348" s="1" t="n">
        <f aca="false">'Raw Data'!M347</f>
        <v>49</v>
      </c>
      <c r="N348" s="1" t="str">
        <f aca="false">'Raw Data'!N347</f>
        <v>No</v>
      </c>
    </row>
    <row r="349" customFormat="false" ht="15" hidden="false" customHeight="true" outlineLevel="0" collapsed="false">
      <c r="A349" s="1" t="str">
        <f aca="false">'Raw Data'!A348</f>
        <v>S00345</v>
      </c>
      <c r="B349" s="1" t="str">
        <f aca="false">'Raw Data'!B348</f>
        <v>P6815</v>
      </c>
      <c r="C349" s="1" t="str">
        <f aca="false">'Raw Data'!C348</f>
        <v>parkerpatricia</v>
      </c>
      <c r="D349" s="1" t="str">
        <f aca="false">'Raw Data'!D348</f>
        <v>Clash of Realms</v>
      </c>
      <c r="E349" s="1" t="str">
        <f aca="false">'Raw Data'!E348</f>
        <v>Mobile</v>
      </c>
      <c r="F349" s="1" t="str">
        <f aca="false">'Raw Data'!F348</f>
        <v>North-East</v>
      </c>
      <c r="G349" s="23" t="n">
        <f aca="false">'Raw Data'!G348</f>
        <v>45766</v>
      </c>
      <c r="H349" s="1" t="n">
        <f aca="false">'Raw Data'!H348</f>
        <v>91</v>
      </c>
      <c r="I349" s="24" t="n">
        <f aca="false">'Raw Data'!I348</f>
        <v>13.08</v>
      </c>
      <c r="J349" s="1" t="str">
        <f aca="false">IF('Raw Data'!J348="None","None",IF(ISBLANK('Raw Data'!J348),"None",'Raw Data'!J348))</f>
        <v>Skins</v>
      </c>
      <c r="K349" s="1" t="str">
        <f aca="false">'Raw Data'!K348</f>
        <v>Completed</v>
      </c>
      <c r="L349" s="1" t="str">
        <f aca="false">'Raw Data'!L348</f>
        <v>Paid</v>
      </c>
      <c r="M349" s="1" t="n">
        <f aca="false">'Raw Data'!M348</f>
        <v>17</v>
      </c>
      <c r="N349" s="1" t="str">
        <f aca="false">'Raw Data'!N348</f>
        <v>No</v>
      </c>
    </row>
    <row r="350" customFormat="false" ht="15" hidden="false" customHeight="true" outlineLevel="0" collapsed="false">
      <c r="A350" s="1" t="str">
        <f aca="false">'Raw Data'!A349</f>
        <v>S00346</v>
      </c>
      <c r="B350" s="1" t="str">
        <f aca="false">'Raw Data'!B349</f>
        <v>P4525</v>
      </c>
      <c r="C350" s="1" t="str">
        <f aca="false">'Raw Data'!C349</f>
        <v>kellergregory</v>
      </c>
      <c r="D350" s="1" t="str">
        <f aca="false">'Raw Data'!D349</f>
        <v>Zombie Rush</v>
      </c>
      <c r="E350" s="1" t="str">
        <f aca="false">'Raw Data'!E349</f>
        <v>Mobile</v>
      </c>
      <c r="F350" s="1" t="str">
        <f aca="false">'Raw Data'!F349</f>
        <v>Central</v>
      </c>
      <c r="G350" s="23" t="n">
        <f aca="false">'Raw Data'!G349</f>
        <v>45782</v>
      </c>
      <c r="H350" s="1" t="n">
        <f aca="false">'Raw Data'!H349</f>
        <v>30</v>
      </c>
      <c r="I350" s="24" t="n">
        <f aca="false">'Raw Data'!I349</f>
        <v>0</v>
      </c>
      <c r="J350" s="1" t="str">
        <f aca="false">IF('Raw Data'!J349="None","None",IF(ISBLANK('Raw Data'!J349),"None",'Raw Data'!J349))</f>
        <v>None</v>
      </c>
      <c r="K350" s="1" t="str">
        <f aca="false">'Raw Data'!K349</f>
        <v>Incomplete</v>
      </c>
      <c r="L350" s="1" t="str">
        <f aca="false">'Raw Data'!L349</f>
        <v>Free</v>
      </c>
      <c r="M350" s="1" t="n">
        <f aca="false">'Raw Data'!M349</f>
        <v>42</v>
      </c>
      <c r="N350" s="1" t="str">
        <f aca="false">'Raw Data'!N349</f>
        <v>No</v>
      </c>
    </row>
    <row r="351" customFormat="false" ht="15" hidden="false" customHeight="true" outlineLevel="0" collapsed="false">
      <c r="A351" s="1" t="str">
        <f aca="false">'Raw Data'!A350</f>
        <v>S00347</v>
      </c>
      <c r="B351" s="1" t="str">
        <f aca="false">'Raw Data'!B350</f>
        <v>P8336</v>
      </c>
      <c r="C351" s="1" t="str">
        <f aca="false">'Raw Data'!C350</f>
        <v>michellewilliams</v>
      </c>
      <c r="D351" s="1" t="str">
        <f aca="false">'Raw Data'!D350</f>
        <v>BattleZone</v>
      </c>
      <c r="E351" s="1" t="str">
        <f aca="false">'Raw Data'!E350</f>
        <v>Mobile</v>
      </c>
      <c r="F351" s="1" t="str">
        <f aca="false">'Raw Data'!F350</f>
        <v>North-East</v>
      </c>
      <c r="G351" s="23" t="n">
        <f aca="false">'Raw Data'!G350</f>
        <v>45639</v>
      </c>
      <c r="H351" s="1" t="n">
        <f aca="false">'Raw Data'!H350</f>
        <v>44</v>
      </c>
      <c r="I351" s="24" t="n">
        <f aca="false">'Raw Data'!I350</f>
        <v>0</v>
      </c>
      <c r="J351" s="1" t="str">
        <f aca="false">IF('Raw Data'!J350="None","None",IF(ISBLANK('Raw Data'!J350),"None",'Raw Data'!J350))</f>
        <v>None</v>
      </c>
      <c r="K351" s="1" t="str">
        <f aca="false">'Raw Data'!K350</f>
        <v>Completed</v>
      </c>
      <c r="L351" s="1" t="str">
        <f aca="false">'Raw Data'!L350</f>
        <v>Free</v>
      </c>
      <c r="M351" s="1" t="n">
        <f aca="false">'Raw Data'!M350</f>
        <v>19</v>
      </c>
      <c r="N351" s="1" t="str">
        <f aca="false">'Raw Data'!N350</f>
        <v>No</v>
      </c>
    </row>
    <row r="352" customFormat="false" ht="15" hidden="false" customHeight="true" outlineLevel="0" collapsed="false">
      <c r="A352" s="1" t="str">
        <f aca="false">'Raw Data'!A351</f>
        <v>S00348</v>
      </c>
      <c r="B352" s="1" t="str">
        <f aca="false">'Raw Data'!B351</f>
        <v>P6418</v>
      </c>
      <c r="C352" s="1" t="str">
        <f aca="false">'Raw Data'!C351</f>
        <v>ericmoore</v>
      </c>
      <c r="D352" s="1" t="str">
        <f aca="false">'Raw Data'!D351</f>
        <v>Zombie Rush</v>
      </c>
      <c r="E352" s="1" t="str">
        <f aca="false">'Raw Data'!E351</f>
        <v>PC</v>
      </c>
      <c r="F352" s="1" t="str">
        <f aca="false">'Raw Data'!F351</f>
        <v>West</v>
      </c>
      <c r="G352" s="23" t="n">
        <f aca="false">'Raw Data'!G351</f>
        <v>45730</v>
      </c>
      <c r="H352" s="1" t="n">
        <f aca="false">'Raw Data'!H351</f>
        <v>57</v>
      </c>
      <c r="I352" s="24" t="n">
        <f aca="false">'Raw Data'!I351</f>
        <v>0</v>
      </c>
      <c r="J352" s="1" t="str">
        <f aca="false">IF('Raw Data'!J351="None","None",IF(ISBLANK('Raw Data'!J351),"None",'Raw Data'!J351))</f>
        <v>None</v>
      </c>
      <c r="K352" s="1" t="str">
        <f aca="false">'Raw Data'!K351</f>
        <v>Completed</v>
      </c>
      <c r="L352" s="1" t="str">
        <f aca="false">'Raw Data'!L351</f>
        <v>Paid</v>
      </c>
      <c r="M352" s="1" t="n">
        <f aca="false">'Raw Data'!M351</f>
        <v>29</v>
      </c>
      <c r="N352" s="1" t="str">
        <f aca="false">'Raw Data'!N351</f>
        <v>No</v>
      </c>
    </row>
    <row r="353" customFormat="false" ht="15" hidden="false" customHeight="true" outlineLevel="0" collapsed="false">
      <c r="A353" s="1" t="str">
        <f aca="false">'Raw Data'!A352</f>
        <v>S00349</v>
      </c>
      <c r="B353" s="1" t="str">
        <f aca="false">'Raw Data'!B352</f>
        <v>P9419</v>
      </c>
      <c r="C353" s="1" t="str">
        <f aca="false">'Raw Data'!C352</f>
        <v>angelaramsey</v>
      </c>
      <c r="D353" s="1" t="str">
        <f aca="false">'Raw Data'!D352</f>
        <v>BattleZone</v>
      </c>
      <c r="E353" s="1" t="str">
        <f aca="false">'Raw Data'!E352</f>
        <v>Console</v>
      </c>
      <c r="F353" s="1" t="str">
        <f aca="false">'Raw Data'!F352</f>
        <v>South</v>
      </c>
      <c r="G353" s="23" t="n">
        <f aca="false">'Raw Data'!G352</f>
        <v>45807</v>
      </c>
      <c r="H353" s="1" t="n">
        <f aca="false">'Raw Data'!H352</f>
        <v>165</v>
      </c>
      <c r="I353" s="24" t="n">
        <f aca="false">'Raw Data'!I352</f>
        <v>0</v>
      </c>
      <c r="J353" s="1" t="str">
        <f aca="false">IF('Raw Data'!J352="None","None",IF(ISBLANK('Raw Data'!J352),"None",'Raw Data'!J352))</f>
        <v>None</v>
      </c>
      <c r="K353" s="1" t="str">
        <f aca="false">'Raw Data'!K352</f>
        <v>Completed</v>
      </c>
      <c r="L353" s="1" t="str">
        <f aca="false">'Raw Data'!L352</f>
        <v>Free</v>
      </c>
      <c r="M353" s="1" t="n">
        <f aca="false">'Raw Data'!M352</f>
        <v>15</v>
      </c>
      <c r="N353" s="1" t="str">
        <f aca="false">'Raw Data'!N352</f>
        <v>Yes</v>
      </c>
    </row>
    <row r="354" customFormat="false" ht="15" hidden="false" customHeight="true" outlineLevel="0" collapsed="false">
      <c r="A354" s="1" t="str">
        <f aca="false">'Raw Data'!A353</f>
        <v>S00350</v>
      </c>
      <c r="B354" s="1" t="str">
        <f aca="false">'Raw Data'!B353</f>
        <v>P9081</v>
      </c>
      <c r="C354" s="1" t="str">
        <f aca="false">'Raw Data'!C353</f>
        <v>brooke04</v>
      </c>
      <c r="D354" s="1" t="str">
        <f aca="false">'Raw Data'!D353</f>
        <v>SpeedX</v>
      </c>
      <c r="E354" s="1" t="str">
        <f aca="false">'Raw Data'!E353</f>
        <v>Console</v>
      </c>
      <c r="F354" s="1" t="str">
        <f aca="false">'Raw Data'!F353</f>
        <v>East</v>
      </c>
      <c r="G354" s="23" t="n">
        <f aca="false">'Raw Data'!G353</f>
        <v>45712</v>
      </c>
      <c r="H354" s="1" t="n">
        <f aca="false">'Raw Data'!H353</f>
        <v>22</v>
      </c>
      <c r="I354" s="24" t="n">
        <f aca="false">'Raw Data'!I353</f>
        <v>0</v>
      </c>
      <c r="J354" s="1" t="str">
        <f aca="false">IF('Raw Data'!J353="None","None",IF(ISBLANK('Raw Data'!J353),"None",'Raw Data'!J353))</f>
        <v>None</v>
      </c>
      <c r="K354" s="1" t="str">
        <f aca="false">'Raw Data'!K353</f>
        <v>Completed</v>
      </c>
      <c r="L354" s="1" t="str">
        <f aca="false">'Raw Data'!L353</f>
        <v>Free</v>
      </c>
      <c r="M354" s="1" t="n">
        <f aca="false">'Raw Data'!M353</f>
        <v>22</v>
      </c>
      <c r="N354" s="1" t="str">
        <f aca="false">'Raw Data'!N353</f>
        <v>No</v>
      </c>
    </row>
    <row r="355" customFormat="false" ht="15" hidden="false" customHeight="true" outlineLevel="0" collapsed="false">
      <c r="A355" s="1" t="str">
        <f aca="false">'Raw Data'!A354</f>
        <v>S00351</v>
      </c>
      <c r="B355" s="1" t="str">
        <f aca="false">'Raw Data'!B354</f>
        <v>P7887</v>
      </c>
      <c r="C355" s="1" t="str">
        <f aca="false">'Raw Data'!C354</f>
        <v>nicholas09</v>
      </c>
      <c r="D355" s="1" t="str">
        <f aca="false">'Raw Data'!D354</f>
        <v>SpeedX</v>
      </c>
      <c r="E355" s="1" t="str">
        <f aca="false">'Raw Data'!E354</f>
        <v>Console</v>
      </c>
      <c r="F355" s="1" t="str">
        <f aca="false">'Raw Data'!F354</f>
        <v>West</v>
      </c>
      <c r="G355" s="23" t="n">
        <f aca="false">'Raw Data'!G354</f>
        <v>45696</v>
      </c>
      <c r="H355" s="1" t="n">
        <f aca="false">'Raw Data'!H354</f>
        <v>21</v>
      </c>
      <c r="I355" s="24" t="n">
        <f aca="false">'Raw Data'!I354</f>
        <v>0</v>
      </c>
      <c r="J355" s="1" t="str">
        <f aca="false">IF('Raw Data'!J354="None","None",IF(ISBLANK('Raw Data'!J354),"None",'Raw Data'!J354))</f>
        <v>None</v>
      </c>
      <c r="K355" s="1" t="str">
        <f aca="false">'Raw Data'!K354</f>
        <v>Completed</v>
      </c>
      <c r="L355" s="1" t="str">
        <f aca="false">'Raw Data'!L354</f>
        <v>Free</v>
      </c>
      <c r="M355" s="1" t="n">
        <f aca="false">'Raw Data'!M354</f>
        <v>46</v>
      </c>
      <c r="N355" s="1" t="str">
        <f aca="false">'Raw Data'!N354</f>
        <v>No</v>
      </c>
    </row>
    <row r="356" customFormat="false" ht="15" hidden="false" customHeight="true" outlineLevel="0" collapsed="false">
      <c r="A356" s="1" t="str">
        <f aca="false">'Raw Data'!A355</f>
        <v>S00352</v>
      </c>
      <c r="B356" s="1" t="str">
        <f aca="false">'Raw Data'!B355</f>
        <v>P8561</v>
      </c>
      <c r="C356" s="1" t="str">
        <f aca="false">'Raw Data'!C355</f>
        <v>boonekristen</v>
      </c>
      <c r="D356" s="1" t="str">
        <f aca="false">'Raw Data'!D355</f>
        <v>Zombie Rush</v>
      </c>
      <c r="E356" s="1" t="str">
        <f aca="false">'Raw Data'!E355</f>
        <v>Mobile</v>
      </c>
      <c r="F356" s="1" t="str">
        <f aca="false">'Raw Data'!F355</f>
        <v>North-East</v>
      </c>
      <c r="G356" s="23" t="n">
        <f aca="false">'Raw Data'!G355</f>
        <v>45731</v>
      </c>
      <c r="H356" s="1" t="n">
        <f aca="false">'Raw Data'!H355</f>
        <v>127</v>
      </c>
      <c r="I356" s="24" t="n">
        <f aca="false">'Raw Data'!I355</f>
        <v>0</v>
      </c>
      <c r="J356" s="1" t="str">
        <f aca="false">IF('Raw Data'!J355="None","None",IF(ISBLANK('Raw Data'!J355),"None",'Raw Data'!J355))</f>
        <v>None</v>
      </c>
      <c r="K356" s="1" t="str">
        <f aca="false">'Raw Data'!K355</f>
        <v>Completed</v>
      </c>
      <c r="L356" s="1" t="str">
        <f aca="false">'Raw Data'!L355</f>
        <v>Free</v>
      </c>
      <c r="M356" s="1" t="n">
        <f aca="false">'Raw Data'!M355</f>
        <v>13</v>
      </c>
      <c r="N356" s="1" t="str">
        <f aca="false">'Raw Data'!N355</f>
        <v>No</v>
      </c>
    </row>
    <row r="357" customFormat="false" ht="15" hidden="false" customHeight="true" outlineLevel="0" collapsed="false">
      <c r="A357" s="1" t="str">
        <f aca="false">'Raw Data'!A356</f>
        <v>S00353</v>
      </c>
      <c r="B357" s="1" t="str">
        <f aca="false">'Raw Data'!B356</f>
        <v>P2482</v>
      </c>
      <c r="C357" s="1" t="str">
        <f aca="false">'Raw Data'!C356</f>
        <v>udavis</v>
      </c>
      <c r="D357" s="1" t="str">
        <f aca="false">'Raw Data'!D356</f>
        <v>Clash of Realms</v>
      </c>
      <c r="E357" s="1" t="str">
        <f aca="false">'Raw Data'!E356</f>
        <v>Mobile</v>
      </c>
      <c r="F357" s="1" t="str">
        <f aca="false">'Raw Data'!F356</f>
        <v>West</v>
      </c>
      <c r="G357" s="23" t="n">
        <f aca="false">'Raw Data'!G356</f>
        <v>45711</v>
      </c>
      <c r="H357" s="1" t="n">
        <f aca="false">'Raw Data'!H356</f>
        <v>21</v>
      </c>
      <c r="I357" s="24" t="n">
        <f aca="false">'Raw Data'!I356</f>
        <v>0</v>
      </c>
      <c r="J357" s="1" t="str">
        <f aca="false">IF('Raw Data'!J356="None","None",IF(ISBLANK('Raw Data'!J356),"None",'Raw Data'!J356))</f>
        <v>None</v>
      </c>
      <c r="K357" s="1" t="str">
        <f aca="false">'Raw Data'!K356</f>
        <v>Completed</v>
      </c>
      <c r="L357" s="1" t="str">
        <f aca="false">'Raw Data'!L356</f>
        <v>Free</v>
      </c>
      <c r="M357" s="1" t="n">
        <f aca="false">'Raw Data'!M356</f>
        <v>2</v>
      </c>
      <c r="N357" s="1" t="str">
        <f aca="false">'Raw Data'!N356</f>
        <v>No</v>
      </c>
    </row>
    <row r="358" customFormat="false" ht="15" hidden="false" customHeight="true" outlineLevel="0" collapsed="false">
      <c r="A358" s="1" t="str">
        <f aca="false">'Raw Data'!A357</f>
        <v>S00354</v>
      </c>
      <c r="B358" s="1" t="str">
        <f aca="false">'Raw Data'!B357</f>
        <v>P4996</v>
      </c>
      <c r="C358" s="1" t="str">
        <f aca="false">'Raw Data'!C357</f>
        <v>jmcknight</v>
      </c>
      <c r="D358" s="1" t="str">
        <f aca="false">'Raw Data'!D357</f>
        <v>Empire Wars</v>
      </c>
      <c r="E358" s="1" t="str">
        <f aca="false">'Raw Data'!E357</f>
        <v>Console</v>
      </c>
      <c r="F358" s="1" t="str">
        <f aca="false">'Raw Data'!F357</f>
        <v>South</v>
      </c>
      <c r="G358" s="23" t="n">
        <f aca="false">'Raw Data'!G357</f>
        <v>45717</v>
      </c>
      <c r="H358" s="1" t="n">
        <f aca="false">'Raw Data'!H357</f>
        <v>136</v>
      </c>
      <c r="I358" s="24" t="n">
        <f aca="false">'Raw Data'!I357</f>
        <v>0</v>
      </c>
      <c r="J358" s="1" t="str">
        <f aca="false">IF('Raw Data'!J357="None","None",IF(ISBLANK('Raw Data'!J357),"None",'Raw Data'!J357))</f>
        <v>None</v>
      </c>
      <c r="K358" s="1" t="str">
        <f aca="false">'Raw Data'!K357</f>
        <v>Completed</v>
      </c>
      <c r="L358" s="1" t="str">
        <f aca="false">'Raw Data'!L357</f>
        <v>Free</v>
      </c>
      <c r="M358" s="1" t="n">
        <f aca="false">'Raw Data'!M357</f>
        <v>50</v>
      </c>
      <c r="N358" s="1" t="str">
        <f aca="false">'Raw Data'!N357</f>
        <v>No</v>
      </c>
    </row>
    <row r="359" customFormat="false" ht="15" hidden="false" customHeight="true" outlineLevel="0" collapsed="false">
      <c r="A359" s="1" t="str">
        <f aca="false">'Raw Data'!A358</f>
        <v>S00355</v>
      </c>
      <c r="B359" s="1" t="str">
        <f aca="false">'Raw Data'!B358</f>
        <v>P2102</v>
      </c>
      <c r="C359" s="1" t="str">
        <f aca="false">'Raw Data'!C358</f>
        <v>sarahlawrence</v>
      </c>
      <c r="D359" s="1" t="str">
        <f aca="false">'Raw Data'!D358</f>
        <v>Zombie Rush</v>
      </c>
      <c r="E359" s="1" t="str">
        <f aca="false">'Raw Data'!E358</f>
        <v>Console</v>
      </c>
      <c r="F359" s="1" t="str">
        <f aca="false">'Raw Data'!F358</f>
        <v>South</v>
      </c>
      <c r="G359" s="23" t="n">
        <f aca="false">'Raw Data'!G358</f>
        <v>45770</v>
      </c>
      <c r="H359" s="1" t="n">
        <f aca="false">'Raw Data'!H358</f>
        <v>41</v>
      </c>
      <c r="I359" s="24" t="n">
        <f aca="false">'Raw Data'!I358</f>
        <v>0</v>
      </c>
      <c r="J359" s="1" t="str">
        <f aca="false">IF('Raw Data'!J358="None","None",IF(ISBLANK('Raw Data'!J358),"None",'Raw Data'!J358))</f>
        <v>None</v>
      </c>
      <c r="K359" s="1" t="str">
        <f aca="false">'Raw Data'!K358</f>
        <v>Completed</v>
      </c>
      <c r="L359" s="1" t="str">
        <f aca="false">'Raw Data'!L358</f>
        <v>Free</v>
      </c>
      <c r="M359" s="1" t="n">
        <f aca="false">'Raw Data'!M358</f>
        <v>27</v>
      </c>
      <c r="N359" s="1" t="str">
        <f aca="false">'Raw Data'!N358</f>
        <v>No</v>
      </c>
    </row>
    <row r="360" customFormat="false" ht="15" hidden="false" customHeight="true" outlineLevel="0" collapsed="false">
      <c r="A360" s="1" t="str">
        <f aca="false">'Raw Data'!A359</f>
        <v>S00356</v>
      </c>
      <c r="B360" s="1" t="str">
        <f aca="false">'Raw Data'!B359</f>
        <v>P9101</v>
      </c>
      <c r="C360" s="1" t="str">
        <f aca="false">'Raw Data'!C359</f>
        <v>hardychristopher</v>
      </c>
      <c r="D360" s="1" t="str">
        <f aca="false">'Raw Data'!D359</f>
        <v>BattleZone</v>
      </c>
      <c r="E360" s="1" t="str">
        <f aca="false">'Raw Data'!E359</f>
        <v>Mobile</v>
      </c>
      <c r="F360" s="1" t="str">
        <f aca="false">'Raw Data'!F359</f>
        <v>Central</v>
      </c>
      <c r="G360" s="23" t="n">
        <f aca="false">'Raw Data'!G359</f>
        <v>45798</v>
      </c>
      <c r="H360" s="1" t="n">
        <f aca="false">'Raw Data'!H359</f>
        <v>104</v>
      </c>
      <c r="I360" s="24" t="n">
        <f aca="false">'Raw Data'!I359</f>
        <v>0</v>
      </c>
      <c r="J360" s="1" t="str">
        <f aca="false">IF('Raw Data'!J359="None","None",IF(ISBLANK('Raw Data'!J359),"None",'Raw Data'!J359))</f>
        <v>None</v>
      </c>
      <c r="K360" s="1" t="str">
        <f aca="false">'Raw Data'!K359</f>
        <v>Completed</v>
      </c>
      <c r="L360" s="1" t="str">
        <f aca="false">'Raw Data'!L359</f>
        <v>Free</v>
      </c>
      <c r="M360" s="1" t="n">
        <f aca="false">'Raw Data'!M359</f>
        <v>14</v>
      </c>
      <c r="N360" s="1" t="str">
        <f aca="false">'Raw Data'!N359</f>
        <v>No</v>
      </c>
    </row>
    <row r="361" customFormat="false" ht="15" hidden="false" customHeight="true" outlineLevel="0" collapsed="false">
      <c r="A361" s="1" t="str">
        <f aca="false">'Raw Data'!A360</f>
        <v>S00357</v>
      </c>
      <c r="B361" s="1" t="str">
        <f aca="false">'Raw Data'!B360</f>
        <v>P7149</v>
      </c>
      <c r="C361" s="1" t="str">
        <f aca="false">'Raw Data'!C360</f>
        <v>sara36</v>
      </c>
      <c r="D361" s="1" t="str">
        <f aca="false">'Raw Data'!D360</f>
        <v>Zombie Rush</v>
      </c>
      <c r="E361" s="1" t="str">
        <f aca="false">'Raw Data'!E360</f>
        <v>Console</v>
      </c>
      <c r="F361" s="1" t="str">
        <f aca="false">'Raw Data'!F360</f>
        <v>Central</v>
      </c>
      <c r="G361" s="23" t="n">
        <f aca="false">'Raw Data'!G360</f>
        <v>45689</v>
      </c>
      <c r="H361" s="1" t="n">
        <f aca="false">'Raw Data'!H360</f>
        <v>84</v>
      </c>
      <c r="I361" s="24" t="n">
        <f aca="false">'Raw Data'!I360</f>
        <v>23.18</v>
      </c>
      <c r="J361" s="1" t="str">
        <f aca="false">IF('Raw Data'!J360="None","None",IF(ISBLANK('Raw Data'!J360),"None",'Raw Data'!J360))</f>
        <v>Subscriptions</v>
      </c>
      <c r="K361" s="1" t="str">
        <f aca="false">'Raw Data'!K360</f>
        <v>Completed</v>
      </c>
      <c r="L361" s="1" t="str">
        <f aca="false">'Raw Data'!L360</f>
        <v>Paid</v>
      </c>
      <c r="M361" s="1" t="n">
        <f aca="false">'Raw Data'!M360</f>
        <v>2</v>
      </c>
      <c r="N361" s="1" t="str">
        <f aca="false">'Raw Data'!N360</f>
        <v>No</v>
      </c>
    </row>
    <row r="362" customFormat="false" ht="15" hidden="false" customHeight="true" outlineLevel="0" collapsed="false">
      <c r="A362" s="1" t="str">
        <f aca="false">'Raw Data'!A361</f>
        <v>S00358</v>
      </c>
      <c r="B362" s="1" t="str">
        <f aca="false">'Raw Data'!B361</f>
        <v>P1901</v>
      </c>
      <c r="C362" s="1" t="str">
        <f aca="false">'Raw Data'!C361</f>
        <v>leestewart</v>
      </c>
      <c r="D362" s="1" t="str">
        <f aca="false">'Raw Data'!D361</f>
        <v>Empire Wars</v>
      </c>
      <c r="E362" s="1" t="str">
        <f aca="false">'Raw Data'!E361</f>
        <v>PC</v>
      </c>
      <c r="F362" s="1" t="str">
        <f aca="false">'Raw Data'!F361</f>
        <v>South</v>
      </c>
      <c r="G362" s="23" t="n">
        <f aca="false">'Raw Data'!G361</f>
        <v>45801</v>
      </c>
      <c r="H362" s="1" t="n">
        <f aca="false">'Raw Data'!H361</f>
        <v>71</v>
      </c>
      <c r="I362" s="24" t="n">
        <f aca="false">'Raw Data'!I361</f>
        <v>0</v>
      </c>
      <c r="J362" s="1" t="str">
        <f aca="false">IF('Raw Data'!J361="None","None",IF(ISBLANK('Raw Data'!J361),"None",'Raw Data'!J361))</f>
        <v>None</v>
      </c>
      <c r="K362" s="1" t="str">
        <f aca="false">'Raw Data'!K361</f>
        <v>Completed</v>
      </c>
      <c r="L362" s="1" t="str">
        <f aca="false">'Raw Data'!L361</f>
        <v>Paid</v>
      </c>
      <c r="M362" s="1" t="n">
        <f aca="false">'Raw Data'!M361</f>
        <v>5</v>
      </c>
      <c r="N362" s="1" t="str">
        <f aca="false">'Raw Data'!N361</f>
        <v>No</v>
      </c>
    </row>
    <row r="363" customFormat="false" ht="15" hidden="false" customHeight="true" outlineLevel="0" collapsed="false">
      <c r="A363" s="1" t="str">
        <f aca="false">'Raw Data'!A362</f>
        <v>S00359</v>
      </c>
      <c r="B363" s="1" t="str">
        <f aca="false">'Raw Data'!B362</f>
        <v>P8092</v>
      </c>
      <c r="C363" s="1" t="str">
        <f aca="false">'Raw Data'!C362</f>
        <v>lisacoffey</v>
      </c>
      <c r="D363" s="1" t="str">
        <f aca="false">'Raw Data'!D362</f>
        <v>Zombie Rush</v>
      </c>
      <c r="E363" s="1" t="str">
        <f aca="false">'Raw Data'!E362</f>
        <v>Console</v>
      </c>
      <c r="F363" s="1" t="str">
        <f aca="false">'Raw Data'!F362</f>
        <v>Central</v>
      </c>
      <c r="G363" s="23" t="n">
        <f aca="false">'Raw Data'!G362</f>
        <v>45690</v>
      </c>
      <c r="H363" s="1" t="n">
        <f aca="false">'Raw Data'!H362</f>
        <v>63</v>
      </c>
      <c r="I363" s="24" t="n">
        <f aca="false">'Raw Data'!I362</f>
        <v>0</v>
      </c>
      <c r="J363" s="1" t="str">
        <f aca="false">IF('Raw Data'!J362="None","None",IF(ISBLANK('Raw Data'!J362),"None",'Raw Data'!J362))</f>
        <v>None</v>
      </c>
      <c r="K363" s="1" t="str">
        <f aca="false">'Raw Data'!K362</f>
        <v>Crashed</v>
      </c>
      <c r="L363" s="1" t="str">
        <f aca="false">'Raw Data'!L362</f>
        <v>Free</v>
      </c>
      <c r="M363" s="1" t="n">
        <f aca="false">'Raw Data'!M362</f>
        <v>4</v>
      </c>
      <c r="N363" s="1" t="str">
        <f aca="false">'Raw Data'!N362</f>
        <v>No</v>
      </c>
    </row>
    <row r="364" customFormat="false" ht="15" hidden="false" customHeight="true" outlineLevel="0" collapsed="false">
      <c r="A364" s="1" t="str">
        <f aca="false">'Raw Data'!A363</f>
        <v>S00360</v>
      </c>
      <c r="B364" s="1" t="str">
        <f aca="false">'Raw Data'!B363</f>
        <v>P9731</v>
      </c>
      <c r="C364" s="1" t="str">
        <f aca="false">'Raw Data'!C363</f>
        <v>popelance</v>
      </c>
      <c r="D364" s="1" t="str">
        <f aca="false">'Raw Data'!D363</f>
        <v>SpeedX</v>
      </c>
      <c r="E364" s="1" t="str">
        <f aca="false">'Raw Data'!E363</f>
        <v>Console</v>
      </c>
      <c r="F364" s="1" t="str">
        <f aca="false">'Raw Data'!F363</f>
        <v>South</v>
      </c>
      <c r="G364" s="23" t="n">
        <f aca="false">'Raw Data'!G363</f>
        <v>45783</v>
      </c>
      <c r="H364" s="1" t="n">
        <f aca="false">'Raw Data'!H363</f>
        <v>63</v>
      </c>
      <c r="I364" s="24" t="n">
        <f aca="false">'Raw Data'!I363</f>
        <v>0</v>
      </c>
      <c r="J364" s="1" t="str">
        <f aca="false">IF('Raw Data'!J363="None","None",IF(ISBLANK('Raw Data'!J363),"None",'Raw Data'!J363))</f>
        <v>None</v>
      </c>
      <c r="K364" s="1" t="str">
        <f aca="false">'Raw Data'!K363</f>
        <v>Completed</v>
      </c>
      <c r="L364" s="1" t="str">
        <f aca="false">'Raw Data'!L363</f>
        <v>Free</v>
      </c>
      <c r="M364" s="1" t="n">
        <f aca="false">'Raw Data'!M363</f>
        <v>15</v>
      </c>
      <c r="N364" s="1" t="str">
        <f aca="false">'Raw Data'!N363</f>
        <v>No</v>
      </c>
    </row>
    <row r="365" customFormat="false" ht="15" hidden="false" customHeight="true" outlineLevel="0" collapsed="false">
      <c r="A365" s="1" t="str">
        <f aca="false">'Raw Data'!A364</f>
        <v>S00361</v>
      </c>
      <c r="B365" s="1" t="str">
        <f aca="false">'Raw Data'!B364</f>
        <v>P8648</v>
      </c>
      <c r="C365" s="1" t="str">
        <f aca="false">'Raw Data'!C364</f>
        <v>mfarley</v>
      </c>
      <c r="D365" s="1" t="str">
        <f aca="false">'Raw Data'!D364</f>
        <v>Zombie Rush</v>
      </c>
      <c r="E365" s="1" t="str">
        <f aca="false">'Raw Data'!E364</f>
        <v>Mobile</v>
      </c>
      <c r="F365" s="1" t="str">
        <f aca="false">'Raw Data'!F364</f>
        <v>North</v>
      </c>
      <c r="G365" s="23" t="n">
        <f aca="false">'Raw Data'!G364</f>
        <v>45817</v>
      </c>
      <c r="H365" s="1" t="n">
        <f aca="false">'Raw Data'!H364</f>
        <v>18</v>
      </c>
      <c r="I365" s="24" t="n">
        <f aca="false">'Raw Data'!I364</f>
        <v>0</v>
      </c>
      <c r="J365" s="1" t="str">
        <f aca="false">IF('Raw Data'!J364="None","None",IF(ISBLANK('Raw Data'!J364),"None",'Raw Data'!J364))</f>
        <v>None</v>
      </c>
      <c r="K365" s="1" t="str">
        <f aca="false">'Raw Data'!K364</f>
        <v>Completed</v>
      </c>
      <c r="L365" s="1" t="str">
        <f aca="false">'Raw Data'!L364</f>
        <v>Free</v>
      </c>
      <c r="M365" s="1" t="n">
        <f aca="false">'Raw Data'!M364</f>
        <v>16</v>
      </c>
      <c r="N365" s="1" t="str">
        <f aca="false">'Raw Data'!N364</f>
        <v>No</v>
      </c>
    </row>
    <row r="366" customFormat="false" ht="15" hidden="false" customHeight="true" outlineLevel="0" collapsed="false">
      <c r="A366" s="1" t="str">
        <f aca="false">'Raw Data'!A365</f>
        <v>S00362</v>
      </c>
      <c r="B366" s="1" t="str">
        <f aca="false">'Raw Data'!B365</f>
        <v>P3956</v>
      </c>
      <c r="C366" s="1" t="str">
        <f aca="false">'Raw Data'!C365</f>
        <v>ruizkimberly</v>
      </c>
      <c r="D366" s="1" t="str">
        <f aca="false">'Raw Data'!D365</f>
        <v>SpeedX</v>
      </c>
      <c r="E366" s="1" t="str">
        <f aca="false">'Raw Data'!E365</f>
        <v>Mobile</v>
      </c>
      <c r="F366" s="1" t="str">
        <f aca="false">'Raw Data'!F365</f>
        <v>Central</v>
      </c>
      <c r="G366" s="23" t="n">
        <f aca="false">'Raw Data'!G365</f>
        <v>45819</v>
      </c>
      <c r="H366" s="1" t="n">
        <f aca="false">'Raw Data'!H365</f>
        <v>73</v>
      </c>
      <c r="I366" s="24" t="n">
        <f aca="false">'Raw Data'!I365</f>
        <v>0</v>
      </c>
      <c r="J366" s="1" t="str">
        <f aca="false">IF('Raw Data'!J365="None","None",IF(ISBLANK('Raw Data'!J365),"None",'Raw Data'!J365))</f>
        <v>None</v>
      </c>
      <c r="K366" s="1" t="str">
        <f aca="false">'Raw Data'!K365</f>
        <v>Completed</v>
      </c>
      <c r="L366" s="1" t="str">
        <f aca="false">'Raw Data'!L365</f>
        <v>Free</v>
      </c>
      <c r="M366" s="1" t="n">
        <f aca="false">'Raw Data'!M365</f>
        <v>11</v>
      </c>
      <c r="N366" s="1" t="str">
        <f aca="false">'Raw Data'!N365</f>
        <v>No</v>
      </c>
    </row>
    <row r="367" customFormat="false" ht="15" hidden="false" customHeight="true" outlineLevel="0" collapsed="false">
      <c r="A367" s="1" t="str">
        <f aca="false">'Raw Data'!A366</f>
        <v>S00363</v>
      </c>
      <c r="B367" s="1" t="str">
        <f aca="false">'Raw Data'!B366</f>
        <v>P8050</v>
      </c>
      <c r="C367" s="1" t="str">
        <f aca="false">'Raw Data'!C366</f>
        <v>andersonwilliam</v>
      </c>
      <c r="D367" s="1" t="str">
        <f aca="false">'Raw Data'!D366</f>
        <v>SpeedX</v>
      </c>
      <c r="E367" s="1" t="str">
        <f aca="false">'Raw Data'!E366</f>
        <v>Console</v>
      </c>
      <c r="F367" s="1" t="str">
        <f aca="false">'Raw Data'!F366</f>
        <v>West</v>
      </c>
      <c r="G367" s="23" t="n">
        <f aca="false">'Raw Data'!G366</f>
        <v>45671</v>
      </c>
      <c r="H367" s="1" t="n">
        <f aca="false">'Raw Data'!H366</f>
        <v>102</v>
      </c>
      <c r="I367" s="24" t="n">
        <f aca="false">'Raw Data'!I366</f>
        <v>0</v>
      </c>
      <c r="J367" s="1" t="str">
        <f aca="false">IF('Raw Data'!J366="None","None",IF(ISBLANK('Raw Data'!J366),"None",'Raw Data'!J366))</f>
        <v>None</v>
      </c>
      <c r="K367" s="1" t="str">
        <f aca="false">'Raw Data'!K366</f>
        <v>Completed</v>
      </c>
      <c r="L367" s="1" t="str">
        <f aca="false">'Raw Data'!L366</f>
        <v>Free</v>
      </c>
      <c r="M367" s="1" t="n">
        <f aca="false">'Raw Data'!M366</f>
        <v>2</v>
      </c>
      <c r="N367" s="1" t="str">
        <f aca="false">'Raw Data'!N366</f>
        <v>No</v>
      </c>
    </row>
    <row r="368" customFormat="false" ht="15" hidden="false" customHeight="true" outlineLevel="0" collapsed="false">
      <c r="A368" s="1" t="str">
        <f aca="false">'Raw Data'!A367</f>
        <v>S00364</v>
      </c>
      <c r="B368" s="1" t="str">
        <f aca="false">'Raw Data'!B367</f>
        <v>P9065</v>
      </c>
      <c r="C368" s="1" t="str">
        <f aca="false">'Raw Data'!C367</f>
        <v>andrewtran</v>
      </c>
      <c r="D368" s="1" t="str">
        <f aca="false">'Raw Data'!D367</f>
        <v>Clash of Realms</v>
      </c>
      <c r="E368" s="1" t="str">
        <f aca="false">'Raw Data'!E367</f>
        <v>Console</v>
      </c>
      <c r="F368" s="1" t="str">
        <f aca="false">'Raw Data'!F367</f>
        <v>South</v>
      </c>
      <c r="G368" s="23" t="n">
        <f aca="false">'Raw Data'!G367</f>
        <v>45669</v>
      </c>
      <c r="H368" s="1" t="n">
        <f aca="false">'Raw Data'!H367</f>
        <v>91</v>
      </c>
      <c r="I368" s="24" t="n">
        <f aca="false">'Raw Data'!I367</f>
        <v>0</v>
      </c>
      <c r="J368" s="1" t="str">
        <f aca="false">IF('Raw Data'!J367="None","None",IF(ISBLANK('Raw Data'!J367),"None",'Raw Data'!J367))</f>
        <v>None</v>
      </c>
      <c r="K368" s="1" t="str">
        <f aca="false">'Raw Data'!K367</f>
        <v>Completed</v>
      </c>
      <c r="L368" s="1" t="str">
        <f aca="false">'Raw Data'!L367</f>
        <v>Free</v>
      </c>
      <c r="M368" s="1" t="n">
        <f aca="false">'Raw Data'!M367</f>
        <v>31</v>
      </c>
      <c r="N368" s="1" t="str">
        <f aca="false">'Raw Data'!N367</f>
        <v>No</v>
      </c>
    </row>
    <row r="369" customFormat="false" ht="15" hidden="false" customHeight="true" outlineLevel="0" collapsed="false">
      <c r="A369" s="1" t="str">
        <f aca="false">'Raw Data'!A368</f>
        <v>S00365</v>
      </c>
      <c r="B369" s="1" t="str">
        <f aca="false">'Raw Data'!B368</f>
        <v>P1888</v>
      </c>
      <c r="C369" s="1" t="str">
        <f aca="false">'Raw Data'!C368</f>
        <v>lynchtina</v>
      </c>
      <c r="D369" s="1" t="str">
        <f aca="false">'Raw Data'!D368</f>
        <v>SpeedX</v>
      </c>
      <c r="E369" s="1" t="str">
        <f aca="false">'Raw Data'!E368</f>
        <v>Mobile</v>
      </c>
      <c r="F369" s="1" t="str">
        <f aca="false">'Raw Data'!F368</f>
        <v>South</v>
      </c>
      <c r="G369" s="23" t="n">
        <f aca="false">'Raw Data'!G368</f>
        <v>45763</v>
      </c>
      <c r="H369" s="1" t="n">
        <f aca="false">'Raw Data'!H368</f>
        <v>73</v>
      </c>
      <c r="I369" s="24" t="n">
        <f aca="false">'Raw Data'!I368</f>
        <v>0</v>
      </c>
      <c r="J369" s="1" t="str">
        <f aca="false">IF('Raw Data'!J368="None","None",IF(ISBLANK('Raw Data'!J368),"None",'Raw Data'!J368))</f>
        <v>None</v>
      </c>
      <c r="K369" s="1" t="str">
        <f aca="false">'Raw Data'!K368</f>
        <v>Incomplete</v>
      </c>
      <c r="L369" s="1" t="str">
        <f aca="false">'Raw Data'!L368</f>
        <v>Free</v>
      </c>
      <c r="M369" s="1" t="n">
        <f aca="false">'Raw Data'!M368</f>
        <v>32</v>
      </c>
      <c r="N369" s="1" t="str">
        <f aca="false">'Raw Data'!N368</f>
        <v>No</v>
      </c>
    </row>
    <row r="370" customFormat="false" ht="15" hidden="false" customHeight="true" outlineLevel="0" collapsed="false">
      <c r="A370" s="1" t="str">
        <f aca="false">'Raw Data'!A369</f>
        <v>S00366</v>
      </c>
      <c r="B370" s="1" t="str">
        <f aca="false">'Raw Data'!B369</f>
        <v>P8007</v>
      </c>
      <c r="C370" s="1" t="str">
        <f aca="false">'Raw Data'!C369</f>
        <v>kelly45</v>
      </c>
      <c r="D370" s="1" t="str">
        <f aca="false">'Raw Data'!D369</f>
        <v>Empire Wars</v>
      </c>
      <c r="E370" s="1" t="str">
        <f aca="false">'Raw Data'!E369</f>
        <v>Mobile</v>
      </c>
      <c r="F370" s="1" t="str">
        <f aca="false">'Raw Data'!F369</f>
        <v>North-East</v>
      </c>
      <c r="G370" s="23" t="n">
        <f aca="false">'Raw Data'!G369</f>
        <v>45710</v>
      </c>
      <c r="H370" s="1" t="n">
        <f aca="false">'Raw Data'!H369</f>
        <v>80</v>
      </c>
      <c r="I370" s="24" t="n">
        <f aca="false">'Raw Data'!I369</f>
        <v>42.33</v>
      </c>
      <c r="J370" s="1" t="str">
        <f aca="false">IF('Raw Data'!J369="None","None",IF(ISBLANK('Raw Data'!J369),"None",'Raw Data'!J369))</f>
        <v>Boosters</v>
      </c>
      <c r="K370" s="1" t="str">
        <f aca="false">'Raw Data'!K369</f>
        <v>Completed</v>
      </c>
      <c r="L370" s="1" t="str">
        <f aca="false">'Raw Data'!L369</f>
        <v>Paid</v>
      </c>
      <c r="M370" s="1" t="n">
        <f aca="false">'Raw Data'!M369</f>
        <v>23</v>
      </c>
      <c r="N370" s="1" t="str">
        <f aca="false">'Raw Data'!N369</f>
        <v>Yes</v>
      </c>
    </row>
    <row r="371" customFormat="false" ht="15" hidden="false" customHeight="true" outlineLevel="0" collapsed="false">
      <c r="A371" s="1" t="str">
        <f aca="false">'Raw Data'!A370</f>
        <v>S00367</v>
      </c>
      <c r="B371" s="1" t="str">
        <f aca="false">'Raw Data'!B370</f>
        <v>P7375</v>
      </c>
      <c r="C371" s="1" t="str">
        <f aca="false">'Raw Data'!C370</f>
        <v>morrisryan</v>
      </c>
      <c r="D371" s="1" t="str">
        <f aca="false">'Raw Data'!D370</f>
        <v>Clash of Realms</v>
      </c>
      <c r="E371" s="1" t="str">
        <f aca="false">'Raw Data'!E370</f>
        <v>Mobile</v>
      </c>
      <c r="F371" s="1" t="str">
        <f aca="false">'Raw Data'!F370</f>
        <v>North-East</v>
      </c>
      <c r="G371" s="23" t="n">
        <f aca="false">'Raw Data'!G370</f>
        <v>45800</v>
      </c>
      <c r="H371" s="1" t="n">
        <f aca="false">'Raw Data'!H370</f>
        <v>6</v>
      </c>
      <c r="I371" s="24" t="n">
        <f aca="false">'Raw Data'!I370</f>
        <v>0</v>
      </c>
      <c r="J371" s="1" t="str">
        <f aca="false">IF('Raw Data'!J370="None","None",IF(ISBLANK('Raw Data'!J370),"None",'Raw Data'!J370))</f>
        <v>None</v>
      </c>
      <c r="K371" s="1" t="str">
        <f aca="false">'Raw Data'!K370</f>
        <v>Completed</v>
      </c>
      <c r="L371" s="1" t="str">
        <f aca="false">'Raw Data'!L370</f>
        <v>Free</v>
      </c>
      <c r="M371" s="1" t="n">
        <f aca="false">'Raw Data'!M370</f>
        <v>12</v>
      </c>
      <c r="N371" s="1" t="str">
        <f aca="false">'Raw Data'!N370</f>
        <v>No</v>
      </c>
    </row>
    <row r="372" customFormat="false" ht="15" hidden="false" customHeight="true" outlineLevel="0" collapsed="false">
      <c r="A372" s="1" t="str">
        <f aca="false">'Raw Data'!A371</f>
        <v>S00368</v>
      </c>
      <c r="B372" s="1" t="str">
        <f aca="false">'Raw Data'!B371</f>
        <v>P4682</v>
      </c>
      <c r="C372" s="1" t="str">
        <f aca="false">'Raw Data'!C371</f>
        <v>aryan</v>
      </c>
      <c r="D372" s="1" t="str">
        <f aca="false">'Raw Data'!D371</f>
        <v>BattleZone</v>
      </c>
      <c r="E372" s="1" t="str">
        <f aca="false">'Raw Data'!E371</f>
        <v>Mobile</v>
      </c>
      <c r="F372" s="1" t="str">
        <f aca="false">'Raw Data'!F371</f>
        <v>South</v>
      </c>
      <c r="G372" s="23" t="n">
        <f aca="false">'Raw Data'!G371</f>
        <v>45772</v>
      </c>
      <c r="H372" s="1" t="n">
        <f aca="false">'Raw Data'!H371</f>
        <v>161</v>
      </c>
      <c r="I372" s="24" t="n">
        <f aca="false">'Raw Data'!I371</f>
        <v>0</v>
      </c>
      <c r="J372" s="1" t="str">
        <f aca="false">IF('Raw Data'!J371="None","None",IF(ISBLANK('Raw Data'!J371),"None",'Raw Data'!J371))</f>
        <v>None</v>
      </c>
      <c r="K372" s="1" t="str">
        <f aca="false">'Raw Data'!K371</f>
        <v>Completed</v>
      </c>
      <c r="L372" s="1" t="str">
        <f aca="false">'Raw Data'!L371</f>
        <v>Free</v>
      </c>
      <c r="M372" s="1" t="n">
        <f aca="false">'Raw Data'!M371</f>
        <v>25</v>
      </c>
      <c r="N372" s="1" t="str">
        <f aca="false">'Raw Data'!N371</f>
        <v>Yes</v>
      </c>
    </row>
    <row r="373" customFormat="false" ht="15" hidden="false" customHeight="true" outlineLevel="0" collapsed="false">
      <c r="A373" s="1" t="str">
        <f aca="false">'Raw Data'!A372</f>
        <v>S00369</v>
      </c>
      <c r="B373" s="1" t="str">
        <f aca="false">'Raw Data'!B372</f>
        <v>P6367</v>
      </c>
      <c r="C373" s="1" t="str">
        <f aca="false">'Raw Data'!C372</f>
        <v>iyoung</v>
      </c>
      <c r="D373" s="1" t="str">
        <f aca="false">'Raw Data'!D372</f>
        <v>SpeedX</v>
      </c>
      <c r="E373" s="1" t="str">
        <f aca="false">'Raw Data'!E372</f>
        <v>PC</v>
      </c>
      <c r="F373" s="1" t="str">
        <f aca="false">'Raw Data'!F372</f>
        <v>Central</v>
      </c>
      <c r="G373" s="23" t="n">
        <f aca="false">'Raw Data'!G372</f>
        <v>45714</v>
      </c>
      <c r="H373" s="1" t="n">
        <f aca="false">'Raw Data'!H372</f>
        <v>67</v>
      </c>
      <c r="I373" s="24" t="n">
        <f aca="false">'Raw Data'!I372</f>
        <v>0</v>
      </c>
      <c r="J373" s="1" t="str">
        <f aca="false">IF('Raw Data'!J372="None","None",IF(ISBLANK('Raw Data'!J372),"None",'Raw Data'!J372))</f>
        <v>None</v>
      </c>
      <c r="K373" s="1" t="str">
        <f aca="false">'Raw Data'!K372</f>
        <v>Exited Early</v>
      </c>
      <c r="L373" s="1" t="str">
        <f aca="false">'Raw Data'!L372</f>
        <v>Free</v>
      </c>
      <c r="M373" s="1" t="n">
        <f aca="false">'Raw Data'!M372</f>
        <v>48</v>
      </c>
      <c r="N373" s="1" t="str">
        <f aca="false">'Raw Data'!N372</f>
        <v>No</v>
      </c>
    </row>
    <row r="374" customFormat="false" ht="15" hidden="false" customHeight="true" outlineLevel="0" collapsed="false">
      <c r="A374" s="1" t="str">
        <f aca="false">'Raw Data'!A373</f>
        <v>S00370</v>
      </c>
      <c r="B374" s="1" t="str">
        <f aca="false">'Raw Data'!B373</f>
        <v>P1693</v>
      </c>
      <c r="C374" s="1" t="str">
        <f aca="false">'Raw Data'!C373</f>
        <v>huntlawrence</v>
      </c>
      <c r="D374" s="1" t="str">
        <f aca="false">'Raw Data'!D373</f>
        <v>Clash of Realms</v>
      </c>
      <c r="E374" s="1" t="str">
        <f aca="false">'Raw Data'!E373</f>
        <v>Mobile</v>
      </c>
      <c r="F374" s="1" t="str">
        <f aca="false">'Raw Data'!F373</f>
        <v>North-East</v>
      </c>
      <c r="G374" s="23" t="n">
        <f aca="false">'Raw Data'!G373</f>
        <v>45722</v>
      </c>
      <c r="H374" s="1" t="n">
        <f aca="false">'Raw Data'!H373</f>
        <v>144</v>
      </c>
      <c r="I374" s="24" t="n">
        <f aca="false">'Raw Data'!I373</f>
        <v>0</v>
      </c>
      <c r="J374" s="1" t="str">
        <f aca="false">IF('Raw Data'!J373="None","None",IF(ISBLANK('Raw Data'!J373),"None",'Raw Data'!J373))</f>
        <v>None</v>
      </c>
      <c r="K374" s="1" t="str">
        <f aca="false">'Raw Data'!K373</f>
        <v>Exited Early</v>
      </c>
      <c r="L374" s="1" t="str">
        <f aca="false">'Raw Data'!L373</f>
        <v>Free</v>
      </c>
      <c r="M374" s="1" t="n">
        <f aca="false">'Raw Data'!M373</f>
        <v>9</v>
      </c>
      <c r="N374" s="1" t="str">
        <f aca="false">'Raw Data'!N373</f>
        <v>No</v>
      </c>
    </row>
    <row r="375" customFormat="false" ht="15" hidden="false" customHeight="true" outlineLevel="0" collapsed="false">
      <c r="A375" s="1" t="str">
        <f aca="false">'Raw Data'!A374</f>
        <v>S00371</v>
      </c>
      <c r="B375" s="1" t="str">
        <f aca="false">'Raw Data'!B374</f>
        <v>P6086</v>
      </c>
      <c r="C375" s="1" t="str">
        <f aca="false">'Raw Data'!C374</f>
        <v>parkzachary</v>
      </c>
      <c r="D375" s="1" t="str">
        <f aca="false">'Raw Data'!D374</f>
        <v>Zombie Rush</v>
      </c>
      <c r="E375" s="1" t="str">
        <f aca="false">'Raw Data'!E374</f>
        <v>Mobile</v>
      </c>
      <c r="F375" s="1" t="str">
        <f aca="false">'Raw Data'!F374</f>
        <v>North</v>
      </c>
      <c r="G375" s="23" t="n">
        <f aca="false">'Raw Data'!G374</f>
        <v>45754</v>
      </c>
      <c r="H375" s="1" t="n">
        <f aca="false">'Raw Data'!H374</f>
        <v>144</v>
      </c>
      <c r="I375" s="24" t="n">
        <f aca="false">'Raw Data'!I374</f>
        <v>29.52</v>
      </c>
      <c r="J375" s="1" t="str">
        <f aca="false">IF('Raw Data'!J374="None","None",IF(ISBLANK('Raw Data'!J374),"None",'Raw Data'!J374))</f>
        <v>Skins</v>
      </c>
      <c r="K375" s="1" t="str">
        <f aca="false">'Raw Data'!K374</f>
        <v>Exited Early</v>
      </c>
      <c r="L375" s="1" t="str">
        <f aca="false">'Raw Data'!L374</f>
        <v>Paid</v>
      </c>
      <c r="M375" s="1" t="n">
        <f aca="false">'Raw Data'!M374</f>
        <v>36</v>
      </c>
      <c r="N375" s="1" t="str">
        <f aca="false">'Raw Data'!N374</f>
        <v>No</v>
      </c>
    </row>
    <row r="376" customFormat="false" ht="15" hidden="false" customHeight="true" outlineLevel="0" collapsed="false">
      <c r="A376" s="1" t="str">
        <f aca="false">'Raw Data'!A375</f>
        <v>S00372</v>
      </c>
      <c r="B376" s="1" t="str">
        <f aca="false">'Raw Data'!B375</f>
        <v>P1855</v>
      </c>
      <c r="C376" s="1" t="str">
        <f aca="false">'Raw Data'!C375</f>
        <v>amandarogers</v>
      </c>
      <c r="D376" s="1" t="str">
        <f aca="false">'Raw Data'!D375</f>
        <v>Zombie Rush</v>
      </c>
      <c r="E376" s="1" t="str">
        <f aca="false">'Raw Data'!E375</f>
        <v>PC</v>
      </c>
      <c r="F376" s="1" t="str">
        <f aca="false">'Raw Data'!F375</f>
        <v>North</v>
      </c>
      <c r="G376" s="23" t="n">
        <f aca="false">'Raw Data'!G375</f>
        <v>45655</v>
      </c>
      <c r="H376" s="1" t="n">
        <f aca="false">'Raw Data'!H375</f>
        <v>83</v>
      </c>
      <c r="I376" s="24" t="n">
        <f aca="false">'Raw Data'!I375</f>
        <v>0</v>
      </c>
      <c r="J376" s="1" t="str">
        <f aca="false">IF('Raw Data'!J375="None","None",IF(ISBLANK('Raw Data'!J375),"None",'Raw Data'!J375))</f>
        <v>None</v>
      </c>
      <c r="K376" s="1" t="str">
        <f aca="false">'Raw Data'!K375</f>
        <v>Completed</v>
      </c>
      <c r="L376" s="1" t="str">
        <f aca="false">'Raw Data'!L375</f>
        <v>Free</v>
      </c>
      <c r="M376" s="1" t="n">
        <f aca="false">'Raw Data'!M375</f>
        <v>49</v>
      </c>
      <c r="N376" s="1" t="str">
        <f aca="false">'Raw Data'!N375</f>
        <v>No</v>
      </c>
    </row>
    <row r="377" customFormat="false" ht="15" hidden="false" customHeight="true" outlineLevel="0" collapsed="false">
      <c r="A377" s="1" t="str">
        <f aca="false">'Raw Data'!A376</f>
        <v>S00373</v>
      </c>
      <c r="B377" s="1" t="str">
        <f aca="false">'Raw Data'!B376</f>
        <v>P9993</v>
      </c>
      <c r="C377" s="1" t="str">
        <f aca="false">'Raw Data'!C376</f>
        <v>bharris</v>
      </c>
      <c r="D377" s="1" t="str">
        <f aca="false">'Raw Data'!D376</f>
        <v>SpeedX</v>
      </c>
      <c r="E377" s="1" t="str">
        <f aca="false">'Raw Data'!E376</f>
        <v>PC</v>
      </c>
      <c r="F377" s="1" t="str">
        <f aca="false">'Raw Data'!F376</f>
        <v>East</v>
      </c>
      <c r="G377" s="23" t="n">
        <f aca="false">'Raw Data'!G376</f>
        <v>45811</v>
      </c>
      <c r="H377" s="1" t="n">
        <f aca="false">'Raw Data'!H376</f>
        <v>128</v>
      </c>
      <c r="I377" s="24" t="n">
        <f aca="false">'Raw Data'!I376</f>
        <v>0</v>
      </c>
      <c r="J377" s="1" t="str">
        <f aca="false">IF('Raw Data'!J376="None","None",IF(ISBLANK('Raw Data'!J376),"None",'Raw Data'!J376))</f>
        <v>None</v>
      </c>
      <c r="K377" s="1" t="str">
        <f aca="false">'Raw Data'!K376</f>
        <v>Completed</v>
      </c>
      <c r="L377" s="1" t="str">
        <f aca="false">'Raw Data'!L376</f>
        <v>Paid</v>
      </c>
      <c r="M377" s="1" t="n">
        <f aca="false">'Raw Data'!M376</f>
        <v>29</v>
      </c>
      <c r="N377" s="1" t="str">
        <f aca="false">'Raw Data'!N376</f>
        <v>No</v>
      </c>
    </row>
    <row r="378" customFormat="false" ht="15" hidden="false" customHeight="true" outlineLevel="0" collapsed="false">
      <c r="A378" s="1" t="str">
        <f aca="false">'Raw Data'!A377</f>
        <v>S00374</v>
      </c>
      <c r="B378" s="1" t="str">
        <f aca="false">'Raw Data'!B377</f>
        <v>P1603</v>
      </c>
      <c r="C378" s="1" t="str">
        <f aca="false">'Raw Data'!C377</f>
        <v>rojasjennifer</v>
      </c>
      <c r="D378" s="1" t="str">
        <f aca="false">'Raw Data'!D377</f>
        <v>Zombie Rush</v>
      </c>
      <c r="E378" s="1" t="str">
        <f aca="false">'Raw Data'!E377</f>
        <v>PC</v>
      </c>
      <c r="F378" s="1" t="str">
        <f aca="false">'Raw Data'!F377</f>
        <v>West</v>
      </c>
      <c r="G378" s="23" t="n">
        <f aca="false">'Raw Data'!G377</f>
        <v>45775</v>
      </c>
      <c r="H378" s="1" t="n">
        <f aca="false">'Raw Data'!H377</f>
        <v>59</v>
      </c>
      <c r="I378" s="24" t="n">
        <f aca="false">'Raw Data'!I377</f>
        <v>0</v>
      </c>
      <c r="J378" s="1" t="str">
        <f aca="false">IF('Raw Data'!J377="None","None",IF(ISBLANK('Raw Data'!J377),"None",'Raw Data'!J377))</f>
        <v>None</v>
      </c>
      <c r="K378" s="1" t="str">
        <f aca="false">'Raw Data'!K377</f>
        <v>Completed</v>
      </c>
      <c r="L378" s="1" t="str">
        <f aca="false">'Raw Data'!L377</f>
        <v>Free</v>
      </c>
      <c r="M378" s="1" t="n">
        <f aca="false">'Raw Data'!M377</f>
        <v>36</v>
      </c>
      <c r="N378" s="1" t="str">
        <f aca="false">'Raw Data'!N377</f>
        <v>No</v>
      </c>
    </row>
    <row r="379" customFormat="false" ht="15" hidden="false" customHeight="true" outlineLevel="0" collapsed="false">
      <c r="A379" s="1" t="str">
        <f aca="false">'Raw Data'!A378</f>
        <v>S00375</v>
      </c>
      <c r="B379" s="1" t="str">
        <f aca="false">'Raw Data'!B378</f>
        <v>P5838</v>
      </c>
      <c r="C379" s="1" t="str">
        <f aca="false">'Raw Data'!C378</f>
        <v>christopher10</v>
      </c>
      <c r="D379" s="1" t="str">
        <f aca="false">'Raw Data'!D378</f>
        <v>Zombie Rush</v>
      </c>
      <c r="E379" s="1" t="str">
        <f aca="false">'Raw Data'!E378</f>
        <v>Console</v>
      </c>
      <c r="F379" s="1" t="str">
        <f aca="false">'Raw Data'!F378</f>
        <v>East</v>
      </c>
      <c r="G379" s="23" t="n">
        <f aca="false">'Raw Data'!G378</f>
        <v>45786</v>
      </c>
      <c r="H379" s="1" t="n">
        <f aca="false">'Raw Data'!H378</f>
        <v>79</v>
      </c>
      <c r="I379" s="24" t="n">
        <f aca="false">'Raw Data'!I378</f>
        <v>20.5</v>
      </c>
      <c r="J379" s="1" t="str">
        <f aca="false">IF('Raw Data'!J378="None","None",IF(ISBLANK('Raw Data'!J378),"None",'Raw Data'!J378))</f>
        <v>Boosters</v>
      </c>
      <c r="K379" s="1" t="str">
        <f aca="false">'Raw Data'!K378</f>
        <v>Completed</v>
      </c>
      <c r="L379" s="1" t="str">
        <f aca="false">'Raw Data'!L378</f>
        <v>Paid</v>
      </c>
      <c r="M379" s="1" t="n">
        <f aca="false">'Raw Data'!M378</f>
        <v>5</v>
      </c>
      <c r="N379" s="1" t="str">
        <f aca="false">'Raw Data'!N378</f>
        <v>No</v>
      </c>
    </row>
    <row r="380" customFormat="false" ht="15" hidden="false" customHeight="true" outlineLevel="0" collapsed="false">
      <c r="A380" s="1" t="str">
        <f aca="false">'Raw Data'!A379</f>
        <v>S00376</v>
      </c>
      <c r="B380" s="1" t="str">
        <f aca="false">'Raw Data'!B379</f>
        <v>P4545</v>
      </c>
      <c r="C380" s="1" t="str">
        <f aca="false">'Raw Data'!C379</f>
        <v>monique85</v>
      </c>
      <c r="D380" s="1" t="str">
        <f aca="false">'Raw Data'!D379</f>
        <v>BattleZone</v>
      </c>
      <c r="E380" s="1" t="str">
        <f aca="false">'Raw Data'!E379</f>
        <v>PC</v>
      </c>
      <c r="F380" s="1" t="str">
        <f aca="false">'Raw Data'!F379</f>
        <v>South</v>
      </c>
      <c r="G380" s="23" t="n">
        <f aca="false">'Raw Data'!G379</f>
        <v>45651</v>
      </c>
      <c r="H380" s="1" t="n">
        <f aca="false">'Raw Data'!H379</f>
        <v>167</v>
      </c>
      <c r="I380" s="24" t="n">
        <f aca="false">'Raw Data'!I379</f>
        <v>0</v>
      </c>
      <c r="J380" s="1" t="str">
        <f aca="false">IF('Raw Data'!J379="None","None",IF(ISBLANK('Raw Data'!J379),"None",'Raw Data'!J379))</f>
        <v>None</v>
      </c>
      <c r="K380" s="1" t="str">
        <f aca="false">'Raw Data'!K379</f>
        <v>Completed</v>
      </c>
      <c r="L380" s="1" t="str">
        <f aca="false">'Raw Data'!L379</f>
        <v>Paid</v>
      </c>
      <c r="M380" s="1" t="n">
        <f aca="false">'Raw Data'!M379</f>
        <v>37</v>
      </c>
      <c r="N380" s="1" t="str">
        <f aca="false">'Raw Data'!N379</f>
        <v>Yes</v>
      </c>
    </row>
    <row r="381" customFormat="false" ht="15" hidden="false" customHeight="true" outlineLevel="0" collapsed="false">
      <c r="A381" s="1" t="str">
        <f aca="false">'Raw Data'!A380</f>
        <v>S00377</v>
      </c>
      <c r="B381" s="1" t="str">
        <f aca="false">'Raw Data'!B380</f>
        <v>P7247</v>
      </c>
      <c r="C381" s="1" t="str">
        <f aca="false">'Raw Data'!C380</f>
        <v>hhuff</v>
      </c>
      <c r="D381" s="1" t="str">
        <f aca="false">'Raw Data'!D380</f>
        <v>BattleZone</v>
      </c>
      <c r="E381" s="1" t="str">
        <f aca="false">'Raw Data'!E380</f>
        <v>Console</v>
      </c>
      <c r="F381" s="1" t="str">
        <f aca="false">'Raw Data'!F380</f>
        <v>South</v>
      </c>
      <c r="G381" s="23" t="n">
        <f aca="false">'Raw Data'!G380</f>
        <v>45765</v>
      </c>
      <c r="H381" s="1" t="n">
        <f aca="false">'Raw Data'!H380</f>
        <v>165</v>
      </c>
      <c r="I381" s="24" t="n">
        <f aca="false">'Raw Data'!I380</f>
        <v>21.99</v>
      </c>
      <c r="J381" s="1" t="str">
        <f aca="false">IF('Raw Data'!J380="None","None",IF(ISBLANK('Raw Data'!J380),"None",'Raw Data'!J380))</f>
        <v>Boosters</v>
      </c>
      <c r="K381" s="1" t="str">
        <f aca="false">'Raw Data'!K380</f>
        <v>Exited Early</v>
      </c>
      <c r="L381" s="1" t="str">
        <f aca="false">'Raw Data'!L380</f>
        <v>Paid</v>
      </c>
      <c r="M381" s="1" t="n">
        <f aca="false">'Raw Data'!M380</f>
        <v>45</v>
      </c>
      <c r="N381" s="1" t="str">
        <f aca="false">'Raw Data'!N380</f>
        <v>Yes</v>
      </c>
    </row>
    <row r="382" customFormat="false" ht="15" hidden="false" customHeight="true" outlineLevel="0" collapsed="false">
      <c r="A382" s="1" t="str">
        <f aca="false">'Raw Data'!A381</f>
        <v>S00378</v>
      </c>
      <c r="B382" s="1" t="str">
        <f aca="false">'Raw Data'!B381</f>
        <v>P2591</v>
      </c>
      <c r="C382" s="1" t="str">
        <f aca="false">'Raw Data'!C381</f>
        <v>caitlingonzales</v>
      </c>
      <c r="D382" s="1" t="str">
        <f aca="false">'Raw Data'!D381</f>
        <v>BattleZone</v>
      </c>
      <c r="E382" s="1" t="str">
        <f aca="false">'Raw Data'!E381</f>
        <v>Console</v>
      </c>
      <c r="F382" s="1" t="str">
        <f aca="false">'Raw Data'!F381</f>
        <v>South</v>
      </c>
      <c r="G382" s="23" t="n">
        <f aca="false">'Raw Data'!G381</f>
        <v>45788</v>
      </c>
      <c r="H382" s="1" t="n">
        <f aca="false">'Raw Data'!H381</f>
        <v>109</v>
      </c>
      <c r="I382" s="24" t="n">
        <f aca="false">'Raw Data'!I381</f>
        <v>39.87</v>
      </c>
      <c r="J382" s="1" t="str">
        <f aca="false">IF('Raw Data'!J381="None","None",IF(ISBLANK('Raw Data'!J381),"None",'Raw Data'!J381))</f>
        <v>Boosters</v>
      </c>
      <c r="K382" s="1" t="str">
        <f aca="false">'Raw Data'!K381</f>
        <v>Completed</v>
      </c>
      <c r="L382" s="1" t="str">
        <f aca="false">'Raw Data'!L381</f>
        <v>Paid</v>
      </c>
      <c r="M382" s="1" t="n">
        <f aca="false">'Raw Data'!M381</f>
        <v>13</v>
      </c>
      <c r="N382" s="1" t="str">
        <f aca="false">'Raw Data'!N381</f>
        <v>No</v>
      </c>
    </row>
    <row r="383" customFormat="false" ht="15" hidden="false" customHeight="true" outlineLevel="0" collapsed="false">
      <c r="A383" s="1" t="str">
        <f aca="false">'Raw Data'!A382</f>
        <v>S00379</v>
      </c>
      <c r="B383" s="1" t="str">
        <f aca="false">'Raw Data'!B382</f>
        <v>P1302</v>
      </c>
      <c r="C383" s="1" t="str">
        <f aca="false">'Raw Data'!C382</f>
        <v>tdavis</v>
      </c>
      <c r="D383" s="1" t="str">
        <f aca="false">'Raw Data'!D382</f>
        <v>Clash of Realms</v>
      </c>
      <c r="E383" s="1" t="str">
        <f aca="false">'Raw Data'!E382</f>
        <v>Mobile</v>
      </c>
      <c r="F383" s="1" t="str">
        <f aca="false">'Raw Data'!F382</f>
        <v>South</v>
      </c>
      <c r="G383" s="23" t="n">
        <f aca="false">'Raw Data'!G382</f>
        <v>45733</v>
      </c>
      <c r="H383" s="1" t="n">
        <f aca="false">'Raw Data'!H382</f>
        <v>167</v>
      </c>
      <c r="I383" s="24" t="n">
        <f aca="false">'Raw Data'!I382</f>
        <v>0</v>
      </c>
      <c r="J383" s="1" t="str">
        <f aca="false">IF('Raw Data'!J382="None","None",IF(ISBLANK('Raw Data'!J382),"None",'Raw Data'!J382))</f>
        <v>None</v>
      </c>
      <c r="K383" s="1" t="str">
        <f aca="false">'Raw Data'!K382</f>
        <v>Exited Early</v>
      </c>
      <c r="L383" s="1" t="str">
        <f aca="false">'Raw Data'!L382</f>
        <v>Paid</v>
      </c>
      <c r="M383" s="1" t="n">
        <f aca="false">'Raw Data'!M382</f>
        <v>28</v>
      </c>
      <c r="N383" s="1" t="str">
        <f aca="false">'Raw Data'!N382</f>
        <v>Yes</v>
      </c>
    </row>
    <row r="384" customFormat="false" ht="15" hidden="false" customHeight="true" outlineLevel="0" collapsed="false">
      <c r="A384" s="1" t="str">
        <f aca="false">'Raw Data'!A383</f>
        <v>S00380</v>
      </c>
      <c r="B384" s="1" t="str">
        <f aca="false">'Raw Data'!B383</f>
        <v>P7023</v>
      </c>
      <c r="C384" s="1" t="str">
        <f aca="false">'Raw Data'!C383</f>
        <v>jessicacisneros</v>
      </c>
      <c r="D384" s="1" t="str">
        <f aca="false">'Raw Data'!D383</f>
        <v>SpeedX</v>
      </c>
      <c r="E384" s="1" t="str">
        <f aca="false">'Raw Data'!E383</f>
        <v>Mobile</v>
      </c>
      <c r="F384" s="1" t="str">
        <f aca="false">'Raw Data'!F383</f>
        <v>West</v>
      </c>
      <c r="G384" s="23" t="n">
        <f aca="false">'Raw Data'!G383</f>
        <v>45694</v>
      </c>
      <c r="H384" s="1" t="n">
        <f aca="false">'Raw Data'!H383</f>
        <v>36</v>
      </c>
      <c r="I384" s="24" t="n">
        <f aca="false">'Raw Data'!I383</f>
        <v>14.75</v>
      </c>
      <c r="J384" s="1" t="str">
        <f aca="false">IF('Raw Data'!J383="None","None",IF(ISBLANK('Raw Data'!J383),"None",'Raw Data'!J383))</f>
        <v>Battle Pass</v>
      </c>
      <c r="K384" s="1" t="str">
        <f aca="false">'Raw Data'!K383</f>
        <v>Completed</v>
      </c>
      <c r="L384" s="1" t="str">
        <f aca="false">'Raw Data'!L383</f>
        <v>Paid</v>
      </c>
      <c r="M384" s="1" t="n">
        <f aca="false">'Raw Data'!M383</f>
        <v>46</v>
      </c>
      <c r="N384" s="1" t="str">
        <f aca="false">'Raw Data'!N383</f>
        <v>No</v>
      </c>
    </row>
    <row r="385" customFormat="false" ht="15" hidden="false" customHeight="true" outlineLevel="0" collapsed="false">
      <c r="A385" s="1" t="str">
        <f aca="false">'Raw Data'!A384</f>
        <v>S00381</v>
      </c>
      <c r="B385" s="1" t="str">
        <f aca="false">'Raw Data'!B384</f>
        <v>P3795</v>
      </c>
      <c r="C385" s="1" t="str">
        <f aca="false">'Raw Data'!C384</f>
        <v>shelbyvalencia</v>
      </c>
      <c r="D385" s="1" t="str">
        <f aca="false">'Raw Data'!D384</f>
        <v>SpeedX</v>
      </c>
      <c r="E385" s="1" t="str">
        <f aca="false">'Raw Data'!E384</f>
        <v>Mobile</v>
      </c>
      <c r="F385" s="1" t="str">
        <f aca="false">'Raw Data'!F384</f>
        <v>Central</v>
      </c>
      <c r="G385" s="23" t="n">
        <f aca="false">'Raw Data'!G384</f>
        <v>45737</v>
      </c>
      <c r="H385" s="1" t="n">
        <f aca="false">'Raw Data'!H384</f>
        <v>54</v>
      </c>
      <c r="I385" s="24" t="n">
        <f aca="false">'Raw Data'!I384</f>
        <v>0</v>
      </c>
      <c r="J385" s="1" t="str">
        <f aca="false">IF('Raw Data'!J384="None","None",IF(ISBLANK('Raw Data'!J384),"None",'Raw Data'!J384))</f>
        <v>None</v>
      </c>
      <c r="K385" s="1" t="str">
        <f aca="false">'Raw Data'!K384</f>
        <v>Completed</v>
      </c>
      <c r="L385" s="1" t="str">
        <f aca="false">'Raw Data'!L384</f>
        <v>Free</v>
      </c>
      <c r="M385" s="1" t="n">
        <f aca="false">'Raw Data'!M384</f>
        <v>25</v>
      </c>
      <c r="N385" s="1" t="str">
        <f aca="false">'Raw Data'!N384</f>
        <v>No</v>
      </c>
    </row>
    <row r="386" customFormat="false" ht="15" hidden="false" customHeight="true" outlineLevel="0" collapsed="false">
      <c r="A386" s="1" t="str">
        <f aca="false">'Raw Data'!A385</f>
        <v>S00382</v>
      </c>
      <c r="B386" s="1" t="str">
        <f aca="false">'Raw Data'!B385</f>
        <v>P6609</v>
      </c>
      <c r="C386" s="1" t="str">
        <f aca="false">'Raw Data'!C385</f>
        <v>jonathan22</v>
      </c>
      <c r="D386" s="1" t="str">
        <f aca="false">'Raw Data'!D385</f>
        <v>BattleZone</v>
      </c>
      <c r="E386" s="1" t="str">
        <f aca="false">'Raw Data'!E385</f>
        <v>Console</v>
      </c>
      <c r="F386" s="1" t="str">
        <f aca="false">'Raw Data'!F385</f>
        <v>North</v>
      </c>
      <c r="G386" s="23" t="n">
        <f aca="false">'Raw Data'!G385</f>
        <v>45656</v>
      </c>
      <c r="H386" s="1" t="n">
        <f aca="false">'Raw Data'!H385</f>
        <v>15</v>
      </c>
      <c r="I386" s="24" t="n">
        <f aca="false">'Raw Data'!I385</f>
        <v>0</v>
      </c>
      <c r="J386" s="1" t="str">
        <f aca="false">IF('Raw Data'!J385="None","None",IF(ISBLANK('Raw Data'!J385),"None",'Raw Data'!J385))</f>
        <v>None</v>
      </c>
      <c r="K386" s="1" t="str">
        <f aca="false">'Raw Data'!K385</f>
        <v>Completed</v>
      </c>
      <c r="L386" s="1" t="str">
        <f aca="false">'Raw Data'!L385</f>
        <v>Free</v>
      </c>
      <c r="M386" s="1" t="n">
        <f aca="false">'Raw Data'!M385</f>
        <v>19</v>
      </c>
      <c r="N386" s="1" t="str">
        <f aca="false">'Raw Data'!N385</f>
        <v>No</v>
      </c>
    </row>
    <row r="387" customFormat="false" ht="15" hidden="false" customHeight="true" outlineLevel="0" collapsed="false">
      <c r="A387" s="1" t="str">
        <f aca="false">'Raw Data'!A386</f>
        <v>S00383</v>
      </c>
      <c r="B387" s="1" t="str">
        <f aca="false">'Raw Data'!B386</f>
        <v>P8505</v>
      </c>
      <c r="C387" s="1" t="str">
        <f aca="false">'Raw Data'!C386</f>
        <v>derrickbuck</v>
      </c>
      <c r="D387" s="1" t="str">
        <f aca="false">'Raw Data'!D386</f>
        <v>SpeedX</v>
      </c>
      <c r="E387" s="1" t="str">
        <f aca="false">'Raw Data'!E386</f>
        <v>Console</v>
      </c>
      <c r="F387" s="1" t="str">
        <f aca="false">'Raw Data'!F386</f>
        <v>East</v>
      </c>
      <c r="G387" s="23" t="n">
        <f aca="false">'Raw Data'!G386</f>
        <v>45776</v>
      </c>
      <c r="H387" s="1" t="n">
        <f aca="false">'Raw Data'!H386</f>
        <v>101</v>
      </c>
      <c r="I387" s="24" t="n">
        <f aca="false">'Raw Data'!I386</f>
        <v>0</v>
      </c>
      <c r="J387" s="1" t="str">
        <f aca="false">IF('Raw Data'!J386="None","None",IF(ISBLANK('Raw Data'!J386),"None",'Raw Data'!J386))</f>
        <v>None</v>
      </c>
      <c r="K387" s="1" t="str">
        <f aca="false">'Raw Data'!K386</f>
        <v>Incomplete</v>
      </c>
      <c r="L387" s="1" t="str">
        <f aca="false">'Raw Data'!L386</f>
        <v>Free</v>
      </c>
      <c r="M387" s="1" t="n">
        <f aca="false">'Raw Data'!M386</f>
        <v>41</v>
      </c>
      <c r="N387" s="1" t="str">
        <f aca="false">'Raw Data'!N386</f>
        <v>No</v>
      </c>
    </row>
    <row r="388" customFormat="false" ht="15" hidden="false" customHeight="true" outlineLevel="0" collapsed="false">
      <c r="A388" s="1" t="str">
        <f aca="false">'Raw Data'!A387</f>
        <v>S00384</v>
      </c>
      <c r="B388" s="1" t="str">
        <f aca="false">'Raw Data'!B387</f>
        <v>P6967</v>
      </c>
      <c r="C388" s="1" t="str">
        <f aca="false">'Raw Data'!C387</f>
        <v>zvargas</v>
      </c>
      <c r="D388" s="1" t="str">
        <f aca="false">'Raw Data'!D387</f>
        <v>SpeedX</v>
      </c>
      <c r="E388" s="1" t="str">
        <f aca="false">'Raw Data'!E387</f>
        <v>Mobile</v>
      </c>
      <c r="F388" s="1" t="str">
        <f aca="false">'Raw Data'!F387</f>
        <v>East</v>
      </c>
      <c r="G388" s="23" t="n">
        <f aca="false">'Raw Data'!G387</f>
        <v>45684</v>
      </c>
      <c r="H388" s="1" t="n">
        <f aca="false">'Raw Data'!H387</f>
        <v>79</v>
      </c>
      <c r="I388" s="24" t="n">
        <f aca="false">'Raw Data'!I387</f>
        <v>0</v>
      </c>
      <c r="J388" s="1" t="str">
        <f aca="false">IF('Raw Data'!J387="None","None",IF(ISBLANK('Raw Data'!J387),"None",'Raw Data'!J387))</f>
        <v>None</v>
      </c>
      <c r="K388" s="1" t="str">
        <f aca="false">'Raw Data'!K387</f>
        <v>Completed</v>
      </c>
      <c r="L388" s="1" t="str">
        <f aca="false">'Raw Data'!L387</f>
        <v>Free</v>
      </c>
      <c r="M388" s="1" t="n">
        <f aca="false">'Raw Data'!M387</f>
        <v>48</v>
      </c>
      <c r="N388" s="1" t="str">
        <f aca="false">'Raw Data'!N387</f>
        <v>No</v>
      </c>
    </row>
    <row r="389" customFormat="false" ht="15" hidden="false" customHeight="true" outlineLevel="0" collapsed="false">
      <c r="A389" s="1" t="str">
        <f aca="false">'Raw Data'!A388</f>
        <v>S00385</v>
      </c>
      <c r="B389" s="1" t="str">
        <f aca="false">'Raw Data'!B388</f>
        <v>P5442</v>
      </c>
      <c r="C389" s="1" t="str">
        <f aca="false">'Raw Data'!C388</f>
        <v>rsutton</v>
      </c>
      <c r="D389" s="1" t="str">
        <f aca="false">'Raw Data'!D388</f>
        <v>Clash of Realms</v>
      </c>
      <c r="E389" s="1" t="str">
        <f aca="false">'Raw Data'!E388</f>
        <v>PC</v>
      </c>
      <c r="F389" s="1" t="str">
        <f aca="false">'Raw Data'!F388</f>
        <v>North</v>
      </c>
      <c r="G389" s="23" t="n">
        <f aca="false">'Raw Data'!G388</f>
        <v>45751</v>
      </c>
      <c r="H389" s="1" t="n">
        <f aca="false">'Raw Data'!H388</f>
        <v>13</v>
      </c>
      <c r="I389" s="24" t="n">
        <f aca="false">'Raw Data'!I388</f>
        <v>0</v>
      </c>
      <c r="J389" s="1" t="str">
        <f aca="false">IF('Raw Data'!J388="None","None",IF(ISBLANK('Raw Data'!J388),"None",'Raw Data'!J388))</f>
        <v>None</v>
      </c>
      <c r="K389" s="1" t="str">
        <f aca="false">'Raw Data'!K388</f>
        <v>Completed</v>
      </c>
      <c r="L389" s="1" t="str">
        <f aca="false">'Raw Data'!L388</f>
        <v>Free</v>
      </c>
      <c r="M389" s="1" t="n">
        <f aca="false">'Raw Data'!M388</f>
        <v>13</v>
      </c>
      <c r="N389" s="1" t="str">
        <f aca="false">'Raw Data'!N388</f>
        <v>No</v>
      </c>
    </row>
    <row r="390" customFormat="false" ht="15" hidden="false" customHeight="true" outlineLevel="0" collapsed="false">
      <c r="A390" s="1" t="str">
        <f aca="false">'Raw Data'!A389</f>
        <v>S00386</v>
      </c>
      <c r="B390" s="1" t="str">
        <f aca="false">'Raw Data'!B389</f>
        <v>P5885</v>
      </c>
      <c r="C390" s="1" t="str">
        <f aca="false">'Raw Data'!C389</f>
        <v>olopez</v>
      </c>
      <c r="D390" s="1" t="str">
        <f aca="false">'Raw Data'!D389</f>
        <v>Zombie Rush</v>
      </c>
      <c r="E390" s="1" t="str">
        <f aca="false">'Raw Data'!E389</f>
        <v>Console</v>
      </c>
      <c r="F390" s="1" t="str">
        <f aca="false">'Raw Data'!F389</f>
        <v>North-East</v>
      </c>
      <c r="G390" s="23" t="n">
        <f aca="false">'Raw Data'!G389</f>
        <v>45663</v>
      </c>
      <c r="H390" s="1" t="n">
        <f aca="false">'Raw Data'!H389</f>
        <v>157</v>
      </c>
      <c r="I390" s="24" t="n">
        <f aca="false">'Raw Data'!I389</f>
        <v>0</v>
      </c>
      <c r="J390" s="1" t="str">
        <f aca="false">IF('Raw Data'!J389="None","None",IF(ISBLANK('Raw Data'!J389),"None",'Raw Data'!J389))</f>
        <v>None</v>
      </c>
      <c r="K390" s="1" t="str">
        <f aca="false">'Raw Data'!K389</f>
        <v>Completed</v>
      </c>
      <c r="L390" s="1" t="str">
        <f aca="false">'Raw Data'!L389</f>
        <v>Free</v>
      </c>
      <c r="M390" s="1" t="n">
        <f aca="false">'Raw Data'!M389</f>
        <v>22</v>
      </c>
      <c r="N390" s="1" t="str">
        <f aca="false">'Raw Data'!N389</f>
        <v>Yes</v>
      </c>
    </row>
    <row r="391" customFormat="false" ht="15" hidden="false" customHeight="true" outlineLevel="0" collapsed="false">
      <c r="A391" s="1" t="str">
        <f aca="false">'Raw Data'!A390</f>
        <v>S00387</v>
      </c>
      <c r="B391" s="1" t="str">
        <f aca="false">'Raw Data'!B390</f>
        <v>P2635</v>
      </c>
      <c r="C391" s="1" t="str">
        <f aca="false">'Raw Data'!C390</f>
        <v>carol86</v>
      </c>
      <c r="D391" s="1" t="str">
        <f aca="false">'Raw Data'!D390</f>
        <v>SpeedX</v>
      </c>
      <c r="E391" s="1" t="str">
        <f aca="false">'Raw Data'!E390</f>
        <v>Console</v>
      </c>
      <c r="F391" s="1" t="str">
        <f aca="false">'Raw Data'!F390</f>
        <v>North-East</v>
      </c>
      <c r="G391" s="23" t="n">
        <f aca="false">'Raw Data'!G390</f>
        <v>45813</v>
      </c>
      <c r="H391" s="1" t="n">
        <f aca="false">'Raw Data'!H390</f>
        <v>6</v>
      </c>
      <c r="I391" s="24" t="n">
        <f aca="false">'Raw Data'!I390</f>
        <v>0</v>
      </c>
      <c r="J391" s="1" t="str">
        <f aca="false">IF('Raw Data'!J390="None","None",IF(ISBLANK('Raw Data'!J390),"None",'Raw Data'!J390))</f>
        <v>None</v>
      </c>
      <c r="K391" s="1" t="str">
        <f aca="false">'Raw Data'!K390</f>
        <v>Crashed</v>
      </c>
      <c r="L391" s="1" t="str">
        <f aca="false">'Raw Data'!L390</f>
        <v>Free</v>
      </c>
      <c r="M391" s="1" t="n">
        <f aca="false">'Raw Data'!M390</f>
        <v>7</v>
      </c>
      <c r="N391" s="1" t="str">
        <f aca="false">'Raw Data'!N390</f>
        <v>No</v>
      </c>
    </row>
    <row r="392" customFormat="false" ht="15" hidden="false" customHeight="true" outlineLevel="0" collapsed="false">
      <c r="A392" s="1" t="str">
        <f aca="false">'Raw Data'!A391</f>
        <v>S00388</v>
      </c>
      <c r="B392" s="1" t="str">
        <f aca="false">'Raw Data'!B391</f>
        <v>P6440</v>
      </c>
      <c r="C392" s="1" t="str">
        <f aca="false">'Raw Data'!C391</f>
        <v>lisabarber</v>
      </c>
      <c r="D392" s="1" t="str">
        <f aca="false">'Raw Data'!D391</f>
        <v>Clash of Realms</v>
      </c>
      <c r="E392" s="1" t="str">
        <f aca="false">'Raw Data'!E391</f>
        <v>Console</v>
      </c>
      <c r="F392" s="1" t="str">
        <f aca="false">'Raw Data'!F391</f>
        <v>North</v>
      </c>
      <c r="G392" s="23" t="n">
        <f aca="false">'Raw Data'!G391</f>
        <v>45809</v>
      </c>
      <c r="H392" s="1" t="n">
        <f aca="false">'Raw Data'!H391</f>
        <v>134</v>
      </c>
      <c r="I392" s="24" t="n">
        <f aca="false">'Raw Data'!I391</f>
        <v>0</v>
      </c>
      <c r="J392" s="1" t="str">
        <f aca="false">IF('Raw Data'!J391="None","None",IF(ISBLANK('Raw Data'!J391),"None",'Raw Data'!J391))</f>
        <v>None</v>
      </c>
      <c r="K392" s="1" t="str">
        <f aca="false">'Raw Data'!K391</f>
        <v>Completed</v>
      </c>
      <c r="L392" s="1" t="str">
        <f aca="false">'Raw Data'!L391</f>
        <v>Free</v>
      </c>
      <c r="M392" s="1" t="n">
        <f aca="false">'Raw Data'!M391</f>
        <v>28</v>
      </c>
      <c r="N392" s="1" t="str">
        <f aca="false">'Raw Data'!N391</f>
        <v>No</v>
      </c>
    </row>
    <row r="393" customFormat="false" ht="15" hidden="false" customHeight="true" outlineLevel="0" collapsed="false">
      <c r="A393" s="1" t="str">
        <f aca="false">'Raw Data'!A392</f>
        <v>S00389</v>
      </c>
      <c r="B393" s="1" t="str">
        <f aca="false">'Raw Data'!B392</f>
        <v>P4758</v>
      </c>
      <c r="C393" s="1" t="str">
        <f aca="false">'Raw Data'!C392</f>
        <v>howardsamantha</v>
      </c>
      <c r="D393" s="1" t="str">
        <f aca="false">'Raw Data'!D392</f>
        <v>Empire Wars</v>
      </c>
      <c r="E393" s="1" t="str">
        <f aca="false">'Raw Data'!E392</f>
        <v>PC</v>
      </c>
      <c r="F393" s="1" t="str">
        <f aca="false">'Raw Data'!F392</f>
        <v>North-East</v>
      </c>
      <c r="G393" s="23" t="n">
        <f aca="false">'Raw Data'!G392</f>
        <v>45803</v>
      </c>
      <c r="H393" s="1" t="n">
        <f aca="false">'Raw Data'!H392</f>
        <v>76</v>
      </c>
      <c r="I393" s="24" t="n">
        <f aca="false">'Raw Data'!I392</f>
        <v>37.02</v>
      </c>
      <c r="J393" s="1" t="str">
        <f aca="false">IF('Raw Data'!J392="None","None",IF(ISBLANK('Raw Data'!J392),"None",'Raw Data'!J392))</f>
        <v>Battle Pass</v>
      </c>
      <c r="K393" s="1" t="str">
        <f aca="false">'Raw Data'!K392</f>
        <v>Completed</v>
      </c>
      <c r="L393" s="1" t="str">
        <f aca="false">'Raw Data'!L392</f>
        <v>Paid</v>
      </c>
      <c r="M393" s="1" t="n">
        <f aca="false">'Raw Data'!M392</f>
        <v>4</v>
      </c>
      <c r="N393" s="1" t="str">
        <f aca="false">'Raw Data'!N392</f>
        <v>No</v>
      </c>
    </row>
    <row r="394" customFormat="false" ht="15" hidden="false" customHeight="true" outlineLevel="0" collapsed="false">
      <c r="A394" s="1" t="str">
        <f aca="false">'Raw Data'!A393</f>
        <v>S00390</v>
      </c>
      <c r="B394" s="1" t="str">
        <f aca="false">'Raw Data'!B393</f>
        <v>P9103</v>
      </c>
      <c r="C394" s="1" t="str">
        <f aca="false">'Raw Data'!C393</f>
        <v>lance41</v>
      </c>
      <c r="D394" s="1" t="str">
        <f aca="false">'Raw Data'!D393</f>
        <v>Zombie Rush</v>
      </c>
      <c r="E394" s="1" t="str">
        <f aca="false">'Raw Data'!E393</f>
        <v>Console</v>
      </c>
      <c r="F394" s="1" t="str">
        <f aca="false">'Raw Data'!F393</f>
        <v>West</v>
      </c>
      <c r="G394" s="23" t="n">
        <f aca="false">'Raw Data'!G393</f>
        <v>45783</v>
      </c>
      <c r="H394" s="1" t="n">
        <f aca="false">'Raw Data'!H393</f>
        <v>71</v>
      </c>
      <c r="I394" s="24" t="n">
        <f aca="false">'Raw Data'!I393</f>
        <v>0</v>
      </c>
      <c r="J394" s="1" t="str">
        <f aca="false">IF('Raw Data'!J393="None","None",IF(ISBLANK('Raw Data'!J393),"None",'Raw Data'!J393))</f>
        <v>None</v>
      </c>
      <c r="K394" s="1" t="str">
        <f aca="false">'Raw Data'!K393</f>
        <v>Completed</v>
      </c>
      <c r="L394" s="1" t="str">
        <f aca="false">'Raw Data'!L393</f>
        <v>Free</v>
      </c>
      <c r="M394" s="1" t="n">
        <f aca="false">'Raw Data'!M393</f>
        <v>46</v>
      </c>
      <c r="N394" s="1" t="str">
        <f aca="false">'Raw Data'!N393</f>
        <v>No</v>
      </c>
    </row>
    <row r="395" customFormat="false" ht="15" hidden="false" customHeight="true" outlineLevel="0" collapsed="false">
      <c r="A395" s="1" t="str">
        <f aca="false">'Raw Data'!A394</f>
        <v>S00391</v>
      </c>
      <c r="B395" s="1" t="str">
        <f aca="false">'Raw Data'!B394</f>
        <v>P1344</v>
      </c>
      <c r="C395" s="1" t="str">
        <f aca="false">'Raw Data'!C394</f>
        <v>williamsonkirsten</v>
      </c>
      <c r="D395" s="1" t="str">
        <f aca="false">'Raw Data'!D394</f>
        <v>SpeedX</v>
      </c>
      <c r="E395" s="1" t="str">
        <f aca="false">'Raw Data'!E394</f>
        <v>PC</v>
      </c>
      <c r="F395" s="1" t="str">
        <f aca="false">'Raw Data'!F394</f>
        <v>West</v>
      </c>
      <c r="G395" s="23" t="n">
        <f aca="false">'Raw Data'!G394</f>
        <v>45660</v>
      </c>
      <c r="H395" s="1" t="n">
        <f aca="false">'Raw Data'!H394</f>
        <v>49</v>
      </c>
      <c r="I395" s="24" t="n">
        <f aca="false">'Raw Data'!I394</f>
        <v>19.43</v>
      </c>
      <c r="J395" s="1" t="str">
        <f aca="false">IF('Raw Data'!J394="None","None",IF(ISBLANK('Raw Data'!J394),"None",'Raw Data'!J394))</f>
        <v>Battle Pass</v>
      </c>
      <c r="K395" s="1" t="str">
        <f aca="false">'Raw Data'!K394</f>
        <v>Completed</v>
      </c>
      <c r="L395" s="1" t="str">
        <f aca="false">'Raw Data'!L394</f>
        <v>Paid</v>
      </c>
      <c r="M395" s="1" t="n">
        <f aca="false">'Raw Data'!M394</f>
        <v>22</v>
      </c>
      <c r="N395" s="1" t="str">
        <f aca="false">'Raw Data'!N394</f>
        <v>No</v>
      </c>
    </row>
    <row r="396" customFormat="false" ht="15" hidden="false" customHeight="true" outlineLevel="0" collapsed="false">
      <c r="A396" s="1" t="str">
        <f aca="false">'Raw Data'!A395</f>
        <v>S00392</v>
      </c>
      <c r="B396" s="1" t="str">
        <f aca="false">'Raw Data'!B395</f>
        <v>P2684</v>
      </c>
      <c r="C396" s="1" t="str">
        <f aca="false">'Raw Data'!C395</f>
        <v>bellraymond</v>
      </c>
      <c r="D396" s="1" t="str">
        <f aca="false">'Raw Data'!D395</f>
        <v>Zombie Rush</v>
      </c>
      <c r="E396" s="1" t="str">
        <f aca="false">'Raw Data'!E395</f>
        <v>Mobile</v>
      </c>
      <c r="F396" s="1" t="str">
        <f aca="false">'Raw Data'!F395</f>
        <v>Central</v>
      </c>
      <c r="G396" s="23" t="n">
        <f aca="false">'Raw Data'!G395</f>
        <v>45808</v>
      </c>
      <c r="H396" s="1" t="n">
        <f aca="false">'Raw Data'!H395</f>
        <v>143</v>
      </c>
      <c r="I396" s="24" t="n">
        <f aca="false">'Raw Data'!I395</f>
        <v>0</v>
      </c>
      <c r="J396" s="1" t="str">
        <f aca="false">IF('Raw Data'!J395="None","None",IF(ISBLANK('Raw Data'!J395),"None",'Raw Data'!J395))</f>
        <v>None</v>
      </c>
      <c r="K396" s="1" t="str">
        <f aca="false">'Raw Data'!K395</f>
        <v>Incomplete</v>
      </c>
      <c r="L396" s="1" t="str">
        <f aca="false">'Raw Data'!L395</f>
        <v>Free</v>
      </c>
      <c r="M396" s="1" t="n">
        <f aca="false">'Raw Data'!M395</f>
        <v>17</v>
      </c>
      <c r="N396" s="1" t="str">
        <f aca="false">'Raw Data'!N395</f>
        <v>No</v>
      </c>
    </row>
    <row r="397" customFormat="false" ht="15" hidden="false" customHeight="true" outlineLevel="0" collapsed="false">
      <c r="A397" s="1" t="str">
        <f aca="false">'Raw Data'!A396</f>
        <v>S00393</v>
      </c>
      <c r="B397" s="1" t="str">
        <f aca="false">'Raw Data'!B396</f>
        <v>P1494</v>
      </c>
      <c r="C397" s="1" t="str">
        <f aca="false">'Raw Data'!C396</f>
        <v>steven30</v>
      </c>
      <c r="D397" s="1" t="str">
        <f aca="false">'Raw Data'!D396</f>
        <v>Empire Wars</v>
      </c>
      <c r="E397" s="1" t="str">
        <f aca="false">'Raw Data'!E396</f>
        <v>Mobile</v>
      </c>
      <c r="F397" s="1" t="str">
        <f aca="false">'Raw Data'!F396</f>
        <v>West</v>
      </c>
      <c r="G397" s="23" t="n">
        <f aca="false">'Raw Data'!G396</f>
        <v>45703</v>
      </c>
      <c r="H397" s="1" t="n">
        <f aca="false">'Raw Data'!H396</f>
        <v>166</v>
      </c>
      <c r="I397" s="24" t="n">
        <f aca="false">'Raw Data'!I396</f>
        <v>0</v>
      </c>
      <c r="J397" s="1" t="str">
        <f aca="false">IF('Raw Data'!J396="None","None",IF(ISBLANK('Raw Data'!J396),"None",'Raw Data'!J396))</f>
        <v>None</v>
      </c>
      <c r="K397" s="1" t="str">
        <f aca="false">'Raw Data'!K396</f>
        <v>Completed</v>
      </c>
      <c r="L397" s="1" t="str">
        <f aca="false">'Raw Data'!L396</f>
        <v>Free</v>
      </c>
      <c r="M397" s="1" t="n">
        <f aca="false">'Raw Data'!M396</f>
        <v>39</v>
      </c>
      <c r="N397" s="1" t="str">
        <f aca="false">'Raw Data'!N396</f>
        <v>Yes</v>
      </c>
    </row>
    <row r="398" customFormat="false" ht="15" hidden="false" customHeight="true" outlineLevel="0" collapsed="false">
      <c r="A398" s="1" t="str">
        <f aca="false">'Raw Data'!A397</f>
        <v>S00394</v>
      </c>
      <c r="B398" s="1" t="str">
        <f aca="false">'Raw Data'!B397</f>
        <v>P6548</v>
      </c>
      <c r="C398" s="1" t="str">
        <f aca="false">'Raw Data'!C397</f>
        <v>hillchristopher</v>
      </c>
      <c r="D398" s="1" t="str">
        <f aca="false">'Raw Data'!D397</f>
        <v>Zombie Rush</v>
      </c>
      <c r="E398" s="1" t="str">
        <f aca="false">'Raw Data'!E397</f>
        <v>PC</v>
      </c>
      <c r="F398" s="1" t="str">
        <f aca="false">'Raw Data'!F397</f>
        <v>North-East</v>
      </c>
      <c r="G398" s="23" t="n">
        <f aca="false">'Raw Data'!G397</f>
        <v>45806</v>
      </c>
      <c r="H398" s="1" t="n">
        <f aca="false">'Raw Data'!H397</f>
        <v>34</v>
      </c>
      <c r="I398" s="24" t="n">
        <f aca="false">'Raw Data'!I397</f>
        <v>0</v>
      </c>
      <c r="J398" s="1" t="str">
        <f aca="false">IF('Raw Data'!J397="None","None",IF(ISBLANK('Raw Data'!J397),"None",'Raw Data'!J397))</f>
        <v>None</v>
      </c>
      <c r="K398" s="1" t="str">
        <f aca="false">'Raw Data'!K397</f>
        <v>Completed</v>
      </c>
      <c r="L398" s="1" t="str">
        <f aca="false">'Raw Data'!L397</f>
        <v>Free</v>
      </c>
      <c r="M398" s="1" t="n">
        <f aca="false">'Raw Data'!M397</f>
        <v>45</v>
      </c>
      <c r="N398" s="1" t="str">
        <f aca="false">'Raw Data'!N397</f>
        <v>No</v>
      </c>
    </row>
    <row r="399" customFormat="false" ht="15" hidden="false" customHeight="true" outlineLevel="0" collapsed="false">
      <c r="A399" s="1" t="str">
        <f aca="false">'Raw Data'!A398</f>
        <v>S00395</v>
      </c>
      <c r="B399" s="1" t="str">
        <f aca="false">'Raw Data'!B398</f>
        <v>P8926</v>
      </c>
      <c r="C399" s="1" t="str">
        <f aca="false">'Raw Data'!C398</f>
        <v>ftyler</v>
      </c>
      <c r="D399" s="1" t="str">
        <f aca="false">'Raw Data'!D398</f>
        <v>Empire Wars</v>
      </c>
      <c r="E399" s="1" t="str">
        <f aca="false">'Raw Data'!E398</f>
        <v>Console</v>
      </c>
      <c r="F399" s="1" t="str">
        <f aca="false">'Raw Data'!F398</f>
        <v>West</v>
      </c>
      <c r="G399" s="23" t="n">
        <f aca="false">'Raw Data'!G398</f>
        <v>45685</v>
      </c>
      <c r="H399" s="1" t="n">
        <f aca="false">'Raw Data'!H398</f>
        <v>57</v>
      </c>
      <c r="I399" s="24" t="n">
        <f aca="false">'Raw Data'!I398</f>
        <v>0</v>
      </c>
      <c r="J399" s="1" t="str">
        <f aca="false">IF('Raw Data'!J398="None","None",IF(ISBLANK('Raw Data'!J398),"None",'Raw Data'!J398))</f>
        <v>None</v>
      </c>
      <c r="K399" s="1" t="str">
        <f aca="false">'Raw Data'!K398</f>
        <v>Completed</v>
      </c>
      <c r="L399" s="1" t="str">
        <f aca="false">'Raw Data'!L398</f>
        <v>Free</v>
      </c>
      <c r="M399" s="1" t="n">
        <f aca="false">'Raw Data'!M398</f>
        <v>1</v>
      </c>
      <c r="N399" s="1" t="str">
        <f aca="false">'Raw Data'!N398</f>
        <v>No</v>
      </c>
    </row>
    <row r="400" customFormat="false" ht="15" hidden="false" customHeight="true" outlineLevel="0" collapsed="false">
      <c r="A400" s="1" t="str">
        <f aca="false">'Raw Data'!A399</f>
        <v>S00396</v>
      </c>
      <c r="B400" s="1" t="str">
        <f aca="false">'Raw Data'!B399</f>
        <v>P2202</v>
      </c>
      <c r="C400" s="1" t="str">
        <f aca="false">'Raw Data'!C399</f>
        <v>soliskyle</v>
      </c>
      <c r="D400" s="1" t="str">
        <f aca="false">'Raw Data'!D399</f>
        <v>SpeedX</v>
      </c>
      <c r="E400" s="1" t="str">
        <f aca="false">'Raw Data'!E399</f>
        <v>Mobile</v>
      </c>
      <c r="F400" s="1" t="str">
        <f aca="false">'Raw Data'!F399</f>
        <v>East</v>
      </c>
      <c r="G400" s="23" t="n">
        <f aca="false">'Raw Data'!G399</f>
        <v>45739</v>
      </c>
      <c r="H400" s="1" t="n">
        <f aca="false">'Raw Data'!H399</f>
        <v>88</v>
      </c>
      <c r="I400" s="24" t="n">
        <f aca="false">'Raw Data'!I399</f>
        <v>0</v>
      </c>
      <c r="J400" s="1" t="str">
        <f aca="false">IF('Raw Data'!J399="None","None",IF(ISBLANK('Raw Data'!J399),"None",'Raw Data'!J399))</f>
        <v>None</v>
      </c>
      <c r="K400" s="1" t="str">
        <f aca="false">'Raw Data'!K399</f>
        <v>Completed</v>
      </c>
      <c r="L400" s="1" t="str">
        <f aca="false">'Raw Data'!L399</f>
        <v>Free</v>
      </c>
      <c r="M400" s="1" t="n">
        <f aca="false">'Raw Data'!M399</f>
        <v>2</v>
      </c>
      <c r="N400" s="1" t="str">
        <f aca="false">'Raw Data'!N399</f>
        <v>No</v>
      </c>
    </row>
    <row r="401" customFormat="false" ht="15" hidden="false" customHeight="true" outlineLevel="0" collapsed="false">
      <c r="A401" s="1" t="str">
        <f aca="false">'Raw Data'!A400</f>
        <v>S00397</v>
      </c>
      <c r="B401" s="1" t="str">
        <f aca="false">'Raw Data'!B400</f>
        <v>P9321</v>
      </c>
      <c r="C401" s="1" t="str">
        <f aca="false">'Raw Data'!C400</f>
        <v>angelicawillis</v>
      </c>
      <c r="D401" s="1" t="str">
        <f aca="false">'Raw Data'!D400</f>
        <v>BattleZone</v>
      </c>
      <c r="E401" s="1" t="str">
        <f aca="false">'Raw Data'!E400</f>
        <v>Mobile</v>
      </c>
      <c r="F401" s="1" t="str">
        <f aca="false">'Raw Data'!F400</f>
        <v>North</v>
      </c>
      <c r="G401" s="23" t="n">
        <f aca="false">'Raw Data'!G400</f>
        <v>45784</v>
      </c>
      <c r="H401" s="1" t="n">
        <f aca="false">'Raw Data'!H400</f>
        <v>75</v>
      </c>
      <c r="I401" s="24" t="n">
        <f aca="false">'Raw Data'!I400</f>
        <v>0</v>
      </c>
      <c r="J401" s="1" t="str">
        <f aca="false">IF('Raw Data'!J400="None","None",IF(ISBLANK('Raw Data'!J400),"None",'Raw Data'!J400))</f>
        <v>None</v>
      </c>
      <c r="K401" s="1" t="str">
        <f aca="false">'Raw Data'!K400</f>
        <v>Completed</v>
      </c>
      <c r="L401" s="1" t="str">
        <f aca="false">'Raw Data'!L400</f>
        <v>Free</v>
      </c>
      <c r="M401" s="1" t="n">
        <f aca="false">'Raw Data'!M400</f>
        <v>13</v>
      </c>
      <c r="N401" s="1" t="str">
        <f aca="false">'Raw Data'!N400</f>
        <v>No</v>
      </c>
    </row>
    <row r="402" customFormat="false" ht="15" hidden="false" customHeight="true" outlineLevel="0" collapsed="false">
      <c r="A402" s="1" t="str">
        <f aca="false">'Raw Data'!A401</f>
        <v>S00398</v>
      </c>
      <c r="B402" s="1" t="str">
        <f aca="false">'Raw Data'!B401</f>
        <v>P6922</v>
      </c>
      <c r="C402" s="1" t="str">
        <f aca="false">'Raw Data'!C401</f>
        <v>aprince</v>
      </c>
      <c r="D402" s="1" t="str">
        <f aca="false">'Raw Data'!D401</f>
        <v>SpeedX</v>
      </c>
      <c r="E402" s="1" t="str">
        <f aca="false">'Raw Data'!E401</f>
        <v>PC</v>
      </c>
      <c r="F402" s="1" t="str">
        <f aca="false">'Raw Data'!F401</f>
        <v>East</v>
      </c>
      <c r="G402" s="23" t="n">
        <f aca="false">'Raw Data'!G401</f>
        <v>45703</v>
      </c>
      <c r="H402" s="1" t="n">
        <f aca="false">'Raw Data'!H401</f>
        <v>129</v>
      </c>
      <c r="I402" s="24" t="n">
        <f aca="false">'Raw Data'!I401</f>
        <v>0</v>
      </c>
      <c r="J402" s="1" t="str">
        <f aca="false">IF('Raw Data'!J401="None","None",IF(ISBLANK('Raw Data'!J401),"None",'Raw Data'!J401))</f>
        <v>None</v>
      </c>
      <c r="K402" s="1" t="str">
        <f aca="false">'Raw Data'!K401</f>
        <v>Incomplete</v>
      </c>
      <c r="L402" s="1" t="str">
        <f aca="false">'Raw Data'!L401</f>
        <v>Free</v>
      </c>
      <c r="M402" s="1" t="n">
        <f aca="false">'Raw Data'!M401</f>
        <v>37</v>
      </c>
      <c r="N402" s="1" t="str">
        <f aca="false">'Raw Data'!N401</f>
        <v>No</v>
      </c>
    </row>
    <row r="403" customFormat="false" ht="15" hidden="false" customHeight="true" outlineLevel="0" collapsed="false">
      <c r="A403" s="1" t="str">
        <f aca="false">'Raw Data'!A402</f>
        <v>S00399</v>
      </c>
      <c r="B403" s="1" t="str">
        <f aca="false">'Raw Data'!B402</f>
        <v>P6788</v>
      </c>
      <c r="C403" s="1" t="str">
        <f aca="false">'Raw Data'!C402</f>
        <v>dylanblack</v>
      </c>
      <c r="D403" s="1" t="str">
        <f aca="false">'Raw Data'!D402</f>
        <v>Zombie Rush</v>
      </c>
      <c r="E403" s="1" t="str">
        <f aca="false">'Raw Data'!E402</f>
        <v>Console</v>
      </c>
      <c r="F403" s="1" t="str">
        <f aca="false">'Raw Data'!F402</f>
        <v>East</v>
      </c>
      <c r="G403" s="23" t="n">
        <f aca="false">'Raw Data'!G402</f>
        <v>45753</v>
      </c>
      <c r="H403" s="1" t="n">
        <f aca="false">'Raw Data'!H402</f>
        <v>145</v>
      </c>
      <c r="I403" s="24" t="n">
        <f aca="false">'Raw Data'!I402</f>
        <v>0</v>
      </c>
      <c r="J403" s="1" t="str">
        <f aca="false">IF('Raw Data'!J402="None","None",IF(ISBLANK('Raw Data'!J402),"None",'Raw Data'!J402))</f>
        <v>None</v>
      </c>
      <c r="K403" s="1" t="str">
        <f aca="false">'Raw Data'!K402</f>
        <v>Completed</v>
      </c>
      <c r="L403" s="1" t="str">
        <f aca="false">'Raw Data'!L402</f>
        <v>Free</v>
      </c>
      <c r="M403" s="1" t="n">
        <f aca="false">'Raw Data'!M402</f>
        <v>43</v>
      </c>
      <c r="N403" s="1" t="str">
        <f aca="false">'Raw Data'!N402</f>
        <v>No</v>
      </c>
    </row>
    <row r="404" customFormat="false" ht="15" hidden="false" customHeight="true" outlineLevel="0" collapsed="false">
      <c r="A404" s="1" t="str">
        <f aca="false">'Raw Data'!A403</f>
        <v>S00400</v>
      </c>
      <c r="B404" s="1" t="str">
        <f aca="false">'Raw Data'!B403</f>
        <v>P1936</v>
      </c>
      <c r="C404" s="1" t="str">
        <f aca="false">'Raw Data'!C403</f>
        <v>hoodchristopher</v>
      </c>
      <c r="D404" s="1" t="str">
        <f aca="false">'Raw Data'!D403</f>
        <v>Zombie Rush</v>
      </c>
      <c r="E404" s="1" t="str">
        <f aca="false">'Raw Data'!E403</f>
        <v>Console</v>
      </c>
      <c r="F404" s="1" t="str">
        <f aca="false">'Raw Data'!F403</f>
        <v>North</v>
      </c>
      <c r="G404" s="23" t="n">
        <f aca="false">'Raw Data'!G403</f>
        <v>45679</v>
      </c>
      <c r="H404" s="1" t="n">
        <f aca="false">'Raw Data'!H403</f>
        <v>23</v>
      </c>
      <c r="I404" s="24" t="n">
        <f aca="false">'Raw Data'!I403</f>
        <v>0</v>
      </c>
      <c r="J404" s="1" t="str">
        <f aca="false">IF('Raw Data'!J403="None","None",IF(ISBLANK('Raw Data'!J403),"None",'Raw Data'!J403))</f>
        <v>None</v>
      </c>
      <c r="K404" s="1" t="str">
        <f aca="false">'Raw Data'!K403</f>
        <v>Completed</v>
      </c>
      <c r="L404" s="1" t="str">
        <f aca="false">'Raw Data'!L403</f>
        <v>Paid</v>
      </c>
      <c r="M404" s="1" t="n">
        <f aca="false">'Raw Data'!M403</f>
        <v>26</v>
      </c>
      <c r="N404" s="1" t="str">
        <f aca="false">'Raw Data'!N403</f>
        <v>No</v>
      </c>
    </row>
    <row r="405" customFormat="false" ht="15" hidden="false" customHeight="true" outlineLevel="0" collapsed="false">
      <c r="A405" s="1" t="str">
        <f aca="false">'Raw Data'!A404</f>
        <v>S00401</v>
      </c>
      <c r="B405" s="1" t="str">
        <f aca="false">'Raw Data'!B404</f>
        <v>P3613</v>
      </c>
      <c r="C405" s="1" t="str">
        <f aca="false">'Raw Data'!C404</f>
        <v>sandraclark</v>
      </c>
      <c r="D405" s="1" t="str">
        <f aca="false">'Raw Data'!D404</f>
        <v>SpeedX</v>
      </c>
      <c r="E405" s="1" t="str">
        <f aca="false">'Raw Data'!E404</f>
        <v>Mobile</v>
      </c>
      <c r="F405" s="1" t="str">
        <f aca="false">'Raw Data'!F404</f>
        <v>North</v>
      </c>
      <c r="G405" s="23" t="n">
        <f aca="false">'Raw Data'!G404</f>
        <v>45803</v>
      </c>
      <c r="H405" s="1" t="n">
        <f aca="false">'Raw Data'!H404</f>
        <v>105</v>
      </c>
      <c r="I405" s="24" t="n">
        <f aca="false">'Raw Data'!I404</f>
        <v>0</v>
      </c>
      <c r="J405" s="1" t="str">
        <f aca="false">IF('Raw Data'!J404="None","None",IF(ISBLANK('Raw Data'!J404),"None",'Raw Data'!J404))</f>
        <v>None</v>
      </c>
      <c r="K405" s="1" t="str">
        <f aca="false">'Raw Data'!K404</f>
        <v>Completed</v>
      </c>
      <c r="L405" s="1" t="str">
        <f aca="false">'Raw Data'!L404</f>
        <v>Free</v>
      </c>
      <c r="M405" s="1" t="n">
        <f aca="false">'Raw Data'!M404</f>
        <v>24</v>
      </c>
      <c r="N405" s="1" t="str">
        <f aca="false">'Raw Data'!N404</f>
        <v>No</v>
      </c>
    </row>
    <row r="406" customFormat="false" ht="15" hidden="false" customHeight="true" outlineLevel="0" collapsed="false">
      <c r="A406" s="1" t="str">
        <f aca="false">'Raw Data'!A405</f>
        <v>S00402</v>
      </c>
      <c r="B406" s="1" t="str">
        <f aca="false">'Raw Data'!B405</f>
        <v>P1659</v>
      </c>
      <c r="C406" s="1" t="str">
        <f aca="false">'Raw Data'!C405</f>
        <v>ffitzpatrick</v>
      </c>
      <c r="D406" s="1" t="str">
        <f aca="false">'Raw Data'!D405</f>
        <v>Empire Wars</v>
      </c>
      <c r="E406" s="1" t="str">
        <f aca="false">'Raw Data'!E405</f>
        <v>Console</v>
      </c>
      <c r="F406" s="1" t="str">
        <f aca="false">'Raw Data'!F405</f>
        <v>North</v>
      </c>
      <c r="G406" s="23" t="n">
        <f aca="false">'Raw Data'!G405</f>
        <v>45804</v>
      </c>
      <c r="H406" s="1" t="n">
        <f aca="false">'Raw Data'!H405</f>
        <v>22</v>
      </c>
      <c r="I406" s="24" t="n">
        <f aca="false">'Raw Data'!I405</f>
        <v>42.28</v>
      </c>
      <c r="J406" s="1" t="str">
        <f aca="false">IF('Raw Data'!J405="None","None",IF(ISBLANK('Raw Data'!J405),"None",'Raw Data'!J405))</f>
        <v>Subscriptions</v>
      </c>
      <c r="K406" s="1" t="str">
        <f aca="false">'Raw Data'!K405</f>
        <v>Incomplete</v>
      </c>
      <c r="L406" s="1" t="str">
        <f aca="false">'Raw Data'!L405</f>
        <v>Paid</v>
      </c>
      <c r="M406" s="1" t="n">
        <f aca="false">'Raw Data'!M405</f>
        <v>10</v>
      </c>
      <c r="N406" s="1" t="str">
        <f aca="false">'Raw Data'!N405</f>
        <v>Yes</v>
      </c>
    </row>
    <row r="407" customFormat="false" ht="15" hidden="false" customHeight="true" outlineLevel="0" collapsed="false">
      <c r="A407" s="1" t="str">
        <f aca="false">'Raw Data'!A406</f>
        <v>S00403</v>
      </c>
      <c r="B407" s="1" t="str">
        <f aca="false">'Raw Data'!B406</f>
        <v>P8982</v>
      </c>
      <c r="C407" s="1" t="str">
        <f aca="false">'Raw Data'!C406</f>
        <v>dominiquejohnson</v>
      </c>
      <c r="D407" s="1" t="str">
        <f aca="false">'Raw Data'!D406</f>
        <v>Empire Wars</v>
      </c>
      <c r="E407" s="1" t="str">
        <f aca="false">'Raw Data'!E406</f>
        <v>Mobile</v>
      </c>
      <c r="F407" s="1" t="str">
        <f aca="false">'Raw Data'!F406</f>
        <v>North-East</v>
      </c>
      <c r="G407" s="23" t="n">
        <f aca="false">'Raw Data'!G406</f>
        <v>45816</v>
      </c>
      <c r="H407" s="1" t="n">
        <f aca="false">'Raw Data'!H406</f>
        <v>41</v>
      </c>
      <c r="I407" s="24" t="n">
        <f aca="false">'Raw Data'!I406</f>
        <v>24.14</v>
      </c>
      <c r="J407" s="1" t="str">
        <f aca="false">IF('Raw Data'!J406="None","None",IF(ISBLANK('Raw Data'!J406),"None",'Raw Data'!J406))</f>
        <v>Battle Pass</v>
      </c>
      <c r="K407" s="1" t="str">
        <f aca="false">'Raw Data'!K406</f>
        <v>Completed</v>
      </c>
      <c r="L407" s="1" t="str">
        <f aca="false">'Raw Data'!L406</f>
        <v>Paid</v>
      </c>
      <c r="M407" s="1" t="n">
        <f aca="false">'Raw Data'!M406</f>
        <v>28</v>
      </c>
      <c r="N407" s="1" t="str">
        <f aca="false">'Raw Data'!N406</f>
        <v>No</v>
      </c>
    </row>
    <row r="408" customFormat="false" ht="15" hidden="false" customHeight="true" outlineLevel="0" collapsed="false">
      <c r="A408" s="1" t="str">
        <f aca="false">'Raw Data'!A407</f>
        <v>S00404</v>
      </c>
      <c r="B408" s="1" t="str">
        <f aca="false">'Raw Data'!B407</f>
        <v>P4516</v>
      </c>
      <c r="C408" s="1" t="str">
        <f aca="false">'Raw Data'!C407</f>
        <v>sellersgregory</v>
      </c>
      <c r="D408" s="1" t="str">
        <f aca="false">'Raw Data'!D407</f>
        <v>SpeedX</v>
      </c>
      <c r="E408" s="1" t="str">
        <f aca="false">'Raw Data'!E407</f>
        <v>Console</v>
      </c>
      <c r="F408" s="1" t="str">
        <f aca="false">'Raw Data'!F407</f>
        <v>North-East</v>
      </c>
      <c r="G408" s="23" t="n">
        <f aca="false">'Raw Data'!G407</f>
        <v>45798</v>
      </c>
      <c r="H408" s="1" t="n">
        <f aca="false">'Raw Data'!H407</f>
        <v>9</v>
      </c>
      <c r="I408" s="24" t="n">
        <f aca="false">'Raw Data'!I407</f>
        <v>0</v>
      </c>
      <c r="J408" s="1" t="str">
        <f aca="false">IF('Raw Data'!J407="None","None",IF(ISBLANK('Raw Data'!J407),"None",'Raw Data'!J407))</f>
        <v>None</v>
      </c>
      <c r="K408" s="1" t="str">
        <f aca="false">'Raw Data'!K407</f>
        <v>Exited Early</v>
      </c>
      <c r="L408" s="1" t="str">
        <f aca="false">'Raw Data'!L407</f>
        <v>Free</v>
      </c>
      <c r="M408" s="1" t="n">
        <f aca="false">'Raw Data'!M407</f>
        <v>40</v>
      </c>
      <c r="N408" s="1" t="str">
        <f aca="false">'Raw Data'!N407</f>
        <v>No</v>
      </c>
    </row>
    <row r="409" customFormat="false" ht="15" hidden="false" customHeight="true" outlineLevel="0" collapsed="false">
      <c r="A409" s="1" t="str">
        <f aca="false">'Raw Data'!A408</f>
        <v>S00405</v>
      </c>
      <c r="B409" s="1" t="str">
        <f aca="false">'Raw Data'!B408</f>
        <v>P6700</v>
      </c>
      <c r="C409" s="1" t="str">
        <f aca="false">'Raw Data'!C408</f>
        <v>armstrongmary</v>
      </c>
      <c r="D409" s="1" t="str">
        <f aca="false">'Raw Data'!D408</f>
        <v>Clash of Realms</v>
      </c>
      <c r="E409" s="1" t="str">
        <f aca="false">'Raw Data'!E408</f>
        <v>Console</v>
      </c>
      <c r="F409" s="1" t="str">
        <f aca="false">'Raw Data'!F408</f>
        <v>North</v>
      </c>
      <c r="G409" s="23" t="n">
        <f aca="false">'Raw Data'!G408</f>
        <v>45700</v>
      </c>
      <c r="H409" s="1" t="n">
        <f aca="false">'Raw Data'!H408</f>
        <v>111</v>
      </c>
      <c r="I409" s="24" t="n">
        <f aca="false">'Raw Data'!I408</f>
        <v>0</v>
      </c>
      <c r="J409" s="1" t="str">
        <f aca="false">IF('Raw Data'!J408="None","None",IF(ISBLANK('Raw Data'!J408),"None",'Raw Data'!J408))</f>
        <v>None</v>
      </c>
      <c r="K409" s="1" t="str">
        <f aca="false">'Raw Data'!K408</f>
        <v>Completed</v>
      </c>
      <c r="L409" s="1" t="str">
        <f aca="false">'Raw Data'!L408</f>
        <v>Free</v>
      </c>
      <c r="M409" s="1" t="n">
        <f aca="false">'Raw Data'!M408</f>
        <v>26</v>
      </c>
      <c r="N409" s="1" t="str">
        <f aca="false">'Raw Data'!N408</f>
        <v>No</v>
      </c>
    </row>
    <row r="410" customFormat="false" ht="15" hidden="false" customHeight="true" outlineLevel="0" collapsed="false">
      <c r="A410" s="1" t="str">
        <f aca="false">'Raw Data'!A409</f>
        <v>S00406</v>
      </c>
      <c r="B410" s="1" t="str">
        <f aca="false">'Raw Data'!B409</f>
        <v>P3545</v>
      </c>
      <c r="C410" s="1" t="str">
        <f aca="false">'Raw Data'!C409</f>
        <v>barnettdonna</v>
      </c>
      <c r="D410" s="1" t="str">
        <f aca="false">'Raw Data'!D409</f>
        <v>Empire Wars</v>
      </c>
      <c r="E410" s="1" t="str">
        <f aca="false">'Raw Data'!E409</f>
        <v>PC</v>
      </c>
      <c r="F410" s="1" t="str">
        <f aca="false">'Raw Data'!F409</f>
        <v>Central</v>
      </c>
      <c r="G410" s="23" t="n">
        <f aca="false">'Raw Data'!G409</f>
        <v>45801</v>
      </c>
      <c r="H410" s="1" t="n">
        <f aca="false">'Raw Data'!H409</f>
        <v>25</v>
      </c>
      <c r="I410" s="24" t="n">
        <f aca="false">'Raw Data'!I409</f>
        <v>0</v>
      </c>
      <c r="J410" s="1" t="str">
        <f aca="false">IF('Raw Data'!J409="None","None",IF(ISBLANK('Raw Data'!J409),"None",'Raw Data'!J409))</f>
        <v>None</v>
      </c>
      <c r="K410" s="1" t="str">
        <f aca="false">'Raw Data'!K409</f>
        <v>Completed</v>
      </c>
      <c r="L410" s="1" t="str">
        <f aca="false">'Raw Data'!L409</f>
        <v>Free</v>
      </c>
      <c r="M410" s="1" t="n">
        <f aca="false">'Raw Data'!M409</f>
        <v>12</v>
      </c>
      <c r="N410" s="1" t="str">
        <f aca="false">'Raw Data'!N409</f>
        <v>No</v>
      </c>
    </row>
    <row r="411" customFormat="false" ht="15" hidden="false" customHeight="true" outlineLevel="0" collapsed="false">
      <c r="A411" s="1" t="str">
        <f aca="false">'Raw Data'!A410</f>
        <v>S00407</v>
      </c>
      <c r="B411" s="1" t="str">
        <f aca="false">'Raw Data'!B410</f>
        <v>P8156</v>
      </c>
      <c r="C411" s="1" t="str">
        <f aca="false">'Raw Data'!C410</f>
        <v>melissaphillips</v>
      </c>
      <c r="D411" s="1" t="str">
        <f aca="false">'Raw Data'!D410</f>
        <v>BattleZone</v>
      </c>
      <c r="E411" s="1" t="str">
        <f aca="false">'Raw Data'!E410</f>
        <v>Mobile</v>
      </c>
      <c r="F411" s="1" t="str">
        <f aca="false">'Raw Data'!F410</f>
        <v>North-East</v>
      </c>
      <c r="G411" s="23" t="n">
        <f aca="false">'Raw Data'!G410</f>
        <v>45701</v>
      </c>
      <c r="H411" s="1" t="n">
        <f aca="false">'Raw Data'!H410</f>
        <v>111</v>
      </c>
      <c r="I411" s="24" t="n">
        <f aca="false">'Raw Data'!I410</f>
        <v>46.08</v>
      </c>
      <c r="J411" s="1" t="str">
        <f aca="false">IF('Raw Data'!J410="None","None",IF(ISBLANK('Raw Data'!J410),"None",'Raw Data'!J410))</f>
        <v>Boosters</v>
      </c>
      <c r="K411" s="1" t="str">
        <f aca="false">'Raw Data'!K410</f>
        <v>Crashed</v>
      </c>
      <c r="L411" s="1" t="str">
        <f aca="false">'Raw Data'!L410</f>
        <v>Paid</v>
      </c>
      <c r="M411" s="1" t="n">
        <f aca="false">'Raw Data'!M410</f>
        <v>15</v>
      </c>
      <c r="N411" s="1" t="str">
        <f aca="false">'Raw Data'!N410</f>
        <v>Yes</v>
      </c>
    </row>
    <row r="412" customFormat="false" ht="15" hidden="false" customHeight="true" outlineLevel="0" collapsed="false">
      <c r="A412" s="1" t="str">
        <f aca="false">'Raw Data'!A411</f>
        <v>S00408</v>
      </c>
      <c r="B412" s="1" t="str">
        <f aca="false">'Raw Data'!B411</f>
        <v>P9402</v>
      </c>
      <c r="C412" s="1" t="str">
        <f aca="false">'Raw Data'!C411</f>
        <v>hoffmandaniel</v>
      </c>
      <c r="D412" s="1" t="str">
        <f aca="false">'Raw Data'!D411</f>
        <v>SpeedX</v>
      </c>
      <c r="E412" s="1" t="str">
        <f aca="false">'Raw Data'!E411</f>
        <v>Console</v>
      </c>
      <c r="F412" s="1" t="str">
        <f aca="false">'Raw Data'!F411</f>
        <v>East</v>
      </c>
      <c r="G412" s="23" t="n">
        <f aca="false">'Raw Data'!G411</f>
        <v>45696</v>
      </c>
      <c r="H412" s="1" t="n">
        <f aca="false">'Raw Data'!H411</f>
        <v>144</v>
      </c>
      <c r="I412" s="24" t="n">
        <f aca="false">'Raw Data'!I411</f>
        <v>0</v>
      </c>
      <c r="J412" s="1" t="str">
        <f aca="false">IF('Raw Data'!J411="None","None",IF(ISBLANK('Raw Data'!J411),"None",'Raw Data'!J411))</f>
        <v>None</v>
      </c>
      <c r="K412" s="1" t="str">
        <f aca="false">'Raw Data'!K411</f>
        <v>Incomplete</v>
      </c>
      <c r="L412" s="1" t="str">
        <f aca="false">'Raw Data'!L411</f>
        <v>Free</v>
      </c>
      <c r="M412" s="1" t="n">
        <f aca="false">'Raw Data'!M411</f>
        <v>36</v>
      </c>
      <c r="N412" s="1" t="str">
        <f aca="false">'Raw Data'!N411</f>
        <v>No</v>
      </c>
    </row>
    <row r="413" customFormat="false" ht="15" hidden="false" customHeight="true" outlineLevel="0" collapsed="false">
      <c r="A413" s="1" t="str">
        <f aca="false">'Raw Data'!A412</f>
        <v>S00409</v>
      </c>
      <c r="B413" s="1" t="str">
        <f aca="false">'Raw Data'!B412</f>
        <v>P2227</v>
      </c>
      <c r="C413" s="1" t="str">
        <f aca="false">'Raw Data'!C412</f>
        <v>thomascorey</v>
      </c>
      <c r="D413" s="1" t="str">
        <f aca="false">'Raw Data'!D412</f>
        <v>SpeedX</v>
      </c>
      <c r="E413" s="1" t="str">
        <f aca="false">'Raw Data'!E412</f>
        <v>Mobile</v>
      </c>
      <c r="F413" s="1" t="str">
        <f aca="false">'Raw Data'!F412</f>
        <v>West</v>
      </c>
      <c r="G413" s="23" t="n">
        <f aca="false">'Raw Data'!G412</f>
        <v>45667</v>
      </c>
      <c r="H413" s="1" t="n">
        <f aca="false">'Raw Data'!H412</f>
        <v>22</v>
      </c>
      <c r="I413" s="24" t="n">
        <f aca="false">'Raw Data'!I412</f>
        <v>17.35</v>
      </c>
      <c r="J413" s="1" t="str">
        <f aca="false">IF('Raw Data'!J412="None","None",IF(ISBLANK('Raw Data'!J412),"None",'Raw Data'!J412))</f>
        <v>Battle Pass</v>
      </c>
      <c r="K413" s="1" t="str">
        <f aca="false">'Raw Data'!K412</f>
        <v>Crashed</v>
      </c>
      <c r="L413" s="1" t="str">
        <f aca="false">'Raw Data'!L412</f>
        <v>Paid</v>
      </c>
      <c r="M413" s="1" t="n">
        <f aca="false">'Raw Data'!M412</f>
        <v>49</v>
      </c>
      <c r="N413" s="1" t="str">
        <f aca="false">'Raw Data'!N412</f>
        <v>No</v>
      </c>
    </row>
    <row r="414" customFormat="false" ht="15" hidden="false" customHeight="true" outlineLevel="0" collapsed="false">
      <c r="A414" s="1" t="str">
        <f aca="false">'Raw Data'!A413</f>
        <v>S00410</v>
      </c>
      <c r="B414" s="1" t="str">
        <f aca="false">'Raw Data'!B413</f>
        <v>P2497</v>
      </c>
      <c r="C414" s="1" t="str">
        <f aca="false">'Raw Data'!C413</f>
        <v>thomas01</v>
      </c>
      <c r="D414" s="1" t="str">
        <f aca="false">'Raw Data'!D413</f>
        <v>Empire Wars</v>
      </c>
      <c r="E414" s="1" t="str">
        <f aca="false">'Raw Data'!E413</f>
        <v>Console</v>
      </c>
      <c r="F414" s="1" t="str">
        <f aca="false">'Raw Data'!F413</f>
        <v>North-East</v>
      </c>
      <c r="G414" s="23" t="n">
        <f aca="false">'Raw Data'!G413</f>
        <v>45701</v>
      </c>
      <c r="H414" s="1" t="n">
        <f aca="false">'Raw Data'!H413</f>
        <v>154</v>
      </c>
      <c r="I414" s="24" t="n">
        <f aca="false">'Raw Data'!I413</f>
        <v>0</v>
      </c>
      <c r="J414" s="1" t="str">
        <f aca="false">IF('Raw Data'!J413="None","None",IF(ISBLANK('Raw Data'!J413),"None",'Raw Data'!J413))</f>
        <v>None</v>
      </c>
      <c r="K414" s="1" t="str">
        <f aca="false">'Raw Data'!K413</f>
        <v>Completed</v>
      </c>
      <c r="L414" s="1" t="str">
        <f aca="false">'Raw Data'!L413</f>
        <v>Free</v>
      </c>
      <c r="M414" s="1" t="n">
        <f aca="false">'Raw Data'!M413</f>
        <v>27</v>
      </c>
      <c r="N414" s="1" t="str">
        <f aca="false">'Raw Data'!N413</f>
        <v>Yes</v>
      </c>
    </row>
    <row r="415" customFormat="false" ht="15" hidden="false" customHeight="true" outlineLevel="0" collapsed="false">
      <c r="A415" s="1" t="str">
        <f aca="false">'Raw Data'!A414</f>
        <v>S00411</v>
      </c>
      <c r="B415" s="1" t="str">
        <f aca="false">'Raw Data'!B414</f>
        <v>P3311</v>
      </c>
      <c r="C415" s="1" t="str">
        <f aca="false">'Raw Data'!C414</f>
        <v>riddleaaron</v>
      </c>
      <c r="D415" s="1" t="str">
        <f aca="false">'Raw Data'!D414</f>
        <v>Clash of Realms</v>
      </c>
      <c r="E415" s="1" t="str">
        <f aca="false">'Raw Data'!E414</f>
        <v>Console</v>
      </c>
      <c r="F415" s="1" t="str">
        <f aca="false">'Raw Data'!F414</f>
        <v>East</v>
      </c>
      <c r="G415" s="23" t="n">
        <f aca="false">'Raw Data'!G414</f>
        <v>45673</v>
      </c>
      <c r="H415" s="1" t="n">
        <f aca="false">'Raw Data'!H414</f>
        <v>166</v>
      </c>
      <c r="I415" s="24" t="n">
        <f aca="false">'Raw Data'!I414</f>
        <v>0</v>
      </c>
      <c r="J415" s="1" t="str">
        <f aca="false">IF('Raw Data'!J414="None","None",IF(ISBLANK('Raw Data'!J414),"None",'Raw Data'!J414))</f>
        <v>None</v>
      </c>
      <c r="K415" s="1" t="str">
        <f aca="false">'Raw Data'!K414</f>
        <v>Incomplete</v>
      </c>
      <c r="L415" s="1" t="str">
        <f aca="false">'Raw Data'!L414</f>
        <v>Free</v>
      </c>
      <c r="M415" s="1" t="n">
        <f aca="false">'Raw Data'!M414</f>
        <v>5</v>
      </c>
      <c r="N415" s="1" t="str">
        <f aca="false">'Raw Data'!N414</f>
        <v>Yes</v>
      </c>
    </row>
    <row r="416" customFormat="false" ht="15" hidden="false" customHeight="true" outlineLevel="0" collapsed="false">
      <c r="A416" s="1" t="str">
        <f aca="false">'Raw Data'!A415</f>
        <v>S00412</v>
      </c>
      <c r="B416" s="1" t="str">
        <f aca="false">'Raw Data'!B415</f>
        <v>P4171</v>
      </c>
      <c r="C416" s="1" t="str">
        <f aca="false">'Raw Data'!C415</f>
        <v>tdean</v>
      </c>
      <c r="D416" s="1" t="str">
        <f aca="false">'Raw Data'!D415</f>
        <v>SpeedX</v>
      </c>
      <c r="E416" s="1" t="str">
        <f aca="false">'Raw Data'!E415</f>
        <v>Console</v>
      </c>
      <c r="F416" s="1" t="str">
        <f aca="false">'Raw Data'!F415</f>
        <v>East</v>
      </c>
      <c r="G416" s="23" t="n">
        <f aca="false">'Raw Data'!G415</f>
        <v>45779</v>
      </c>
      <c r="H416" s="1" t="n">
        <f aca="false">'Raw Data'!H415</f>
        <v>16</v>
      </c>
      <c r="I416" s="24" t="n">
        <f aca="false">'Raw Data'!I415</f>
        <v>0</v>
      </c>
      <c r="J416" s="1" t="str">
        <f aca="false">IF('Raw Data'!J415="None","None",IF(ISBLANK('Raw Data'!J415),"None",'Raw Data'!J415))</f>
        <v>None</v>
      </c>
      <c r="K416" s="1" t="str">
        <f aca="false">'Raw Data'!K415</f>
        <v>Completed</v>
      </c>
      <c r="L416" s="1" t="str">
        <f aca="false">'Raw Data'!L415</f>
        <v>Paid</v>
      </c>
      <c r="M416" s="1" t="n">
        <f aca="false">'Raw Data'!M415</f>
        <v>16</v>
      </c>
      <c r="N416" s="1" t="str">
        <f aca="false">'Raw Data'!N415</f>
        <v>No</v>
      </c>
    </row>
    <row r="417" customFormat="false" ht="15" hidden="false" customHeight="true" outlineLevel="0" collapsed="false">
      <c r="A417" s="1" t="str">
        <f aca="false">'Raw Data'!A416</f>
        <v>S00413</v>
      </c>
      <c r="B417" s="1" t="str">
        <f aca="false">'Raw Data'!B416</f>
        <v>P5355</v>
      </c>
      <c r="C417" s="1" t="str">
        <f aca="false">'Raw Data'!C416</f>
        <v>bruce10</v>
      </c>
      <c r="D417" s="1" t="str">
        <f aca="false">'Raw Data'!D416</f>
        <v>Empire Wars</v>
      </c>
      <c r="E417" s="1" t="str">
        <f aca="false">'Raw Data'!E416</f>
        <v>Console</v>
      </c>
      <c r="F417" s="1" t="str">
        <f aca="false">'Raw Data'!F416</f>
        <v>North-East</v>
      </c>
      <c r="G417" s="23" t="n">
        <f aca="false">'Raw Data'!G416</f>
        <v>45677</v>
      </c>
      <c r="H417" s="1" t="n">
        <f aca="false">'Raw Data'!H416</f>
        <v>144</v>
      </c>
      <c r="I417" s="24" t="n">
        <f aca="false">'Raw Data'!I416</f>
        <v>0</v>
      </c>
      <c r="J417" s="1" t="str">
        <f aca="false">IF('Raw Data'!J416="None","None",IF(ISBLANK('Raw Data'!J416),"None",'Raw Data'!J416))</f>
        <v>None</v>
      </c>
      <c r="K417" s="1" t="str">
        <f aca="false">'Raw Data'!K416</f>
        <v>Completed</v>
      </c>
      <c r="L417" s="1" t="str">
        <f aca="false">'Raw Data'!L416</f>
        <v>Free</v>
      </c>
      <c r="M417" s="1" t="n">
        <f aca="false">'Raw Data'!M416</f>
        <v>3</v>
      </c>
      <c r="N417" s="1" t="str">
        <f aca="false">'Raw Data'!N416</f>
        <v>No</v>
      </c>
    </row>
    <row r="418" customFormat="false" ht="15" hidden="false" customHeight="true" outlineLevel="0" collapsed="false">
      <c r="A418" s="1" t="str">
        <f aca="false">'Raw Data'!A417</f>
        <v>S00414</v>
      </c>
      <c r="B418" s="1" t="str">
        <f aca="false">'Raw Data'!B417</f>
        <v>P4285</v>
      </c>
      <c r="C418" s="1" t="str">
        <f aca="false">'Raw Data'!C417</f>
        <v>annettejackson</v>
      </c>
      <c r="D418" s="1" t="str">
        <f aca="false">'Raw Data'!D417</f>
        <v>Zombie Rush</v>
      </c>
      <c r="E418" s="1" t="str">
        <f aca="false">'Raw Data'!E417</f>
        <v>Mobile</v>
      </c>
      <c r="F418" s="1" t="str">
        <f aca="false">'Raw Data'!F417</f>
        <v>Central</v>
      </c>
      <c r="G418" s="23" t="n">
        <f aca="false">'Raw Data'!G417</f>
        <v>45796</v>
      </c>
      <c r="H418" s="1" t="n">
        <f aca="false">'Raw Data'!H417</f>
        <v>58</v>
      </c>
      <c r="I418" s="24" t="n">
        <f aca="false">'Raw Data'!I417</f>
        <v>0</v>
      </c>
      <c r="J418" s="1" t="str">
        <f aca="false">IF('Raw Data'!J417="None","None",IF(ISBLANK('Raw Data'!J417),"None",'Raw Data'!J417))</f>
        <v>None</v>
      </c>
      <c r="K418" s="1" t="str">
        <f aca="false">'Raw Data'!K417</f>
        <v>Completed</v>
      </c>
      <c r="L418" s="1" t="str">
        <f aca="false">'Raw Data'!L417</f>
        <v>Free</v>
      </c>
      <c r="M418" s="1" t="n">
        <f aca="false">'Raw Data'!M417</f>
        <v>43</v>
      </c>
      <c r="N418" s="1" t="str">
        <f aca="false">'Raw Data'!N417</f>
        <v>No</v>
      </c>
    </row>
    <row r="419" customFormat="false" ht="15" hidden="false" customHeight="true" outlineLevel="0" collapsed="false">
      <c r="A419" s="1" t="str">
        <f aca="false">'Raw Data'!A418</f>
        <v>S00415</v>
      </c>
      <c r="B419" s="1" t="str">
        <f aca="false">'Raw Data'!B418</f>
        <v>P6369</v>
      </c>
      <c r="C419" s="1" t="str">
        <f aca="false">'Raw Data'!C418</f>
        <v>kingtroy</v>
      </c>
      <c r="D419" s="1" t="str">
        <f aca="false">'Raw Data'!D418</f>
        <v>Clash of Realms</v>
      </c>
      <c r="E419" s="1" t="str">
        <f aca="false">'Raw Data'!E418</f>
        <v>Console</v>
      </c>
      <c r="F419" s="1" t="str">
        <f aca="false">'Raw Data'!F418</f>
        <v>West</v>
      </c>
      <c r="G419" s="23" t="n">
        <f aca="false">'Raw Data'!G418</f>
        <v>45780</v>
      </c>
      <c r="H419" s="1" t="n">
        <f aca="false">'Raw Data'!H418</f>
        <v>95</v>
      </c>
      <c r="I419" s="24" t="n">
        <f aca="false">'Raw Data'!I418</f>
        <v>35.92</v>
      </c>
      <c r="J419" s="1" t="str">
        <f aca="false">IF('Raw Data'!J418="None","None",IF(ISBLANK('Raw Data'!J418),"None",'Raw Data'!J418))</f>
        <v>Skins</v>
      </c>
      <c r="K419" s="1" t="str">
        <f aca="false">'Raw Data'!K418</f>
        <v>Exited Early</v>
      </c>
      <c r="L419" s="1" t="str">
        <f aca="false">'Raw Data'!L418</f>
        <v>Paid</v>
      </c>
      <c r="M419" s="1" t="n">
        <f aca="false">'Raw Data'!M418</f>
        <v>6</v>
      </c>
      <c r="N419" s="1" t="str">
        <f aca="false">'Raw Data'!N418</f>
        <v>No</v>
      </c>
    </row>
    <row r="420" customFormat="false" ht="15" hidden="false" customHeight="true" outlineLevel="0" collapsed="false">
      <c r="A420" s="1" t="str">
        <f aca="false">'Raw Data'!A419</f>
        <v>S00416</v>
      </c>
      <c r="B420" s="1" t="str">
        <f aca="false">'Raw Data'!B419</f>
        <v>P1436</v>
      </c>
      <c r="C420" s="1" t="str">
        <f aca="false">'Raw Data'!C419</f>
        <v>coxanthony</v>
      </c>
      <c r="D420" s="1" t="str">
        <f aca="false">'Raw Data'!D419</f>
        <v>Empire Wars</v>
      </c>
      <c r="E420" s="1" t="str">
        <f aca="false">'Raw Data'!E419</f>
        <v>PC</v>
      </c>
      <c r="F420" s="1" t="str">
        <f aca="false">'Raw Data'!F419</f>
        <v>North-East</v>
      </c>
      <c r="G420" s="23" t="n">
        <f aca="false">'Raw Data'!G419</f>
        <v>45657</v>
      </c>
      <c r="H420" s="1" t="n">
        <f aca="false">'Raw Data'!H419</f>
        <v>86</v>
      </c>
      <c r="I420" s="24" t="n">
        <f aca="false">'Raw Data'!I419</f>
        <v>0</v>
      </c>
      <c r="J420" s="1" t="str">
        <f aca="false">IF('Raw Data'!J419="None","None",IF(ISBLANK('Raw Data'!J419),"None",'Raw Data'!J419))</f>
        <v>None</v>
      </c>
      <c r="K420" s="1" t="str">
        <f aca="false">'Raw Data'!K419</f>
        <v>Incomplete</v>
      </c>
      <c r="L420" s="1" t="str">
        <f aca="false">'Raw Data'!L419</f>
        <v>Paid</v>
      </c>
      <c r="M420" s="1" t="n">
        <f aca="false">'Raw Data'!M419</f>
        <v>17</v>
      </c>
      <c r="N420" s="1" t="str">
        <f aca="false">'Raw Data'!N419</f>
        <v>No</v>
      </c>
    </row>
    <row r="421" customFormat="false" ht="15" hidden="false" customHeight="true" outlineLevel="0" collapsed="false">
      <c r="A421" s="1" t="str">
        <f aca="false">'Raw Data'!A420</f>
        <v>S00417</v>
      </c>
      <c r="B421" s="1" t="str">
        <f aca="false">'Raw Data'!B420</f>
        <v>P5233</v>
      </c>
      <c r="C421" s="1" t="str">
        <f aca="false">'Raw Data'!C420</f>
        <v>paige96</v>
      </c>
      <c r="D421" s="1" t="str">
        <f aca="false">'Raw Data'!D420</f>
        <v>Empire Wars</v>
      </c>
      <c r="E421" s="1" t="str">
        <f aca="false">'Raw Data'!E420</f>
        <v>Console</v>
      </c>
      <c r="F421" s="1" t="str">
        <f aca="false">'Raw Data'!F420</f>
        <v>West</v>
      </c>
      <c r="G421" s="23" t="n">
        <f aca="false">'Raw Data'!G420</f>
        <v>45663</v>
      </c>
      <c r="H421" s="1" t="n">
        <f aca="false">'Raw Data'!H420</f>
        <v>12</v>
      </c>
      <c r="I421" s="24" t="n">
        <f aca="false">'Raw Data'!I420</f>
        <v>1.44</v>
      </c>
      <c r="J421" s="1" t="str">
        <f aca="false">IF('Raw Data'!J420="None","None",IF(ISBLANK('Raw Data'!J420),"None",'Raw Data'!J420))</f>
        <v>Boosters</v>
      </c>
      <c r="K421" s="1" t="str">
        <f aca="false">'Raw Data'!K420</f>
        <v>Completed</v>
      </c>
      <c r="L421" s="1" t="str">
        <f aca="false">'Raw Data'!L420</f>
        <v>Paid</v>
      </c>
      <c r="M421" s="1" t="n">
        <f aca="false">'Raw Data'!M420</f>
        <v>15</v>
      </c>
      <c r="N421" s="1" t="str">
        <f aca="false">'Raw Data'!N420</f>
        <v>No</v>
      </c>
    </row>
    <row r="422" customFormat="false" ht="15" hidden="false" customHeight="true" outlineLevel="0" collapsed="false">
      <c r="A422" s="1" t="str">
        <f aca="false">'Raw Data'!A421</f>
        <v>S00418</v>
      </c>
      <c r="B422" s="1" t="str">
        <f aca="false">'Raw Data'!B421</f>
        <v>P5382</v>
      </c>
      <c r="C422" s="1" t="str">
        <f aca="false">'Raw Data'!C421</f>
        <v>sabrina44</v>
      </c>
      <c r="D422" s="1" t="str">
        <f aca="false">'Raw Data'!D421</f>
        <v>Clash of Realms</v>
      </c>
      <c r="E422" s="1" t="str">
        <f aca="false">'Raw Data'!E421</f>
        <v>PC</v>
      </c>
      <c r="F422" s="1" t="str">
        <f aca="false">'Raw Data'!F421</f>
        <v>South</v>
      </c>
      <c r="G422" s="23" t="n">
        <f aca="false">'Raw Data'!G421</f>
        <v>45811</v>
      </c>
      <c r="H422" s="1" t="n">
        <f aca="false">'Raw Data'!H421</f>
        <v>8</v>
      </c>
      <c r="I422" s="24" t="n">
        <f aca="false">'Raw Data'!I421</f>
        <v>2.1</v>
      </c>
      <c r="J422" s="1" t="str">
        <f aca="false">IF('Raw Data'!J421="None","None",IF(ISBLANK('Raw Data'!J421),"None",'Raw Data'!J421))</f>
        <v>Boosters</v>
      </c>
      <c r="K422" s="1" t="str">
        <f aca="false">'Raw Data'!K421</f>
        <v>Exited Early</v>
      </c>
      <c r="L422" s="1" t="str">
        <f aca="false">'Raw Data'!L421</f>
        <v>Paid</v>
      </c>
      <c r="M422" s="1" t="n">
        <f aca="false">'Raw Data'!M421</f>
        <v>44</v>
      </c>
      <c r="N422" s="1" t="str">
        <f aca="false">'Raw Data'!N421</f>
        <v>No</v>
      </c>
    </row>
    <row r="423" customFormat="false" ht="15" hidden="false" customHeight="true" outlineLevel="0" collapsed="false">
      <c r="A423" s="1" t="str">
        <f aca="false">'Raw Data'!A422</f>
        <v>S00419</v>
      </c>
      <c r="B423" s="1" t="str">
        <f aca="false">'Raw Data'!B422</f>
        <v>P1065</v>
      </c>
      <c r="C423" s="1" t="str">
        <f aca="false">'Raw Data'!C422</f>
        <v>neilmorrison</v>
      </c>
      <c r="D423" s="1" t="str">
        <f aca="false">'Raw Data'!D422</f>
        <v>BattleZone</v>
      </c>
      <c r="E423" s="1" t="str">
        <f aca="false">'Raw Data'!E422</f>
        <v>Mobile</v>
      </c>
      <c r="F423" s="1" t="str">
        <f aca="false">'Raw Data'!F422</f>
        <v>Central</v>
      </c>
      <c r="G423" s="23" t="n">
        <f aca="false">'Raw Data'!G422</f>
        <v>45755</v>
      </c>
      <c r="H423" s="1" t="n">
        <f aca="false">'Raw Data'!H422</f>
        <v>180</v>
      </c>
      <c r="I423" s="24" t="n">
        <f aca="false">'Raw Data'!I422</f>
        <v>0</v>
      </c>
      <c r="J423" s="1" t="str">
        <f aca="false">IF('Raw Data'!J422="None","None",IF(ISBLANK('Raw Data'!J422),"None",'Raw Data'!J422))</f>
        <v>None</v>
      </c>
      <c r="K423" s="1" t="str">
        <f aca="false">'Raw Data'!K422</f>
        <v>Completed</v>
      </c>
      <c r="L423" s="1" t="str">
        <f aca="false">'Raw Data'!L422</f>
        <v>Free</v>
      </c>
      <c r="M423" s="1" t="n">
        <f aca="false">'Raw Data'!M422</f>
        <v>8</v>
      </c>
      <c r="N423" s="1" t="str">
        <f aca="false">'Raw Data'!N422</f>
        <v>Yes</v>
      </c>
    </row>
    <row r="424" customFormat="false" ht="15" hidden="false" customHeight="true" outlineLevel="0" collapsed="false">
      <c r="A424" s="1" t="str">
        <f aca="false">'Raw Data'!A423</f>
        <v>S00420</v>
      </c>
      <c r="B424" s="1" t="str">
        <f aca="false">'Raw Data'!B423</f>
        <v>P8628</v>
      </c>
      <c r="C424" s="1" t="str">
        <f aca="false">'Raw Data'!C423</f>
        <v>russochelsey</v>
      </c>
      <c r="D424" s="1" t="str">
        <f aca="false">'Raw Data'!D423</f>
        <v>Clash of Realms</v>
      </c>
      <c r="E424" s="1" t="str">
        <f aca="false">'Raw Data'!E423</f>
        <v>Mobile</v>
      </c>
      <c r="F424" s="1" t="str">
        <f aca="false">'Raw Data'!F423</f>
        <v>Central</v>
      </c>
      <c r="G424" s="23" t="n">
        <f aca="false">'Raw Data'!G423</f>
        <v>45804</v>
      </c>
      <c r="H424" s="1" t="n">
        <f aca="false">'Raw Data'!H423</f>
        <v>35</v>
      </c>
      <c r="I424" s="24" t="n">
        <f aca="false">'Raw Data'!I423</f>
        <v>13.33</v>
      </c>
      <c r="J424" s="1" t="str">
        <f aca="false">IF('Raw Data'!J423="None","None",IF(ISBLANK('Raw Data'!J423),"None",'Raw Data'!J423))</f>
        <v>Skins</v>
      </c>
      <c r="K424" s="1" t="str">
        <f aca="false">'Raw Data'!K423</f>
        <v>Completed</v>
      </c>
      <c r="L424" s="1" t="str">
        <f aca="false">'Raw Data'!L423</f>
        <v>Paid</v>
      </c>
      <c r="M424" s="1" t="n">
        <f aca="false">'Raw Data'!M423</f>
        <v>42</v>
      </c>
      <c r="N424" s="1" t="str">
        <f aca="false">'Raw Data'!N423</f>
        <v>No</v>
      </c>
    </row>
    <row r="425" customFormat="false" ht="15" hidden="false" customHeight="true" outlineLevel="0" collapsed="false">
      <c r="A425" s="1" t="str">
        <f aca="false">'Raw Data'!A424</f>
        <v>S00421</v>
      </c>
      <c r="B425" s="1" t="str">
        <f aca="false">'Raw Data'!B424</f>
        <v>P9217</v>
      </c>
      <c r="C425" s="1" t="str">
        <f aca="false">'Raw Data'!C424</f>
        <v>pwright</v>
      </c>
      <c r="D425" s="1" t="str">
        <f aca="false">'Raw Data'!D424</f>
        <v>BattleZone</v>
      </c>
      <c r="E425" s="1" t="str">
        <f aca="false">'Raw Data'!E424</f>
        <v>Console</v>
      </c>
      <c r="F425" s="1" t="str">
        <f aca="false">'Raw Data'!F424</f>
        <v>South</v>
      </c>
      <c r="G425" s="23" t="n">
        <f aca="false">'Raw Data'!G424</f>
        <v>45767</v>
      </c>
      <c r="H425" s="1" t="n">
        <f aca="false">'Raw Data'!H424</f>
        <v>97</v>
      </c>
      <c r="I425" s="24" t="n">
        <f aca="false">'Raw Data'!I424</f>
        <v>3.6</v>
      </c>
      <c r="J425" s="1" t="str">
        <f aca="false">IF('Raw Data'!J424="None","None",IF(ISBLANK('Raw Data'!J424),"None",'Raw Data'!J424))</f>
        <v>Subscriptions</v>
      </c>
      <c r="K425" s="1" t="str">
        <f aca="false">'Raw Data'!K424</f>
        <v>Incomplete</v>
      </c>
      <c r="L425" s="1" t="str">
        <f aca="false">'Raw Data'!L424</f>
        <v>Paid</v>
      </c>
      <c r="M425" s="1" t="n">
        <f aca="false">'Raw Data'!M424</f>
        <v>14</v>
      </c>
      <c r="N425" s="1" t="str">
        <f aca="false">'Raw Data'!N424</f>
        <v>No</v>
      </c>
    </row>
    <row r="426" customFormat="false" ht="15" hidden="false" customHeight="true" outlineLevel="0" collapsed="false">
      <c r="A426" s="1" t="str">
        <f aca="false">'Raw Data'!A425</f>
        <v>S00422</v>
      </c>
      <c r="B426" s="1" t="str">
        <f aca="false">'Raw Data'!B425</f>
        <v>P9334</v>
      </c>
      <c r="C426" s="1" t="str">
        <f aca="false">'Raw Data'!C425</f>
        <v>samantha20</v>
      </c>
      <c r="D426" s="1" t="str">
        <f aca="false">'Raw Data'!D425</f>
        <v>Empire Wars</v>
      </c>
      <c r="E426" s="1" t="str">
        <f aca="false">'Raw Data'!E425</f>
        <v>Mobile</v>
      </c>
      <c r="F426" s="1" t="str">
        <f aca="false">'Raw Data'!F425</f>
        <v>South</v>
      </c>
      <c r="G426" s="23" t="n">
        <f aca="false">'Raw Data'!G425</f>
        <v>45643</v>
      </c>
      <c r="H426" s="1" t="n">
        <f aca="false">'Raw Data'!H425</f>
        <v>92</v>
      </c>
      <c r="I426" s="24" t="n">
        <f aca="false">'Raw Data'!I425</f>
        <v>0</v>
      </c>
      <c r="J426" s="1" t="str">
        <f aca="false">IF('Raw Data'!J425="None","None",IF(ISBLANK('Raw Data'!J425),"None",'Raw Data'!J425))</f>
        <v>None</v>
      </c>
      <c r="K426" s="1" t="str">
        <f aca="false">'Raw Data'!K425</f>
        <v>Completed</v>
      </c>
      <c r="L426" s="1" t="str">
        <f aca="false">'Raw Data'!L425</f>
        <v>Paid</v>
      </c>
      <c r="M426" s="1" t="n">
        <f aca="false">'Raw Data'!M425</f>
        <v>31</v>
      </c>
      <c r="N426" s="1" t="str">
        <f aca="false">'Raw Data'!N425</f>
        <v>No</v>
      </c>
    </row>
    <row r="427" customFormat="false" ht="15" hidden="false" customHeight="true" outlineLevel="0" collapsed="false">
      <c r="A427" s="1" t="str">
        <f aca="false">'Raw Data'!A426</f>
        <v>S00423</v>
      </c>
      <c r="B427" s="1" t="str">
        <f aca="false">'Raw Data'!B426</f>
        <v>P8641</v>
      </c>
      <c r="C427" s="1" t="str">
        <f aca="false">'Raw Data'!C426</f>
        <v>johnsonandrea</v>
      </c>
      <c r="D427" s="1" t="str">
        <f aca="false">'Raw Data'!D426</f>
        <v>SpeedX</v>
      </c>
      <c r="E427" s="1" t="str">
        <f aca="false">'Raw Data'!E426</f>
        <v>Console</v>
      </c>
      <c r="F427" s="1" t="str">
        <f aca="false">'Raw Data'!F426</f>
        <v>South</v>
      </c>
      <c r="G427" s="23" t="n">
        <f aca="false">'Raw Data'!G426</f>
        <v>45700</v>
      </c>
      <c r="H427" s="1" t="n">
        <f aca="false">'Raw Data'!H426</f>
        <v>166</v>
      </c>
      <c r="I427" s="24" t="n">
        <f aca="false">'Raw Data'!I426</f>
        <v>0</v>
      </c>
      <c r="J427" s="1" t="str">
        <f aca="false">IF('Raw Data'!J426="None","None",IF(ISBLANK('Raw Data'!J426),"None",'Raw Data'!J426))</f>
        <v>None</v>
      </c>
      <c r="K427" s="1" t="str">
        <f aca="false">'Raw Data'!K426</f>
        <v>Completed</v>
      </c>
      <c r="L427" s="1" t="str">
        <f aca="false">'Raw Data'!L426</f>
        <v>Free</v>
      </c>
      <c r="M427" s="1" t="n">
        <f aca="false">'Raw Data'!M426</f>
        <v>43</v>
      </c>
      <c r="N427" s="1" t="str">
        <f aca="false">'Raw Data'!N426</f>
        <v>Yes</v>
      </c>
    </row>
    <row r="428" customFormat="false" ht="15" hidden="false" customHeight="true" outlineLevel="0" collapsed="false">
      <c r="A428" s="1" t="str">
        <f aca="false">'Raw Data'!A427</f>
        <v>S00424</v>
      </c>
      <c r="B428" s="1" t="str">
        <f aca="false">'Raw Data'!B427</f>
        <v>P8632</v>
      </c>
      <c r="C428" s="1" t="str">
        <f aca="false">'Raw Data'!C427</f>
        <v>nramos</v>
      </c>
      <c r="D428" s="1" t="str">
        <f aca="false">'Raw Data'!D427</f>
        <v>Zombie Rush</v>
      </c>
      <c r="E428" s="1" t="str">
        <f aca="false">'Raw Data'!E427</f>
        <v>Console</v>
      </c>
      <c r="F428" s="1" t="str">
        <f aca="false">'Raw Data'!F427</f>
        <v>South</v>
      </c>
      <c r="G428" s="23" t="n">
        <f aca="false">'Raw Data'!G427</f>
        <v>45676</v>
      </c>
      <c r="H428" s="1" t="n">
        <f aca="false">'Raw Data'!H427</f>
        <v>146</v>
      </c>
      <c r="I428" s="24" t="n">
        <f aca="false">'Raw Data'!I427</f>
        <v>22.51</v>
      </c>
      <c r="J428" s="1" t="str">
        <f aca="false">IF('Raw Data'!J427="None","None",IF(ISBLANK('Raw Data'!J427),"None",'Raw Data'!J427))</f>
        <v>Battle Pass</v>
      </c>
      <c r="K428" s="1" t="str">
        <f aca="false">'Raw Data'!K427</f>
        <v>Exited Early</v>
      </c>
      <c r="L428" s="1" t="str">
        <f aca="false">'Raw Data'!L427</f>
        <v>Paid</v>
      </c>
      <c r="M428" s="1" t="n">
        <f aca="false">'Raw Data'!M427</f>
        <v>25</v>
      </c>
      <c r="N428" s="1" t="str">
        <f aca="false">'Raw Data'!N427</f>
        <v>No</v>
      </c>
    </row>
    <row r="429" customFormat="false" ht="15" hidden="false" customHeight="true" outlineLevel="0" collapsed="false">
      <c r="A429" s="1" t="str">
        <f aca="false">'Raw Data'!A428</f>
        <v>S00425</v>
      </c>
      <c r="B429" s="1" t="str">
        <f aca="false">'Raw Data'!B428</f>
        <v>P6749</v>
      </c>
      <c r="C429" s="1" t="str">
        <f aca="false">'Raw Data'!C428</f>
        <v>pmoore</v>
      </c>
      <c r="D429" s="1" t="str">
        <f aca="false">'Raw Data'!D428</f>
        <v>BattleZone</v>
      </c>
      <c r="E429" s="1" t="str">
        <f aca="false">'Raw Data'!E428</f>
        <v>Console</v>
      </c>
      <c r="F429" s="1" t="str">
        <f aca="false">'Raw Data'!F428</f>
        <v>East</v>
      </c>
      <c r="G429" s="23" t="n">
        <f aca="false">'Raw Data'!G428</f>
        <v>45722</v>
      </c>
      <c r="H429" s="1" t="n">
        <f aca="false">'Raw Data'!H428</f>
        <v>7</v>
      </c>
      <c r="I429" s="24" t="n">
        <f aca="false">'Raw Data'!I428</f>
        <v>29.06</v>
      </c>
      <c r="J429" s="1" t="str">
        <f aca="false">IF('Raw Data'!J428="None","None",IF(ISBLANK('Raw Data'!J428),"None",'Raw Data'!J428))</f>
        <v>Battle Pass</v>
      </c>
      <c r="K429" s="1" t="str">
        <f aca="false">'Raw Data'!K428</f>
        <v>Completed</v>
      </c>
      <c r="L429" s="1" t="str">
        <f aca="false">'Raw Data'!L428</f>
        <v>Paid</v>
      </c>
      <c r="M429" s="1" t="n">
        <f aca="false">'Raw Data'!M428</f>
        <v>12</v>
      </c>
      <c r="N429" s="1" t="str">
        <f aca="false">'Raw Data'!N428</f>
        <v>No</v>
      </c>
    </row>
    <row r="430" customFormat="false" ht="15" hidden="false" customHeight="true" outlineLevel="0" collapsed="false">
      <c r="A430" s="1" t="str">
        <f aca="false">'Raw Data'!A429</f>
        <v>S00426</v>
      </c>
      <c r="B430" s="1" t="str">
        <f aca="false">'Raw Data'!B429</f>
        <v>P8176</v>
      </c>
      <c r="C430" s="1" t="str">
        <f aca="false">'Raw Data'!C429</f>
        <v>enielsen</v>
      </c>
      <c r="D430" s="1" t="str">
        <f aca="false">'Raw Data'!D429</f>
        <v>BattleZone</v>
      </c>
      <c r="E430" s="1" t="str">
        <f aca="false">'Raw Data'!E429</f>
        <v>Mobile</v>
      </c>
      <c r="F430" s="1" t="str">
        <f aca="false">'Raw Data'!F429</f>
        <v>North</v>
      </c>
      <c r="G430" s="23" t="n">
        <f aca="false">'Raw Data'!G429</f>
        <v>45669</v>
      </c>
      <c r="H430" s="1" t="n">
        <f aca="false">'Raw Data'!H429</f>
        <v>79</v>
      </c>
      <c r="I430" s="24" t="n">
        <f aca="false">'Raw Data'!I429</f>
        <v>0</v>
      </c>
      <c r="J430" s="1" t="str">
        <f aca="false">IF('Raw Data'!J429="None","None",IF(ISBLANK('Raw Data'!J429),"None",'Raw Data'!J429))</f>
        <v>None</v>
      </c>
      <c r="K430" s="1" t="str">
        <f aca="false">'Raw Data'!K429</f>
        <v>Completed</v>
      </c>
      <c r="L430" s="1" t="str">
        <f aca="false">'Raw Data'!L429</f>
        <v>Free</v>
      </c>
      <c r="M430" s="1" t="n">
        <f aca="false">'Raw Data'!M429</f>
        <v>30</v>
      </c>
      <c r="N430" s="1" t="str">
        <f aca="false">'Raw Data'!N429</f>
        <v>No</v>
      </c>
    </row>
    <row r="431" customFormat="false" ht="15" hidden="false" customHeight="true" outlineLevel="0" collapsed="false">
      <c r="A431" s="1" t="str">
        <f aca="false">'Raw Data'!A430</f>
        <v>S00427</v>
      </c>
      <c r="B431" s="1" t="str">
        <f aca="false">'Raw Data'!B430</f>
        <v>P9104</v>
      </c>
      <c r="C431" s="1" t="str">
        <f aca="false">'Raw Data'!C430</f>
        <v>melissa17</v>
      </c>
      <c r="D431" s="1" t="str">
        <f aca="false">'Raw Data'!D430</f>
        <v>Zombie Rush</v>
      </c>
      <c r="E431" s="1" t="str">
        <f aca="false">'Raw Data'!E430</f>
        <v>PC</v>
      </c>
      <c r="F431" s="1" t="str">
        <f aca="false">'Raw Data'!F430</f>
        <v>Central</v>
      </c>
      <c r="G431" s="23" t="n">
        <f aca="false">'Raw Data'!G430</f>
        <v>45695</v>
      </c>
      <c r="H431" s="1" t="n">
        <f aca="false">'Raw Data'!H430</f>
        <v>39</v>
      </c>
      <c r="I431" s="24" t="n">
        <f aca="false">'Raw Data'!I430</f>
        <v>0</v>
      </c>
      <c r="J431" s="1" t="str">
        <f aca="false">IF('Raw Data'!J430="None","None",IF(ISBLANK('Raw Data'!J430),"None",'Raw Data'!J430))</f>
        <v>None</v>
      </c>
      <c r="K431" s="1" t="str">
        <f aca="false">'Raw Data'!K430</f>
        <v>Completed</v>
      </c>
      <c r="L431" s="1" t="str">
        <f aca="false">'Raw Data'!L430</f>
        <v>Free</v>
      </c>
      <c r="M431" s="1" t="n">
        <f aca="false">'Raw Data'!M430</f>
        <v>12</v>
      </c>
      <c r="N431" s="1" t="str">
        <f aca="false">'Raw Data'!N430</f>
        <v>No</v>
      </c>
    </row>
    <row r="432" customFormat="false" ht="15" hidden="false" customHeight="true" outlineLevel="0" collapsed="false">
      <c r="A432" s="1" t="str">
        <f aca="false">'Raw Data'!A431</f>
        <v>S00428</v>
      </c>
      <c r="B432" s="1" t="str">
        <f aca="false">'Raw Data'!B431</f>
        <v>P5582</v>
      </c>
      <c r="C432" s="1" t="str">
        <f aca="false">'Raw Data'!C431</f>
        <v>jennifer94</v>
      </c>
      <c r="D432" s="1" t="str">
        <f aca="false">'Raw Data'!D431</f>
        <v>Zombie Rush</v>
      </c>
      <c r="E432" s="1" t="str">
        <f aca="false">'Raw Data'!E431</f>
        <v>Console</v>
      </c>
      <c r="F432" s="1" t="str">
        <f aca="false">'Raw Data'!F431</f>
        <v>West</v>
      </c>
      <c r="G432" s="23" t="n">
        <f aca="false">'Raw Data'!G431</f>
        <v>45645</v>
      </c>
      <c r="H432" s="1" t="n">
        <f aca="false">'Raw Data'!H431</f>
        <v>9</v>
      </c>
      <c r="I432" s="24" t="n">
        <f aca="false">'Raw Data'!I431</f>
        <v>0</v>
      </c>
      <c r="J432" s="1" t="str">
        <f aca="false">IF('Raw Data'!J431="None","None",IF(ISBLANK('Raw Data'!J431),"None",'Raw Data'!J431))</f>
        <v>None</v>
      </c>
      <c r="K432" s="1" t="str">
        <f aca="false">'Raw Data'!K431</f>
        <v>Incomplete</v>
      </c>
      <c r="L432" s="1" t="str">
        <f aca="false">'Raw Data'!L431</f>
        <v>Free</v>
      </c>
      <c r="M432" s="1" t="n">
        <f aca="false">'Raw Data'!M431</f>
        <v>23</v>
      </c>
      <c r="N432" s="1" t="str">
        <f aca="false">'Raw Data'!N431</f>
        <v>No</v>
      </c>
    </row>
    <row r="433" customFormat="false" ht="15" hidden="false" customHeight="true" outlineLevel="0" collapsed="false">
      <c r="A433" s="1" t="str">
        <f aca="false">'Raw Data'!A432</f>
        <v>S00429</v>
      </c>
      <c r="B433" s="1" t="str">
        <f aca="false">'Raw Data'!B432</f>
        <v>P4908</v>
      </c>
      <c r="C433" s="1" t="str">
        <f aca="false">'Raw Data'!C432</f>
        <v>twashington</v>
      </c>
      <c r="D433" s="1" t="str">
        <f aca="false">'Raw Data'!D432</f>
        <v>Empire Wars</v>
      </c>
      <c r="E433" s="1" t="str">
        <f aca="false">'Raw Data'!E432</f>
        <v>PC</v>
      </c>
      <c r="F433" s="1" t="str">
        <f aca="false">'Raw Data'!F432</f>
        <v>East</v>
      </c>
      <c r="G433" s="23" t="n">
        <f aca="false">'Raw Data'!G432</f>
        <v>45821</v>
      </c>
      <c r="H433" s="1" t="n">
        <f aca="false">'Raw Data'!H432</f>
        <v>70</v>
      </c>
      <c r="I433" s="24" t="n">
        <f aca="false">'Raw Data'!I432</f>
        <v>11.82</v>
      </c>
      <c r="J433" s="1" t="str">
        <f aca="false">IF('Raw Data'!J432="None","None",IF(ISBLANK('Raw Data'!J432),"None",'Raw Data'!J432))</f>
        <v>Battle Pass</v>
      </c>
      <c r="K433" s="1" t="str">
        <f aca="false">'Raw Data'!K432</f>
        <v>Completed</v>
      </c>
      <c r="L433" s="1" t="str">
        <f aca="false">'Raw Data'!L432</f>
        <v>Paid</v>
      </c>
      <c r="M433" s="1" t="n">
        <f aca="false">'Raw Data'!M432</f>
        <v>5</v>
      </c>
      <c r="N433" s="1" t="str">
        <f aca="false">'Raw Data'!N432</f>
        <v>No</v>
      </c>
    </row>
    <row r="434" customFormat="false" ht="15" hidden="false" customHeight="true" outlineLevel="0" collapsed="false">
      <c r="A434" s="1" t="str">
        <f aca="false">'Raw Data'!A433</f>
        <v>S00430</v>
      </c>
      <c r="B434" s="1" t="str">
        <f aca="false">'Raw Data'!B433</f>
        <v>P8542</v>
      </c>
      <c r="C434" s="1" t="str">
        <f aca="false">'Raw Data'!C433</f>
        <v>brian05</v>
      </c>
      <c r="D434" s="1" t="str">
        <f aca="false">'Raw Data'!D433</f>
        <v>Empire Wars</v>
      </c>
      <c r="E434" s="1" t="str">
        <f aca="false">'Raw Data'!E433</f>
        <v>Mobile</v>
      </c>
      <c r="F434" s="1" t="str">
        <f aca="false">'Raw Data'!F433</f>
        <v>East</v>
      </c>
      <c r="G434" s="23" t="n">
        <f aca="false">'Raw Data'!G433</f>
        <v>45684</v>
      </c>
      <c r="H434" s="1" t="n">
        <f aca="false">'Raw Data'!H433</f>
        <v>156</v>
      </c>
      <c r="I434" s="24" t="n">
        <f aca="false">'Raw Data'!I433</f>
        <v>0</v>
      </c>
      <c r="J434" s="1" t="str">
        <f aca="false">IF('Raw Data'!J433="None","None",IF(ISBLANK('Raw Data'!J433),"None",'Raw Data'!J433))</f>
        <v>None</v>
      </c>
      <c r="K434" s="1" t="str">
        <f aca="false">'Raw Data'!K433</f>
        <v>Completed</v>
      </c>
      <c r="L434" s="1" t="str">
        <f aca="false">'Raw Data'!L433</f>
        <v>Free</v>
      </c>
      <c r="M434" s="1" t="n">
        <f aca="false">'Raw Data'!M433</f>
        <v>6</v>
      </c>
      <c r="N434" s="1" t="str">
        <f aca="false">'Raw Data'!N433</f>
        <v>Yes</v>
      </c>
    </row>
    <row r="435" customFormat="false" ht="15" hidden="false" customHeight="true" outlineLevel="0" collapsed="false">
      <c r="A435" s="1" t="str">
        <f aca="false">'Raw Data'!A434</f>
        <v>S00431</v>
      </c>
      <c r="B435" s="1" t="str">
        <f aca="false">'Raw Data'!B434</f>
        <v>P7163</v>
      </c>
      <c r="C435" s="1" t="str">
        <f aca="false">'Raw Data'!C434</f>
        <v>emilynelson</v>
      </c>
      <c r="D435" s="1" t="str">
        <f aca="false">'Raw Data'!D434</f>
        <v>Zombie Rush</v>
      </c>
      <c r="E435" s="1" t="str">
        <f aca="false">'Raw Data'!E434</f>
        <v>Console</v>
      </c>
      <c r="F435" s="1" t="str">
        <f aca="false">'Raw Data'!F434</f>
        <v>South</v>
      </c>
      <c r="G435" s="23" t="n">
        <f aca="false">'Raw Data'!G434</f>
        <v>45641</v>
      </c>
      <c r="H435" s="1" t="n">
        <f aca="false">'Raw Data'!H434</f>
        <v>159</v>
      </c>
      <c r="I435" s="24" t="n">
        <f aca="false">'Raw Data'!I434</f>
        <v>0</v>
      </c>
      <c r="J435" s="1" t="str">
        <f aca="false">IF('Raw Data'!J434="None","None",IF(ISBLANK('Raw Data'!J434),"None",'Raw Data'!J434))</f>
        <v>None</v>
      </c>
      <c r="K435" s="1" t="str">
        <f aca="false">'Raw Data'!K434</f>
        <v>Completed</v>
      </c>
      <c r="L435" s="1" t="str">
        <f aca="false">'Raw Data'!L434</f>
        <v>Free</v>
      </c>
      <c r="M435" s="1" t="n">
        <f aca="false">'Raw Data'!M434</f>
        <v>14</v>
      </c>
      <c r="N435" s="1" t="str">
        <f aca="false">'Raw Data'!N434</f>
        <v>Yes</v>
      </c>
    </row>
    <row r="436" customFormat="false" ht="15" hidden="false" customHeight="true" outlineLevel="0" collapsed="false">
      <c r="A436" s="1" t="str">
        <f aca="false">'Raw Data'!A435</f>
        <v>S00432</v>
      </c>
      <c r="B436" s="1" t="str">
        <f aca="false">'Raw Data'!B435</f>
        <v>P2427</v>
      </c>
      <c r="C436" s="1" t="str">
        <f aca="false">'Raw Data'!C435</f>
        <v>kacosta</v>
      </c>
      <c r="D436" s="1" t="str">
        <f aca="false">'Raw Data'!D435</f>
        <v>Zombie Rush</v>
      </c>
      <c r="E436" s="1" t="str">
        <f aca="false">'Raw Data'!E435</f>
        <v>PC</v>
      </c>
      <c r="F436" s="1" t="str">
        <f aca="false">'Raw Data'!F435</f>
        <v>Central</v>
      </c>
      <c r="G436" s="23" t="n">
        <f aca="false">'Raw Data'!G435</f>
        <v>45680</v>
      </c>
      <c r="H436" s="1" t="n">
        <f aca="false">'Raw Data'!H435</f>
        <v>139</v>
      </c>
      <c r="I436" s="24" t="n">
        <f aca="false">'Raw Data'!I435</f>
        <v>0</v>
      </c>
      <c r="J436" s="1" t="str">
        <f aca="false">IF('Raw Data'!J435="None","None",IF(ISBLANK('Raw Data'!J435),"None",'Raw Data'!J435))</f>
        <v>None</v>
      </c>
      <c r="K436" s="1" t="str">
        <f aca="false">'Raw Data'!K435</f>
        <v>Completed</v>
      </c>
      <c r="L436" s="1" t="str">
        <f aca="false">'Raw Data'!L435</f>
        <v>Free</v>
      </c>
      <c r="M436" s="1" t="n">
        <f aca="false">'Raw Data'!M435</f>
        <v>37</v>
      </c>
      <c r="N436" s="1" t="str">
        <f aca="false">'Raw Data'!N435</f>
        <v>No</v>
      </c>
    </row>
    <row r="437" customFormat="false" ht="15" hidden="false" customHeight="true" outlineLevel="0" collapsed="false">
      <c r="A437" s="1" t="str">
        <f aca="false">'Raw Data'!A436</f>
        <v>S00433</v>
      </c>
      <c r="B437" s="1" t="str">
        <f aca="false">'Raw Data'!B436</f>
        <v>P1911</v>
      </c>
      <c r="C437" s="1" t="str">
        <f aca="false">'Raw Data'!C436</f>
        <v>yvette50</v>
      </c>
      <c r="D437" s="1" t="str">
        <f aca="false">'Raw Data'!D436</f>
        <v>BattleZone</v>
      </c>
      <c r="E437" s="1" t="str">
        <f aca="false">'Raw Data'!E436</f>
        <v>Mobile</v>
      </c>
      <c r="F437" s="1" t="str">
        <f aca="false">'Raw Data'!F436</f>
        <v>Central</v>
      </c>
      <c r="G437" s="23" t="n">
        <f aca="false">'Raw Data'!G436</f>
        <v>45778</v>
      </c>
      <c r="H437" s="1" t="n">
        <f aca="false">'Raw Data'!H436</f>
        <v>25</v>
      </c>
      <c r="I437" s="24" t="n">
        <f aca="false">'Raw Data'!I436</f>
        <v>0</v>
      </c>
      <c r="J437" s="1" t="str">
        <f aca="false">IF('Raw Data'!J436="None","None",IF(ISBLANK('Raw Data'!J436),"None",'Raw Data'!J436))</f>
        <v>None</v>
      </c>
      <c r="K437" s="1" t="str">
        <f aca="false">'Raw Data'!K436</f>
        <v>Completed</v>
      </c>
      <c r="L437" s="1" t="str">
        <f aca="false">'Raw Data'!L436</f>
        <v>Paid</v>
      </c>
      <c r="M437" s="1" t="n">
        <f aca="false">'Raw Data'!M436</f>
        <v>20</v>
      </c>
      <c r="N437" s="1" t="str">
        <f aca="false">'Raw Data'!N436</f>
        <v>No</v>
      </c>
    </row>
    <row r="438" customFormat="false" ht="15" hidden="false" customHeight="true" outlineLevel="0" collapsed="false">
      <c r="A438" s="1" t="str">
        <f aca="false">'Raw Data'!A437</f>
        <v>S00434</v>
      </c>
      <c r="B438" s="1" t="str">
        <f aca="false">'Raw Data'!B437</f>
        <v>P2246</v>
      </c>
      <c r="C438" s="1" t="str">
        <f aca="false">'Raw Data'!C437</f>
        <v>lisajames</v>
      </c>
      <c r="D438" s="1" t="str">
        <f aca="false">'Raw Data'!D437</f>
        <v>Empire Wars</v>
      </c>
      <c r="E438" s="1" t="str">
        <f aca="false">'Raw Data'!E437</f>
        <v>Mobile</v>
      </c>
      <c r="F438" s="1" t="str">
        <f aca="false">'Raw Data'!F437</f>
        <v>South</v>
      </c>
      <c r="G438" s="23" t="n">
        <f aca="false">'Raw Data'!G437</f>
        <v>45739</v>
      </c>
      <c r="H438" s="1" t="n">
        <f aca="false">'Raw Data'!H437</f>
        <v>80</v>
      </c>
      <c r="I438" s="24" t="n">
        <f aca="false">'Raw Data'!I437</f>
        <v>0</v>
      </c>
      <c r="J438" s="1" t="str">
        <f aca="false">IF('Raw Data'!J437="None","None",IF(ISBLANK('Raw Data'!J437),"None",'Raw Data'!J437))</f>
        <v>None</v>
      </c>
      <c r="K438" s="1" t="str">
        <f aca="false">'Raw Data'!K437</f>
        <v>Incomplete</v>
      </c>
      <c r="L438" s="1" t="str">
        <f aca="false">'Raw Data'!L437</f>
        <v>Free</v>
      </c>
      <c r="M438" s="1" t="n">
        <f aca="false">'Raw Data'!M437</f>
        <v>3</v>
      </c>
      <c r="N438" s="1" t="str">
        <f aca="false">'Raw Data'!N437</f>
        <v>No</v>
      </c>
    </row>
    <row r="439" customFormat="false" ht="15" hidden="false" customHeight="true" outlineLevel="0" collapsed="false">
      <c r="A439" s="1" t="str">
        <f aca="false">'Raw Data'!A438</f>
        <v>S00435</v>
      </c>
      <c r="B439" s="1" t="str">
        <f aca="false">'Raw Data'!B438</f>
        <v>P2996</v>
      </c>
      <c r="C439" s="1" t="str">
        <f aca="false">'Raw Data'!C438</f>
        <v>linda22</v>
      </c>
      <c r="D439" s="1" t="str">
        <f aca="false">'Raw Data'!D438</f>
        <v>Zombie Rush</v>
      </c>
      <c r="E439" s="1" t="str">
        <f aca="false">'Raw Data'!E438</f>
        <v>Console</v>
      </c>
      <c r="F439" s="1" t="str">
        <f aca="false">'Raw Data'!F438</f>
        <v>South</v>
      </c>
      <c r="G439" s="23" t="n">
        <f aca="false">'Raw Data'!G438</f>
        <v>45773</v>
      </c>
      <c r="H439" s="1" t="n">
        <f aca="false">'Raw Data'!H438</f>
        <v>101</v>
      </c>
      <c r="I439" s="24" t="n">
        <f aca="false">'Raw Data'!I438</f>
        <v>0</v>
      </c>
      <c r="J439" s="1" t="str">
        <f aca="false">IF('Raw Data'!J438="None","None",IF(ISBLANK('Raw Data'!J438),"None",'Raw Data'!J438))</f>
        <v>None</v>
      </c>
      <c r="K439" s="1" t="str">
        <f aca="false">'Raw Data'!K438</f>
        <v>Completed</v>
      </c>
      <c r="L439" s="1" t="str">
        <f aca="false">'Raw Data'!L438</f>
        <v>Free</v>
      </c>
      <c r="M439" s="1" t="n">
        <f aca="false">'Raw Data'!M438</f>
        <v>15</v>
      </c>
      <c r="N439" s="1" t="str">
        <f aca="false">'Raw Data'!N438</f>
        <v>No</v>
      </c>
    </row>
    <row r="440" customFormat="false" ht="15" hidden="false" customHeight="true" outlineLevel="0" collapsed="false">
      <c r="A440" s="1" t="str">
        <f aca="false">'Raw Data'!A439</f>
        <v>S00436</v>
      </c>
      <c r="B440" s="1" t="str">
        <f aca="false">'Raw Data'!B439</f>
        <v>P9175</v>
      </c>
      <c r="C440" s="1" t="str">
        <f aca="false">'Raw Data'!C439</f>
        <v>gregbaker</v>
      </c>
      <c r="D440" s="1" t="str">
        <f aca="false">'Raw Data'!D439</f>
        <v>Zombie Rush</v>
      </c>
      <c r="E440" s="1" t="str">
        <f aca="false">'Raw Data'!E439</f>
        <v>Console</v>
      </c>
      <c r="F440" s="1" t="str">
        <f aca="false">'Raw Data'!F439</f>
        <v>West</v>
      </c>
      <c r="G440" s="23" t="n">
        <f aca="false">'Raw Data'!G439</f>
        <v>45645</v>
      </c>
      <c r="H440" s="1" t="n">
        <f aca="false">'Raw Data'!H439</f>
        <v>176</v>
      </c>
      <c r="I440" s="24" t="n">
        <f aca="false">'Raw Data'!I439</f>
        <v>0</v>
      </c>
      <c r="J440" s="1" t="str">
        <f aca="false">IF('Raw Data'!J439="None","None",IF(ISBLANK('Raw Data'!J439),"None",'Raw Data'!J439))</f>
        <v>None</v>
      </c>
      <c r="K440" s="1" t="str">
        <f aca="false">'Raw Data'!K439</f>
        <v>Completed</v>
      </c>
      <c r="L440" s="1" t="str">
        <f aca="false">'Raw Data'!L439</f>
        <v>Free</v>
      </c>
      <c r="M440" s="1" t="n">
        <f aca="false">'Raw Data'!M439</f>
        <v>18</v>
      </c>
      <c r="N440" s="1" t="str">
        <f aca="false">'Raw Data'!N439</f>
        <v>Yes</v>
      </c>
    </row>
    <row r="441" customFormat="false" ht="15" hidden="false" customHeight="true" outlineLevel="0" collapsed="false">
      <c r="A441" s="1" t="str">
        <f aca="false">'Raw Data'!A440</f>
        <v>S00437</v>
      </c>
      <c r="B441" s="1" t="str">
        <f aca="false">'Raw Data'!B440</f>
        <v>P1726</v>
      </c>
      <c r="C441" s="1" t="str">
        <f aca="false">'Raw Data'!C440</f>
        <v>sheila89</v>
      </c>
      <c r="D441" s="1" t="str">
        <f aca="false">'Raw Data'!D440</f>
        <v>BattleZone</v>
      </c>
      <c r="E441" s="1" t="str">
        <f aca="false">'Raw Data'!E440</f>
        <v>PC</v>
      </c>
      <c r="F441" s="1" t="str">
        <f aca="false">'Raw Data'!F440</f>
        <v>Central</v>
      </c>
      <c r="G441" s="23" t="n">
        <f aca="false">'Raw Data'!G440</f>
        <v>45708</v>
      </c>
      <c r="H441" s="1" t="n">
        <f aca="false">'Raw Data'!H440</f>
        <v>101</v>
      </c>
      <c r="I441" s="24" t="n">
        <f aca="false">'Raw Data'!I440</f>
        <v>0</v>
      </c>
      <c r="J441" s="1" t="str">
        <f aca="false">IF('Raw Data'!J440="None","None",IF(ISBLANK('Raw Data'!J440),"None",'Raw Data'!J440))</f>
        <v>None</v>
      </c>
      <c r="K441" s="1" t="str">
        <f aca="false">'Raw Data'!K440</f>
        <v>Incomplete</v>
      </c>
      <c r="L441" s="1" t="str">
        <f aca="false">'Raw Data'!L440</f>
        <v>Free</v>
      </c>
      <c r="M441" s="1" t="n">
        <f aca="false">'Raw Data'!M440</f>
        <v>5</v>
      </c>
      <c r="N441" s="1" t="str">
        <f aca="false">'Raw Data'!N440</f>
        <v>No</v>
      </c>
    </row>
    <row r="442" customFormat="false" ht="15" hidden="false" customHeight="true" outlineLevel="0" collapsed="false">
      <c r="A442" s="1" t="str">
        <f aca="false">'Raw Data'!A441</f>
        <v>S00438</v>
      </c>
      <c r="B442" s="1" t="str">
        <f aca="false">'Raw Data'!B441</f>
        <v>P1604</v>
      </c>
      <c r="C442" s="1" t="str">
        <f aca="false">'Raw Data'!C441</f>
        <v>pweaver</v>
      </c>
      <c r="D442" s="1" t="str">
        <f aca="false">'Raw Data'!D441</f>
        <v>Clash of Realms</v>
      </c>
      <c r="E442" s="1" t="str">
        <f aca="false">'Raw Data'!E441</f>
        <v>Console</v>
      </c>
      <c r="F442" s="1" t="str">
        <f aca="false">'Raw Data'!F441</f>
        <v>North-East</v>
      </c>
      <c r="G442" s="23" t="n">
        <f aca="false">'Raw Data'!G441</f>
        <v>45797</v>
      </c>
      <c r="H442" s="1" t="n">
        <f aca="false">'Raw Data'!H441</f>
        <v>147</v>
      </c>
      <c r="I442" s="24" t="n">
        <f aca="false">'Raw Data'!I441</f>
        <v>32.05</v>
      </c>
      <c r="J442" s="1" t="str">
        <f aca="false">IF('Raw Data'!J441="None","None",IF(ISBLANK('Raw Data'!J441),"None",'Raw Data'!J441))</f>
        <v>Subscriptions</v>
      </c>
      <c r="K442" s="1" t="str">
        <f aca="false">'Raw Data'!K441</f>
        <v>Incomplete</v>
      </c>
      <c r="L442" s="1" t="str">
        <f aca="false">'Raw Data'!L441</f>
        <v>Paid</v>
      </c>
      <c r="M442" s="1" t="n">
        <f aca="false">'Raw Data'!M441</f>
        <v>11</v>
      </c>
      <c r="N442" s="1" t="str">
        <f aca="false">'Raw Data'!N441</f>
        <v>No</v>
      </c>
    </row>
    <row r="443" customFormat="false" ht="15" hidden="false" customHeight="true" outlineLevel="0" collapsed="false">
      <c r="A443" s="1" t="str">
        <f aca="false">'Raw Data'!A442</f>
        <v>S00439</v>
      </c>
      <c r="B443" s="1" t="str">
        <f aca="false">'Raw Data'!B442</f>
        <v>P4812</v>
      </c>
      <c r="C443" s="1" t="str">
        <f aca="false">'Raw Data'!C442</f>
        <v>thomas99</v>
      </c>
      <c r="D443" s="1" t="str">
        <f aca="false">'Raw Data'!D442</f>
        <v>Zombie Rush</v>
      </c>
      <c r="E443" s="1" t="str">
        <f aca="false">'Raw Data'!E442</f>
        <v>Mobile</v>
      </c>
      <c r="F443" s="1" t="str">
        <f aca="false">'Raw Data'!F442</f>
        <v>North</v>
      </c>
      <c r="G443" s="23" t="n">
        <f aca="false">'Raw Data'!G442</f>
        <v>45667</v>
      </c>
      <c r="H443" s="1" t="n">
        <f aca="false">'Raw Data'!H442</f>
        <v>46</v>
      </c>
      <c r="I443" s="24" t="n">
        <f aca="false">'Raw Data'!I442</f>
        <v>0</v>
      </c>
      <c r="J443" s="1" t="str">
        <f aca="false">IF('Raw Data'!J442="None","None",IF(ISBLANK('Raw Data'!J442),"None",'Raw Data'!J442))</f>
        <v>None</v>
      </c>
      <c r="K443" s="1" t="str">
        <f aca="false">'Raw Data'!K442</f>
        <v>Completed</v>
      </c>
      <c r="L443" s="1" t="str">
        <f aca="false">'Raw Data'!L442</f>
        <v>Free</v>
      </c>
      <c r="M443" s="1" t="n">
        <f aca="false">'Raw Data'!M442</f>
        <v>4</v>
      </c>
      <c r="N443" s="1" t="str">
        <f aca="false">'Raw Data'!N442</f>
        <v>No</v>
      </c>
    </row>
    <row r="444" customFormat="false" ht="15" hidden="false" customHeight="true" outlineLevel="0" collapsed="false">
      <c r="A444" s="1" t="str">
        <f aca="false">'Raw Data'!A443</f>
        <v>S00440</v>
      </c>
      <c r="B444" s="1" t="str">
        <f aca="false">'Raw Data'!B443</f>
        <v>P5667</v>
      </c>
      <c r="C444" s="1" t="str">
        <f aca="false">'Raw Data'!C443</f>
        <v>victoria39</v>
      </c>
      <c r="D444" s="1" t="str">
        <f aca="false">'Raw Data'!D443</f>
        <v>Clash of Realms</v>
      </c>
      <c r="E444" s="1" t="str">
        <f aca="false">'Raw Data'!E443</f>
        <v>PC</v>
      </c>
      <c r="F444" s="1" t="str">
        <f aca="false">'Raw Data'!F443</f>
        <v>West</v>
      </c>
      <c r="G444" s="23" t="n">
        <f aca="false">'Raw Data'!G443</f>
        <v>45810</v>
      </c>
      <c r="H444" s="1" t="n">
        <f aca="false">'Raw Data'!H443</f>
        <v>33</v>
      </c>
      <c r="I444" s="24" t="n">
        <f aca="false">'Raw Data'!I443</f>
        <v>0</v>
      </c>
      <c r="J444" s="1" t="str">
        <f aca="false">IF('Raw Data'!J443="None","None",IF(ISBLANK('Raw Data'!J443),"None",'Raw Data'!J443))</f>
        <v>None</v>
      </c>
      <c r="K444" s="1" t="str">
        <f aca="false">'Raw Data'!K443</f>
        <v>Exited Early</v>
      </c>
      <c r="L444" s="1" t="str">
        <f aca="false">'Raw Data'!L443</f>
        <v>Free</v>
      </c>
      <c r="M444" s="1" t="n">
        <f aca="false">'Raw Data'!M443</f>
        <v>20</v>
      </c>
      <c r="N444" s="1" t="str">
        <f aca="false">'Raw Data'!N443</f>
        <v>No</v>
      </c>
    </row>
    <row r="445" customFormat="false" ht="15" hidden="false" customHeight="true" outlineLevel="0" collapsed="false">
      <c r="A445" s="1" t="str">
        <f aca="false">'Raw Data'!A444</f>
        <v>S00441</v>
      </c>
      <c r="B445" s="1" t="str">
        <f aca="false">'Raw Data'!B444</f>
        <v>P4138</v>
      </c>
      <c r="C445" s="1" t="str">
        <f aca="false">'Raw Data'!C444</f>
        <v>ecooley</v>
      </c>
      <c r="D445" s="1" t="str">
        <f aca="false">'Raw Data'!D444</f>
        <v>BattleZone</v>
      </c>
      <c r="E445" s="1" t="str">
        <f aca="false">'Raw Data'!E444</f>
        <v>Mobile</v>
      </c>
      <c r="F445" s="1" t="str">
        <f aca="false">'Raw Data'!F444</f>
        <v>East</v>
      </c>
      <c r="G445" s="23" t="n">
        <f aca="false">'Raw Data'!G444</f>
        <v>45713</v>
      </c>
      <c r="H445" s="1" t="n">
        <f aca="false">'Raw Data'!H444</f>
        <v>150</v>
      </c>
      <c r="I445" s="24" t="n">
        <f aca="false">'Raw Data'!I444</f>
        <v>0</v>
      </c>
      <c r="J445" s="1" t="str">
        <f aca="false">IF('Raw Data'!J444="None","None",IF(ISBLANK('Raw Data'!J444),"None",'Raw Data'!J444))</f>
        <v>None</v>
      </c>
      <c r="K445" s="1" t="str">
        <f aca="false">'Raw Data'!K444</f>
        <v>Completed</v>
      </c>
      <c r="L445" s="1" t="str">
        <f aca="false">'Raw Data'!L444</f>
        <v>Free</v>
      </c>
      <c r="M445" s="1" t="n">
        <f aca="false">'Raw Data'!M444</f>
        <v>46</v>
      </c>
      <c r="N445" s="1" t="str">
        <f aca="false">'Raw Data'!N444</f>
        <v>No</v>
      </c>
    </row>
    <row r="446" customFormat="false" ht="15" hidden="false" customHeight="true" outlineLevel="0" collapsed="false">
      <c r="A446" s="1" t="str">
        <f aca="false">'Raw Data'!A445</f>
        <v>S00442</v>
      </c>
      <c r="B446" s="1" t="str">
        <f aca="false">'Raw Data'!B445</f>
        <v>P9949</v>
      </c>
      <c r="C446" s="1" t="str">
        <f aca="false">'Raw Data'!C445</f>
        <v>brenda52</v>
      </c>
      <c r="D446" s="1" t="str">
        <f aca="false">'Raw Data'!D445</f>
        <v>BattleZone</v>
      </c>
      <c r="E446" s="1" t="str">
        <f aca="false">'Raw Data'!E445</f>
        <v>Console</v>
      </c>
      <c r="F446" s="1" t="str">
        <f aca="false">'Raw Data'!F445</f>
        <v>North-East</v>
      </c>
      <c r="G446" s="23" t="n">
        <f aca="false">'Raw Data'!G445</f>
        <v>45793</v>
      </c>
      <c r="H446" s="1" t="n">
        <f aca="false">'Raw Data'!H445</f>
        <v>166</v>
      </c>
      <c r="I446" s="24" t="n">
        <f aca="false">'Raw Data'!I445</f>
        <v>0</v>
      </c>
      <c r="J446" s="1" t="str">
        <f aca="false">IF('Raw Data'!J445="None","None",IF(ISBLANK('Raw Data'!J445),"None",'Raw Data'!J445))</f>
        <v>None</v>
      </c>
      <c r="K446" s="1" t="str">
        <f aca="false">'Raw Data'!K445</f>
        <v>Completed</v>
      </c>
      <c r="L446" s="1" t="str">
        <f aca="false">'Raw Data'!L445</f>
        <v>Free</v>
      </c>
      <c r="M446" s="1" t="n">
        <f aca="false">'Raw Data'!M445</f>
        <v>27</v>
      </c>
      <c r="N446" s="1" t="str">
        <f aca="false">'Raw Data'!N445</f>
        <v>Yes</v>
      </c>
    </row>
    <row r="447" customFormat="false" ht="15" hidden="false" customHeight="true" outlineLevel="0" collapsed="false">
      <c r="A447" s="1" t="str">
        <f aca="false">'Raw Data'!A446</f>
        <v>S00443</v>
      </c>
      <c r="B447" s="1" t="str">
        <f aca="false">'Raw Data'!B446</f>
        <v>P9493</v>
      </c>
      <c r="C447" s="1" t="str">
        <f aca="false">'Raw Data'!C446</f>
        <v>zmendoza</v>
      </c>
      <c r="D447" s="1" t="str">
        <f aca="false">'Raw Data'!D446</f>
        <v>Clash of Realms</v>
      </c>
      <c r="E447" s="1" t="str">
        <f aca="false">'Raw Data'!E446</f>
        <v>Mobile</v>
      </c>
      <c r="F447" s="1" t="str">
        <f aca="false">'Raw Data'!F446</f>
        <v>North-East</v>
      </c>
      <c r="G447" s="23" t="n">
        <f aca="false">'Raw Data'!G446</f>
        <v>45678</v>
      </c>
      <c r="H447" s="1" t="n">
        <f aca="false">'Raw Data'!H446</f>
        <v>96</v>
      </c>
      <c r="I447" s="24" t="n">
        <f aca="false">'Raw Data'!I446</f>
        <v>0</v>
      </c>
      <c r="J447" s="1" t="str">
        <f aca="false">IF('Raw Data'!J446="None","None",IF(ISBLANK('Raw Data'!J446),"None",'Raw Data'!J446))</f>
        <v>None</v>
      </c>
      <c r="K447" s="1" t="str">
        <f aca="false">'Raw Data'!K446</f>
        <v>Completed</v>
      </c>
      <c r="L447" s="1" t="str">
        <f aca="false">'Raw Data'!L446</f>
        <v>Paid</v>
      </c>
      <c r="M447" s="1" t="n">
        <f aca="false">'Raw Data'!M446</f>
        <v>38</v>
      </c>
      <c r="N447" s="1" t="str">
        <f aca="false">'Raw Data'!N446</f>
        <v>No</v>
      </c>
    </row>
    <row r="448" customFormat="false" ht="15" hidden="false" customHeight="true" outlineLevel="0" collapsed="false">
      <c r="A448" s="1" t="str">
        <f aca="false">'Raw Data'!A447</f>
        <v>S00444</v>
      </c>
      <c r="B448" s="1" t="str">
        <f aca="false">'Raw Data'!B447</f>
        <v>P8787</v>
      </c>
      <c r="C448" s="1" t="str">
        <f aca="false">'Raw Data'!C447</f>
        <v>jamesbarber</v>
      </c>
      <c r="D448" s="1" t="str">
        <f aca="false">'Raw Data'!D447</f>
        <v>SpeedX</v>
      </c>
      <c r="E448" s="1" t="str">
        <f aca="false">'Raw Data'!E447</f>
        <v>Console</v>
      </c>
      <c r="F448" s="1" t="str">
        <f aca="false">'Raw Data'!F447</f>
        <v>South</v>
      </c>
      <c r="G448" s="23" t="n">
        <f aca="false">'Raw Data'!G447</f>
        <v>45795</v>
      </c>
      <c r="H448" s="1" t="n">
        <f aca="false">'Raw Data'!H447</f>
        <v>51</v>
      </c>
      <c r="I448" s="24" t="n">
        <f aca="false">'Raw Data'!I447</f>
        <v>0</v>
      </c>
      <c r="J448" s="1" t="str">
        <f aca="false">IF('Raw Data'!J447="None","None",IF(ISBLANK('Raw Data'!J447),"None",'Raw Data'!J447))</f>
        <v>None</v>
      </c>
      <c r="K448" s="1" t="str">
        <f aca="false">'Raw Data'!K447</f>
        <v>Completed</v>
      </c>
      <c r="L448" s="1" t="str">
        <f aca="false">'Raw Data'!L447</f>
        <v>Free</v>
      </c>
      <c r="M448" s="1" t="n">
        <f aca="false">'Raw Data'!M447</f>
        <v>9</v>
      </c>
      <c r="N448" s="1" t="str">
        <f aca="false">'Raw Data'!N447</f>
        <v>No</v>
      </c>
    </row>
    <row r="449" customFormat="false" ht="15" hidden="false" customHeight="true" outlineLevel="0" collapsed="false">
      <c r="A449" s="1" t="str">
        <f aca="false">'Raw Data'!A448</f>
        <v>S00445</v>
      </c>
      <c r="B449" s="1" t="str">
        <f aca="false">'Raw Data'!B448</f>
        <v>P6434</v>
      </c>
      <c r="C449" s="1" t="str">
        <f aca="false">'Raw Data'!C448</f>
        <v>caitlinmiller</v>
      </c>
      <c r="D449" s="1" t="str">
        <f aca="false">'Raw Data'!D448</f>
        <v>Clash of Realms</v>
      </c>
      <c r="E449" s="1" t="str">
        <f aca="false">'Raw Data'!E448</f>
        <v>Console</v>
      </c>
      <c r="F449" s="1" t="str">
        <f aca="false">'Raw Data'!F448</f>
        <v>West</v>
      </c>
      <c r="G449" s="23" t="n">
        <f aca="false">'Raw Data'!G448</f>
        <v>45652</v>
      </c>
      <c r="H449" s="1" t="n">
        <f aca="false">'Raw Data'!H448</f>
        <v>96</v>
      </c>
      <c r="I449" s="24" t="n">
        <f aca="false">'Raw Data'!I448</f>
        <v>0</v>
      </c>
      <c r="J449" s="1" t="str">
        <f aca="false">IF('Raw Data'!J448="None","None",IF(ISBLANK('Raw Data'!J448),"None",'Raw Data'!J448))</f>
        <v>None</v>
      </c>
      <c r="K449" s="1" t="str">
        <f aca="false">'Raw Data'!K448</f>
        <v>Completed</v>
      </c>
      <c r="L449" s="1" t="str">
        <f aca="false">'Raw Data'!L448</f>
        <v>Free</v>
      </c>
      <c r="M449" s="1" t="n">
        <f aca="false">'Raw Data'!M448</f>
        <v>49</v>
      </c>
      <c r="N449" s="1" t="str">
        <f aca="false">'Raw Data'!N448</f>
        <v>No</v>
      </c>
    </row>
    <row r="450" customFormat="false" ht="15" hidden="false" customHeight="true" outlineLevel="0" collapsed="false">
      <c r="A450" s="1" t="str">
        <f aca="false">'Raw Data'!A449</f>
        <v>S00446</v>
      </c>
      <c r="B450" s="1" t="str">
        <f aca="false">'Raw Data'!B449</f>
        <v>P7453</v>
      </c>
      <c r="C450" s="1" t="str">
        <f aca="false">'Raw Data'!C449</f>
        <v>davidhunt</v>
      </c>
      <c r="D450" s="1" t="str">
        <f aca="false">'Raw Data'!D449</f>
        <v>BattleZone</v>
      </c>
      <c r="E450" s="1" t="str">
        <f aca="false">'Raw Data'!E449</f>
        <v>Console</v>
      </c>
      <c r="F450" s="1" t="str">
        <f aca="false">'Raw Data'!F449</f>
        <v>West</v>
      </c>
      <c r="G450" s="23" t="n">
        <f aca="false">'Raw Data'!G449</f>
        <v>45787</v>
      </c>
      <c r="H450" s="1" t="n">
        <f aca="false">'Raw Data'!H449</f>
        <v>114</v>
      </c>
      <c r="I450" s="24" t="n">
        <f aca="false">'Raw Data'!I449</f>
        <v>0</v>
      </c>
      <c r="J450" s="1" t="str">
        <f aca="false">IF('Raw Data'!J449="None","None",IF(ISBLANK('Raw Data'!J449),"None",'Raw Data'!J449))</f>
        <v>None</v>
      </c>
      <c r="K450" s="1" t="str">
        <f aca="false">'Raw Data'!K449</f>
        <v>Incomplete</v>
      </c>
      <c r="L450" s="1" t="str">
        <f aca="false">'Raw Data'!L449</f>
        <v>Free</v>
      </c>
      <c r="M450" s="1" t="n">
        <f aca="false">'Raw Data'!M449</f>
        <v>22</v>
      </c>
      <c r="N450" s="1" t="str">
        <f aca="false">'Raw Data'!N449</f>
        <v>No</v>
      </c>
    </row>
    <row r="451" customFormat="false" ht="15" hidden="false" customHeight="true" outlineLevel="0" collapsed="false">
      <c r="A451" s="1" t="str">
        <f aca="false">'Raw Data'!A450</f>
        <v>S00447</v>
      </c>
      <c r="B451" s="1" t="str">
        <f aca="false">'Raw Data'!B450</f>
        <v>P1920</v>
      </c>
      <c r="C451" s="1" t="str">
        <f aca="false">'Raw Data'!C450</f>
        <v>fsteele</v>
      </c>
      <c r="D451" s="1" t="str">
        <f aca="false">'Raw Data'!D450</f>
        <v>Empire Wars</v>
      </c>
      <c r="E451" s="1" t="str">
        <f aca="false">'Raw Data'!E450</f>
        <v>Mobile</v>
      </c>
      <c r="F451" s="1" t="str">
        <f aca="false">'Raw Data'!F450</f>
        <v>Central</v>
      </c>
      <c r="G451" s="23" t="n">
        <f aca="false">'Raw Data'!G450</f>
        <v>45654</v>
      </c>
      <c r="H451" s="1" t="n">
        <f aca="false">'Raw Data'!H450</f>
        <v>133</v>
      </c>
      <c r="I451" s="24" t="n">
        <f aca="false">'Raw Data'!I450</f>
        <v>0</v>
      </c>
      <c r="J451" s="1" t="str">
        <f aca="false">IF('Raw Data'!J450="None","None",IF(ISBLANK('Raw Data'!J450),"None",'Raw Data'!J450))</f>
        <v>None</v>
      </c>
      <c r="K451" s="1" t="str">
        <f aca="false">'Raw Data'!K450</f>
        <v>Exited Early</v>
      </c>
      <c r="L451" s="1" t="str">
        <f aca="false">'Raw Data'!L450</f>
        <v>Free</v>
      </c>
      <c r="M451" s="1" t="n">
        <f aca="false">'Raw Data'!M450</f>
        <v>10</v>
      </c>
      <c r="N451" s="1" t="str">
        <f aca="false">'Raw Data'!N450</f>
        <v>No</v>
      </c>
    </row>
    <row r="452" customFormat="false" ht="15" hidden="false" customHeight="true" outlineLevel="0" collapsed="false">
      <c r="A452" s="1" t="str">
        <f aca="false">'Raw Data'!A451</f>
        <v>S00448</v>
      </c>
      <c r="B452" s="1" t="str">
        <f aca="false">'Raw Data'!B451</f>
        <v>P1344</v>
      </c>
      <c r="C452" s="1" t="str">
        <f aca="false">'Raw Data'!C451</f>
        <v>keithunderwood</v>
      </c>
      <c r="D452" s="1" t="str">
        <f aca="false">'Raw Data'!D451</f>
        <v>Zombie Rush</v>
      </c>
      <c r="E452" s="1" t="str">
        <f aca="false">'Raw Data'!E451</f>
        <v>Console</v>
      </c>
      <c r="F452" s="1" t="str">
        <f aca="false">'Raw Data'!F451</f>
        <v>North</v>
      </c>
      <c r="G452" s="23" t="n">
        <f aca="false">'Raw Data'!G451</f>
        <v>45755</v>
      </c>
      <c r="H452" s="1" t="n">
        <f aca="false">'Raw Data'!H451</f>
        <v>104</v>
      </c>
      <c r="I452" s="24" t="n">
        <f aca="false">'Raw Data'!I451</f>
        <v>9.94</v>
      </c>
      <c r="J452" s="1" t="str">
        <f aca="false">IF('Raw Data'!J451="None","None",IF(ISBLANK('Raw Data'!J451),"None",'Raw Data'!J451))</f>
        <v>Subscriptions</v>
      </c>
      <c r="K452" s="1" t="str">
        <f aca="false">'Raw Data'!K451</f>
        <v>Exited Early</v>
      </c>
      <c r="L452" s="1" t="str">
        <f aca="false">'Raw Data'!L451</f>
        <v>Paid</v>
      </c>
      <c r="M452" s="1" t="n">
        <f aca="false">'Raw Data'!M451</f>
        <v>21</v>
      </c>
      <c r="N452" s="1" t="str">
        <f aca="false">'Raw Data'!N451</f>
        <v>No</v>
      </c>
    </row>
    <row r="453" customFormat="false" ht="15" hidden="false" customHeight="true" outlineLevel="0" collapsed="false">
      <c r="A453" s="1" t="str">
        <f aca="false">'Raw Data'!A452</f>
        <v>S00449</v>
      </c>
      <c r="B453" s="1" t="str">
        <f aca="false">'Raw Data'!B452</f>
        <v>P5705</v>
      </c>
      <c r="C453" s="1" t="str">
        <f aca="false">'Raw Data'!C452</f>
        <v>hernandezcatherine</v>
      </c>
      <c r="D453" s="1" t="str">
        <f aca="false">'Raw Data'!D452</f>
        <v>BattleZone</v>
      </c>
      <c r="E453" s="1" t="str">
        <f aca="false">'Raw Data'!E452</f>
        <v>Console</v>
      </c>
      <c r="F453" s="1" t="str">
        <f aca="false">'Raw Data'!F452</f>
        <v>North</v>
      </c>
      <c r="G453" s="23" t="n">
        <f aca="false">'Raw Data'!G452</f>
        <v>45758</v>
      </c>
      <c r="H453" s="1" t="n">
        <f aca="false">'Raw Data'!H452</f>
        <v>108</v>
      </c>
      <c r="I453" s="24" t="n">
        <f aca="false">'Raw Data'!I452</f>
        <v>0</v>
      </c>
      <c r="J453" s="1" t="str">
        <f aca="false">IF('Raw Data'!J452="None","None",IF(ISBLANK('Raw Data'!J452),"None",'Raw Data'!J452))</f>
        <v>None</v>
      </c>
      <c r="K453" s="1" t="str">
        <f aca="false">'Raw Data'!K452</f>
        <v>Crashed</v>
      </c>
      <c r="L453" s="1" t="str">
        <f aca="false">'Raw Data'!L452</f>
        <v>Free</v>
      </c>
      <c r="M453" s="1" t="n">
        <f aca="false">'Raw Data'!M452</f>
        <v>22</v>
      </c>
      <c r="N453" s="1" t="str">
        <f aca="false">'Raw Data'!N452</f>
        <v>No</v>
      </c>
    </row>
    <row r="454" customFormat="false" ht="15" hidden="false" customHeight="true" outlineLevel="0" collapsed="false">
      <c r="A454" s="1" t="str">
        <f aca="false">'Raw Data'!A453</f>
        <v>S00450</v>
      </c>
      <c r="B454" s="1" t="str">
        <f aca="false">'Raw Data'!B453</f>
        <v>P3198</v>
      </c>
      <c r="C454" s="1" t="str">
        <f aca="false">'Raw Data'!C453</f>
        <v>bherrera</v>
      </c>
      <c r="D454" s="1" t="str">
        <f aca="false">'Raw Data'!D453</f>
        <v>Zombie Rush</v>
      </c>
      <c r="E454" s="1" t="str">
        <f aca="false">'Raw Data'!E453</f>
        <v>Mobile</v>
      </c>
      <c r="F454" s="1" t="str">
        <f aca="false">'Raw Data'!F453</f>
        <v>East</v>
      </c>
      <c r="G454" s="23" t="n">
        <f aca="false">'Raw Data'!G453</f>
        <v>45724</v>
      </c>
      <c r="H454" s="1" t="n">
        <f aca="false">'Raw Data'!H453</f>
        <v>63</v>
      </c>
      <c r="I454" s="24" t="n">
        <f aca="false">'Raw Data'!I453</f>
        <v>0</v>
      </c>
      <c r="J454" s="1" t="str">
        <f aca="false">IF('Raw Data'!J453="None","None",IF(ISBLANK('Raw Data'!J453),"None",'Raw Data'!J453))</f>
        <v>None</v>
      </c>
      <c r="K454" s="1" t="str">
        <f aca="false">'Raw Data'!K453</f>
        <v>Completed</v>
      </c>
      <c r="L454" s="1" t="str">
        <f aca="false">'Raw Data'!L453</f>
        <v>Free</v>
      </c>
      <c r="M454" s="1" t="n">
        <f aca="false">'Raw Data'!M453</f>
        <v>25</v>
      </c>
      <c r="N454" s="1" t="str">
        <f aca="false">'Raw Data'!N453</f>
        <v>No</v>
      </c>
    </row>
    <row r="455" customFormat="false" ht="15" hidden="false" customHeight="true" outlineLevel="0" collapsed="false">
      <c r="A455" s="1" t="str">
        <f aca="false">'Raw Data'!A454</f>
        <v>S00451</v>
      </c>
      <c r="B455" s="1" t="str">
        <f aca="false">'Raw Data'!B454</f>
        <v>P5894</v>
      </c>
      <c r="C455" s="1" t="str">
        <f aca="false">'Raw Data'!C454</f>
        <v>chendavid</v>
      </c>
      <c r="D455" s="1" t="str">
        <f aca="false">'Raw Data'!D454</f>
        <v>Empire Wars</v>
      </c>
      <c r="E455" s="1" t="str">
        <f aca="false">'Raw Data'!E454</f>
        <v>Mobile</v>
      </c>
      <c r="F455" s="1" t="str">
        <f aca="false">'Raw Data'!F454</f>
        <v>North</v>
      </c>
      <c r="G455" s="23" t="n">
        <f aca="false">'Raw Data'!G454</f>
        <v>45660</v>
      </c>
      <c r="H455" s="1" t="n">
        <f aca="false">'Raw Data'!H454</f>
        <v>33</v>
      </c>
      <c r="I455" s="24" t="n">
        <f aca="false">'Raw Data'!I454</f>
        <v>0</v>
      </c>
      <c r="J455" s="1" t="str">
        <f aca="false">IF('Raw Data'!J454="None","None",IF(ISBLANK('Raw Data'!J454),"None",'Raw Data'!J454))</f>
        <v>None</v>
      </c>
      <c r="K455" s="1" t="str">
        <f aca="false">'Raw Data'!K454</f>
        <v>Completed</v>
      </c>
      <c r="L455" s="1" t="str">
        <f aca="false">'Raw Data'!L454</f>
        <v>Free</v>
      </c>
      <c r="M455" s="1" t="n">
        <f aca="false">'Raw Data'!M454</f>
        <v>32</v>
      </c>
      <c r="N455" s="1" t="str">
        <f aca="false">'Raw Data'!N454</f>
        <v>No</v>
      </c>
    </row>
    <row r="456" customFormat="false" ht="15" hidden="false" customHeight="true" outlineLevel="0" collapsed="false">
      <c r="A456" s="1" t="str">
        <f aca="false">'Raw Data'!A455</f>
        <v>S00452</v>
      </c>
      <c r="B456" s="1" t="str">
        <f aca="false">'Raw Data'!B455</f>
        <v>P9365</v>
      </c>
      <c r="C456" s="1" t="str">
        <f aca="false">'Raw Data'!C455</f>
        <v>rware</v>
      </c>
      <c r="D456" s="1" t="str">
        <f aca="false">'Raw Data'!D455</f>
        <v>SpeedX</v>
      </c>
      <c r="E456" s="1" t="str">
        <f aca="false">'Raw Data'!E455</f>
        <v>Mobile</v>
      </c>
      <c r="F456" s="1" t="str">
        <f aca="false">'Raw Data'!F455</f>
        <v>North-East</v>
      </c>
      <c r="G456" s="23" t="n">
        <f aca="false">'Raw Data'!G455</f>
        <v>45791</v>
      </c>
      <c r="H456" s="1" t="n">
        <f aca="false">'Raw Data'!H455</f>
        <v>39</v>
      </c>
      <c r="I456" s="24" t="n">
        <f aca="false">'Raw Data'!I455</f>
        <v>0</v>
      </c>
      <c r="J456" s="1" t="str">
        <f aca="false">IF('Raw Data'!J455="None","None",IF(ISBLANK('Raw Data'!J455),"None",'Raw Data'!J455))</f>
        <v>None</v>
      </c>
      <c r="K456" s="1" t="str">
        <f aca="false">'Raw Data'!K455</f>
        <v>Completed</v>
      </c>
      <c r="L456" s="1" t="str">
        <f aca="false">'Raw Data'!L455</f>
        <v>Free</v>
      </c>
      <c r="M456" s="1" t="n">
        <f aca="false">'Raw Data'!M455</f>
        <v>42</v>
      </c>
      <c r="N456" s="1" t="str">
        <f aca="false">'Raw Data'!N455</f>
        <v>No</v>
      </c>
    </row>
    <row r="457" customFormat="false" ht="15" hidden="false" customHeight="true" outlineLevel="0" collapsed="false">
      <c r="A457" s="1" t="str">
        <f aca="false">'Raw Data'!A456</f>
        <v>S00453</v>
      </c>
      <c r="B457" s="1" t="str">
        <f aca="false">'Raw Data'!B456</f>
        <v>P7874</v>
      </c>
      <c r="C457" s="1" t="str">
        <f aca="false">'Raw Data'!C456</f>
        <v>gloriajohnson</v>
      </c>
      <c r="D457" s="1" t="str">
        <f aca="false">'Raw Data'!D456</f>
        <v>Empire Wars</v>
      </c>
      <c r="E457" s="1" t="str">
        <f aca="false">'Raw Data'!E456</f>
        <v>PC</v>
      </c>
      <c r="F457" s="1" t="str">
        <f aca="false">'Raw Data'!F456</f>
        <v>West</v>
      </c>
      <c r="G457" s="23" t="n">
        <f aca="false">'Raw Data'!G456</f>
        <v>45714</v>
      </c>
      <c r="H457" s="1" t="n">
        <f aca="false">'Raw Data'!H456</f>
        <v>11</v>
      </c>
      <c r="I457" s="24" t="n">
        <f aca="false">'Raw Data'!I456</f>
        <v>0</v>
      </c>
      <c r="J457" s="1" t="str">
        <f aca="false">IF('Raw Data'!J456="None","None",IF(ISBLANK('Raw Data'!J456),"None",'Raw Data'!J456))</f>
        <v>None</v>
      </c>
      <c r="K457" s="1" t="str">
        <f aca="false">'Raw Data'!K456</f>
        <v>Exited Early</v>
      </c>
      <c r="L457" s="1" t="str">
        <f aca="false">'Raw Data'!L456</f>
        <v>Free</v>
      </c>
      <c r="M457" s="1" t="n">
        <f aca="false">'Raw Data'!M456</f>
        <v>12</v>
      </c>
      <c r="N457" s="1" t="str">
        <f aca="false">'Raw Data'!N456</f>
        <v>No</v>
      </c>
    </row>
    <row r="458" customFormat="false" ht="15" hidden="false" customHeight="true" outlineLevel="0" collapsed="false">
      <c r="A458" s="1" t="str">
        <f aca="false">'Raw Data'!A457</f>
        <v>S00454</v>
      </c>
      <c r="B458" s="1" t="str">
        <f aca="false">'Raw Data'!B457</f>
        <v>P4547</v>
      </c>
      <c r="C458" s="1" t="str">
        <f aca="false">'Raw Data'!C457</f>
        <v>allenvictor</v>
      </c>
      <c r="D458" s="1" t="str">
        <f aca="false">'Raw Data'!D457</f>
        <v>SpeedX</v>
      </c>
      <c r="E458" s="1" t="str">
        <f aca="false">'Raw Data'!E457</f>
        <v>Mobile</v>
      </c>
      <c r="F458" s="1" t="str">
        <f aca="false">'Raw Data'!F457</f>
        <v>North</v>
      </c>
      <c r="G458" s="23" t="n">
        <f aca="false">'Raw Data'!G457</f>
        <v>45708</v>
      </c>
      <c r="H458" s="1" t="n">
        <f aca="false">'Raw Data'!H457</f>
        <v>142</v>
      </c>
      <c r="I458" s="24" t="n">
        <f aca="false">'Raw Data'!I457</f>
        <v>0</v>
      </c>
      <c r="J458" s="1" t="str">
        <f aca="false">IF('Raw Data'!J457="None","None",IF(ISBLANK('Raw Data'!J457),"None",'Raw Data'!J457))</f>
        <v>None</v>
      </c>
      <c r="K458" s="1" t="str">
        <f aca="false">'Raw Data'!K457</f>
        <v>Completed</v>
      </c>
      <c r="L458" s="1" t="str">
        <f aca="false">'Raw Data'!L457</f>
        <v>Free</v>
      </c>
      <c r="M458" s="1" t="n">
        <f aca="false">'Raw Data'!M457</f>
        <v>32</v>
      </c>
      <c r="N458" s="1" t="str">
        <f aca="false">'Raw Data'!N457</f>
        <v>No</v>
      </c>
    </row>
    <row r="459" customFormat="false" ht="15" hidden="false" customHeight="true" outlineLevel="0" collapsed="false">
      <c r="A459" s="1" t="str">
        <f aca="false">'Raw Data'!A458</f>
        <v>S00455</v>
      </c>
      <c r="B459" s="1" t="str">
        <f aca="false">'Raw Data'!B458</f>
        <v>P4283</v>
      </c>
      <c r="C459" s="1" t="str">
        <f aca="false">'Raw Data'!C458</f>
        <v>sheiladavis</v>
      </c>
      <c r="D459" s="1" t="str">
        <f aca="false">'Raw Data'!D458</f>
        <v>Clash of Realms</v>
      </c>
      <c r="E459" s="1" t="str">
        <f aca="false">'Raw Data'!E458</f>
        <v>PC</v>
      </c>
      <c r="F459" s="1" t="str">
        <f aca="false">'Raw Data'!F458</f>
        <v>Central</v>
      </c>
      <c r="G459" s="23" t="n">
        <f aca="false">'Raw Data'!G458</f>
        <v>45669</v>
      </c>
      <c r="H459" s="1" t="n">
        <f aca="false">'Raw Data'!H458</f>
        <v>123</v>
      </c>
      <c r="I459" s="24" t="n">
        <f aca="false">'Raw Data'!I458</f>
        <v>22.4</v>
      </c>
      <c r="J459" s="1" t="str">
        <f aca="false">IF('Raw Data'!J458="None","None",IF(ISBLANK('Raw Data'!J458),"None",'Raw Data'!J458))</f>
        <v>Skins</v>
      </c>
      <c r="K459" s="1" t="str">
        <f aca="false">'Raw Data'!K458</f>
        <v>Completed</v>
      </c>
      <c r="L459" s="1" t="str">
        <f aca="false">'Raw Data'!L458</f>
        <v>Paid</v>
      </c>
      <c r="M459" s="1" t="n">
        <f aca="false">'Raw Data'!M458</f>
        <v>33</v>
      </c>
      <c r="N459" s="1" t="str">
        <f aca="false">'Raw Data'!N458</f>
        <v>No</v>
      </c>
    </row>
    <row r="460" customFormat="false" ht="15" hidden="false" customHeight="true" outlineLevel="0" collapsed="false">
      <c r="A460" s="1" t="str">
        <f aca="false">'Raw Data'!A459</f>
        <v>S00456</v>
      </c>
      <c r="B460" s="1" t="str">
        <f aca="false">'Raw Data'!B459</f>
        <v>P8176</v>
      </c>
      <c r="C460" s="1" t="str">
        <f aca="false">'Raw Data'!C459</f>
        <v>tgill</v>
      </c>
      <c r="D460" s="1" t="str">
        <f aca="false">'Raw Data'!D459</f>
        <v>BattleZone</v>
      </c>
      <c r="E460" s="1" t="str">
        <f aca="false">'Raw Data'!E459</f>
        <v>Console</v>
      </c>
      <c r="F460" s="1" t="str">
        <f aca="false">'Raw Data'!F459</f>
        <v>South</v>
      </c>
      <c r="G460" s="23" t="n">
        <f aca="false">'Raw Data'!G459</f>
        <v>45735</v>
      </c>
      <c r="H460" s="1" t="n">
        <f aca="false">'Raw Data'!H459</f>
        <v>132</v>
      </c>
      <c r="I460" s="24" t="n">
        <f aca="false">'Raw Data'!I459</f>
        <v>28.89</v>
      </c>
      <c r="J460" s="1" t="str">
        <f aca="false">IF('Raw Data'!J459="None","None",IF(ISBLANK('Raw Data'!J459),"None",'Raw Data'!J459))</f>
        <v>Battle Pass</v>
      </c>
      <c r="K460" s="1" t="str">
        <f aca="false">'Raw Data'!K459</f>
        <v>Completed</v>
      </c>
      <c r="L460" s="1" t="str">
        <f aca="false">'Raw Data'!L459</f>
        <v>Paid</v>
      </c>
      <c r="M460" s="1" t="n">
        <f aca="false">'Raw Data'!M459</f>
        <v>26</v>
      </c>
      <c r="N460" s="1" t="str">
        <f aca="false">'Raw Data'!N459</f>
        <v>No</v>
      </c>
    </row>
    <row r="461" customFormat="false" ht="15" hidden="false" customHeight="true" outlineLevel="0" collapsed="false">
      <c r="A461" s="1" t="str">
        <f aca="false">'Raw Data'!A460</f>
        <v>S00457</v>
      </c>
      <c r="B461" s="1" t="str">
        <f aca="false">'Raw Data'!B460</f>
        <v>P5820</v>
      </c>
      <c r="C461" s="1" t="str">
        <f aca="false">'Raw Data'!C460</f>
        <v>lindagalloway</v>
      </c>
      <c r="D461" s="1" t="str">
        <f aca="false">'Raw Data'!D460</f>
        <v>Empire Wars</v>
      </c>
      <c r="E461" s="1" t="str">
        <f aca="false">'Raw Data'!E460</f>
        <v>Mobile</v>
      </c>
      <c r="F461" s="1" t="str">
        <f aca="false">'Raw Data'!F460</f>
        <v>North-East</v>
      </c>
      <c r="G461" s="23" t="n">
        <f aca="false">'Raw Data'!G460</f>
        <v>45655</v>
      </c>
      <c r="H461" s="1" t="n">
        <f aca="false">'Raw Data'!H460</f>
        <v>113</v>
      </c>
      <c r="I461" s="24" t="n">
        <f aca="false">'Raw Data'!I460</f>
        <v>0</v>
      </c>
      <c r="J461" s="1" t="str">
        <f aca="false">IF('Raw Data'!J460="None","None",IF(ISBLANK('Raw Data'!J460),"None",'Raw Data'!J460))</f>
        <v>None</v>
      </c>
      <c r="K461" s="1" t="str">
        <f aca="false">'Raw Data'!K460</f>
        <v>Completed</v>
      </c>
      <c r="L461" s="1" t="str">
        <f aca="false">'Raw Data'!L460</f>
        <v>Free</v>
      </c>
      <c r="M461" s="1" t="n">
        <f aca="false">'Raw Data'!M460</f>
        <v>17</v>
      </c>
      <c r="N461" s="1" t="str">
        <f aca="false">'Raw Data'!N460</f>
        <v>No</v>
      </c>
    </row>
    <row r="462" customFormat="false" ht="15" hidden="false" customHeight="true" outlineLevel="0" collapsed="false">
      <c r="A462" s="1" t="str">
        <f aca="false">'Raw Data'!A461</f>
        <v>S00458</v>
      </c>
      <c r="B462" s="1" t="str">
        <f aca="false">'Raw Data'!B461</f>
        <v>P8552</v>
      </c>
      <c r="C462" s="1" t="str">
        <f aca="false">'Raw Data'!C461</f>
        <v>jbriggs</v>
      </c>
      <c r="D462" s="1" t="str">
        <f aca="false">'Raw Data'!D461</f>
        <v>Clash of Realms</v>
      </c>
      <c r="E462" s="1" t="str">
        <f aca="false">'Raw Data'!E461</f>
        <v>Console</v>
      </c>
      <c r="F462" s="1" t="str">
        <f aca="false">'Raw Data'!F461</f>
        <v>South</v>
      </c>
      <c r="G462" s="23" t="n">
        <f aca="false">'Raw Data'!G461</f>
        <v>45666</v>
      </c>
      <c r="H462" s="1" t="n">
        <f aca="false">'Raw Data'!H461</f>
        <v>92</v>
      </c>
      <c r="I462" s="24" t="n">
        <f aca="false">'Raw Data'!I461</f>
        <v>0</v>
      </c>
      <c r="J462" s="1" t="str">
        <f aca="false">IF('Raw Data'!J461="None","None",IF(ISBLANK('Raw Data'!J461),"None",'Raw Data'!J461))</f>
        <v>None</v>
      </c>
      <c r="K462" s="1" t="str">
        <f aca="false">'Raw Data'!K461</f>
        <v>Completed</v>
      </c>
      <c r="L462" s="1" t="str">
        <f aca="false">'Raw Data'!L461</f>
        <v>Free</v>
      </c>
      <c r="M462" s="1" t="n">
        <f aca="false">'Raw Data'!M461</f>
        <v>33</v>
      </c>
      <c r="N462" s="1" t="str">
        <f aca="false">'Raw Data'!N461</f>
        <v>No</v>
      </c>
    </row>
    <row r="463" customFormat="false" ht="15" hidden="false" customHeight="true" outlineLevel="0" collapsed="false">
      <c r="A463" s="1" t="str">
        <f aca="false">'Raw Data'!A462</f>
        <v>S00459</v>
      </c>
      <c r="B463" s="1" t="str">
        <f aca="false">'Raw Data'!B462</f>
        <v>P5695</v>
      </c>
      <c r="C463" s="1" t="str">
        <f aca="false">'Raw Data'!C462</f>
        <v>danielleonard</v>
      </c>
      <c r="D463" s="1" t="str">
        <f aca="false">'Raw Data'!D462</f>
        <v>Clash of Realms</v>
      </c>
      <c r="E463" s="1" t="str">
        <f aca="false">'Raw Data'!E462</f>
        <v>Console</v>
      </c>
      <c r="F463" s="1" t="str">
        <f aca="false">'Raw Data'!F462</f>
        <v>Central</v>
      </c>
      <c r="G463" s="23" t="n">
        <f aca="false">'Raw Data'!G462</f>
        <v>45654</v>
      </c>
      <c r="H463" s="1" t="n">
        <f aca="false">'Raw Data'!H462</f>
        <v>44</v>
      </c>
      <c r="I463" s="24" t="n">
        <f aca="false">'Raw Data'!I462</f>
        <v>0</v>
      </c>
      <c r="J463" s="1" t="str">
        <f aca="false">IF('Raw Data'!J462="None","None",IF(ISBLANK('Raw Data'!J462),"None",'Raw Data'!J462))</f>
        <v>None</v>
      </c>
      <c r="K463" s="1" t="str">
        <f aca="false">'Raw Data'!K462</f>
        <v>Completed</v>
      </c>
      <c r="L463" s="1" t="str">
        <f aca="false">'Raw Data'!L462</f>
        <v>Free</v>
      </c>
      <c r="M463" s="1" t="n">
        <f aca="false">'Raw Data'!M462</f>
        <v>21</v>
      </c>
      <c r="N463" s="1" t="str">
        <f aca="false">'Raw Data'!N462</f>
        <v>No</v>
      </c>
    </row>
    <row r="464" customFormat="false" ht="15" hidden="false" customHeight="true" outlineLevel="0" collapsed="false">
      <c r="A464" s="1" t="str">
        <f aca="false">'Raw Data'!A463</f>
        <v>S00460</v>
      </c>
      <c r="B464" s="1" t="str">
        <f aca="false">'Raw Data'!B463</f>
        <v>P6581</v>
      </c>
      <c r="C464" s="1" t="str">
        <f aca="false">'Raw Data'!C463</f>
        <v>ramirezandrea</v>
      </c>
      <c r="D464" s="1" t="str">
        <f aca="false">'Raw Data'!D463</f>
        <v>SpeedX</v>
      </c>
      <c r="E464" s="1" t="str">
        <f aca="false">'Raw Data'!E463</f>
        <v>Mobile</v>
      </c>
      <c r="F464" s="1" t="str">
        <f aca="false">'Raw Data'!F463</f>
        <v>West</v>
      </c>
      <c r="G464" s="23" t="n">
        <f aca="false">'Raw Data'!G463</f>
        <v>45722</v>
      </c>
      <c r="H464" s="1" t="n">
        <f aca="false">'Raw Data'!H463</f>
        <v>17</v>
      </c>
      <c r="I464" s="24" t="n">
        <f aca="false">'Raw Data'!I463</f>
        <v>0</v>
      </c>
      <c r="J464" s="1" t="str">
        <f aca="false">IF('Raw Data'!J463="None","None",IF(ISBLANK('Raw Data'!J463),"None",'Raw Data'!J463))</f>
        <v>None</v>
      </c>
      <c r="K464" s="1" t="str">
        <f aca="false">'Raw Data'!K463</f>
        <v>Completed</v>
      </c>
      <c r="L464" s="1" t="str">
        <f aca="false">'Raw Data'!L463</f>
        <v>Free</v>
      </c>
      <c r="M464" s="1" t="n">
        <f aca="false">'Raw Data'!M463</f>
        <v>1</v>
      </c>
      <c r="N464" s="1" t="str">
        <f aca="false">'Raw Data'!N463</f>
        <v>No</v>
      </c>
    </row>
    <row r="465" customFormat="false" ht="15" hidden="false" customHeight="true" outlineLevel="0" collapsed="false">
      <c r="A465" s="1" t="str">
        <f aca="false">'Raw Data'!A464</f>
        <v>S00461</v>
      </c>
      <c r="B465" s="1" t="str">
        <f aca="false">'Raw Data'!B464</f>
        <v>P4636</v>
      </c>
      <c r="C465" s="1" t="str">
        <f aca="false">'Raw Data'!C464</f>
        <v>jeffreyjohnson</v>
      </c>
      <c r="D465" s="1" t="str">
        <f aca="false">'Raw Data'!D464</f>
        <v>SpeedX</v>
      </c>
      <c r="E465" s="1" t="str">
        <f aca="false">'Raw Data'!E464</f>
        <v>PC</v>
      </c>
      <c r="F465" s="1" t="str">
        <f aca="false">'Raw Data'!F464</f>
        <v>East</v>
      </c>
      <c r="G465" s="23" t="n">
        <f aca="false">'Raw Data'!G464</f>
        <v>45690</v>
      </c>
      <c r="H465" s="1" t="n">
        <f aca="false">'Raw Data'!H464</f>
        <v>52</v>
      </c>
      <c r="I465" s="24" t="n">
        <f aca="false">'Raw Data'!I464</f>
        <v>0</v>
      </c>
      <c r="J465" s="1" t="str">
        <f aca="false">IF('Raw Data'!J464="None","None",IF(ISBLANK('Raw Data'!J464),"None",'Raw Data'!J464))</f>
        <v>None</v>
      </c>
      <c r="K465" s="1" t="str">
        <f aca="false">'Raw Data'!K464</f>
        <v>Exited Early</v>
      </c>
      <c r="L465" s="1" t="str">
        <f aca="false">'Raw Data'!L464</f>
        <v>Free</v>
      </c>
      <c r="M465" s="1" t="n">
        <f aca="false">'Raw Data'!M464</f>
        <v>19</v>
      </c>
      <c r="N465" s="1" t="str">
        <f aca="false">'Raw Data'!N464</f>
        <v>No</v>
      </c>
    </row>
    <row r="466" customFormat="false" ht="15" hidden="false" customHeight="true" outlineLevel="0" collapsed="false">
      <c r="A466" s="1" t="str">
        <f aca="false">'Raw Data'!A465</f>
        <v>S00462</v>
      </c>
      <c r="B466" s="1" t="str">
        <f aca="false">'Raw Data'!B465</f>
        <v>P2853</v>
      </c>
      <c r="C466" s="1" t="str">
        <f aca="false">'Raw Data'!C465</f>
        <v>dannyforbes</v>
      </c>
      <c r="D466" s="1" t="str">
        <f aca="false">'Raw Data'!D465</f>
        <v>Empire Wars</v>
      </c>
      <c r="E466" s="1" t="str">
        <f aca="false">'Raw Data'!E465</f>
        <v>Mobile</v>
      </c>
      <c r="F466" s="1" t="str">
        <f aca="false">'Raw Data'!F465</f>
        <v>West</v>
      </c>
      <c r="G466" s="23" t="n">
        <f aca="false">'Raw Data'!G465</f>
        <v>45676</v>
      </c>
      <c r="H466" s="1" t="n">
        <f aca="false">'Raw Data'!H465</f>
        <v>51</v>
      </c>
      <c r="I466" s="24" t="n">
        <f aca="false">'Raw Data'!I465</f>
        <v>20.97</v>
      </c>
      <c r="J466" s="1" t="str">
        <f aca="false">IF('Raw Data'!J465="None","None",IF(ISBLANK('Raw Data'!J465),"None",'Raw Data'!J465))</f>
        <v>Skins</v>
      </c>
      <c r="K466" s="1" t="str">
        <f aca="false">'Raw Data'!K465</f>
        <v>Completed</v>
      </c>
      <c r="L466" s="1" t="str">
        <f aca="false">'Raw Data'!L465</f>
        <v>Paid</v>
      </c>
      <c r="M466" s="1" t="n">
        <f aca="false">'Raw Data'!M465</f>
        <v>31</v>
      </c>
      <c r="N466" s="1" t="str">
        <f aca="false">'Raw Data'!N465</f>
        <v>No</v>
      </c>
    </row>
    <row r="467" customFormat="false" ht="15" hidden="false" customHeight="true" outlineLevel="0" collapsed="false">
      <c r="A467" s="1" t="str">
        <f aca="false">'Raw Data'!A466</f>
        <v>S00463</v>
      </c>
      <c r="B467" s="1" t="str">
        <f aca="false">'Raw Data'!B466</f>
        <v>P3252</v>
      </c>
      <c r="C467" s="1" t="str">
        <f aca="false">'Raw Data'!C466</f>
        <v>wallacedebra</v>
      </c>
      <c r="D467" s="1" t="str">
        <f aca="false">'Raw Data'!D466</f>
        <v>BattleZone</v>
      </c>
      <c r="E467" s="1" t="str">
        <f aca="false">'Raw Data'!E466</f>
        <v>PC</v>
      </c>
      <c r="F467" s="1" t="str">
        <f aca="false">'Raw Data'!F466</f>
        <v>North</v>
      </c>
      <c r="G467" s="23" t="n">
        <f aca="false">'Raw Data'!G466</f>
        <v>45694</v>
      </c>
      <c r="H467" s="1" t="n">
        <f aca="false">'Raw Data'!H466</f>
        <v>94</v>
      </c>
      <c r="I467" s="24" t="n">
        <f aca="false">'Raw Data'!I466</f>
        <v>0</v>
      </c>
      <c r="J467" s="1" t="str">
        <f aca="false">IF('Raw Data'!J466="None","None",IF(ISBLANK('Raw Data'!J466),"None",'Raw Data'!J466))</f>
        <v>None</v>
      </c>
      <c r="K467" s="1" t="str">
        <f aca="false">'Raw Data'!K466</f>
        <v>Completed</v>
      </c>
      <c r="L467" s="1" t="str">
        <f aca="false">'Raw Data'!L466</f>
        <v>Free</v>
      </c>
      <c r="M467" s="1" t="n">
        <f aca="false">'Raw Data'!M466</f>
        <v>43</v>
      </c>
      <c r="N467" s="1" t="str">
        <f aca="false">'Raw Data'!N466</f>
        <v>No</v>
      </c>
    </row>
    <row r="468" customFormat="false" ht="15" hidden="false" customHeight="true" outlineLevel="0" collapsed="false">
      <c r="A468" s="1" t="str">
        <f aca="false">'Raw Data'!A467</f>
        <v>S00464</v>
      </c>
      <c r="B468" s="1" t="str">
        <f aca="false">'Raw Data'!B467</f>
        <v>P2743</v>
      </c>
      <c r="C468" s="1" t="str">
        <f aca="false">'Raw Data'!C467</f>
        <v>jennifersmith</v>
      </c>
      <c r="D468" s="1" t="str">
        <f aca="false">'Raw Data'!D467</f>
        <v>Empire Wars</v>
      </c>
      <c r="E468" s="1" t="str">
        <f aca="false">'Raw Data'!E467</f>
        <v>Mobile</v>
      </c>
      <c r="F468" s="1" t="str">
        <f aca="false">'Raw Data'!F467</f>
        <v>West</v>
      </c>
      <c r="G468" s="23" t="n">
        <f aca="false">'Raw Data'!G467</f>
        <v>45782</v>
      </c>
      <c r="H468" s="1" t="n">
        <f aca="false">'Raw Data'!H467</f>
        <v>63</v>
      </c>
      <c r="I468" s="24" t="n">
        <f aca="false">'Raw Data'!I467</f>
        <v>0</v>
      </c>
      <c r="J468" s="1" t="str">
        <f aca="false">IF('Raw Data'!J467="None","None",IF(ISBLANK('Raw Data'!J467),"None",'Raw Data'!J467))</f>
        <v>None</v>
      </c>
      <c r="K468" s="1" t="str">
        <f aca="false">'Raw Data'!K467</f>
        <v>Completed</v>
      </c>
      <c r="L468" s="1" t="str">
        <f aca="false">'Raw Data'!L467</f>
        <v>Paid</v>
      </c>
      <c r="M468" s="1" t="n">
        <f aca="false">'Raw Data'!M467</f>
        <v>43</v>
      </c>
      <c r="N468" s="1" t="str">
        <f aca="false">'Raw Data'!N467</f>
        <v>No</v>
      </c>
    </row>
    <row r="469" customFormat="false" ht="15" hidden="false" customHeight="true" outlineLevel="0" collapsed="false">
      <c r="A469" s="1" t="str">
        <f aca="false">'Raw Data'!A468</f>
        <v>S00465</v>
      </c>
      <c r="B469" s="1" t="str">
        <f aca="false">'Raw Data'!B468</f>
        <v>P1878</v>
      </c>
      <c r="C469" s="1" t="str">
        <f aca="false">'Raw Data'!C468</f>
        <v>steven19</v>
      </c>
      <c r="D469" s="1" t="str">
        <f aca="false">'Raw Data'!D468</f>
        <v>Empire Wars</v>
      </c>
      <c r="E469" s="1" t="str">
        <f aca="false">'Raw Data'!E468</f>
        <v>Mobile</v>
      </c>
      <c r="F469" s="1" t="str">
        <f aca="false">'Raw Data'!F468</f>
        <v>North-East</v>
      </c>
      <c r="G469" s="23" t="n">
        <f aca="false">'Raw Data'!G468</f>
        <v>45725</v>
      </c>
      <c r="H469" s="1" t="n">
        <f aca="false">'Raw Data'!H468</f>
        <v>172</v>
      </c>
      <c r="I469" s="24" t="n">
        <f aca="false">'Raw Data'!I468</f>
        <v>0</v>
      </c>
      <c r="J469" s="1" t="str">
        <f aca="false">IF('Raw Data'!J468="None","None",IF(ISBLANK('Raw Data'!J468),"None",'Raw Data'!J468))</f>
        <v>None</v>
      </c>
      <c r="K469" s="1" t="str">
        <f aca="false">'Raw Data'!K468</f>
        <v>Completed</v>
      </c>
      <c r="L469" s="1" t="str">
        <f aca="false">'Raw Data'!L468</f>
        <v>Free</v>
      </c>
      <c r="M469" s="1" t="n">
        <f aca="false">'Raw Data'!M468</f>
        <v>15</v>
      </c>
      <c r="N469" s="1" t="str">
        <f aca="false">'Raw Data'!N468</f>
        <v>Yes</v>
      </c>
    </row>
    <row r="470" customFormat="false" ht="15" hidden="false" customHeight="true" outlineLevel="0" collapsed="false">
      <c r="A470" s="1" t="str">
        <f aca="false">'Raw Data'!A469</f>
        <v>S00466</v>
      </c>
      <c r="B470" s="1" t="str">
        <f aca="false">'Raw Data'!B469</f>
        <v>P1450</v>
      </c>
      <c r="C470" s="1" t="str">
        <f aca="false">'Raw Data'!C469</f>
        <v>jacob95</v>
      </c>
      <c r="D470" s="1" t="str">
        <f aca="false">'Raw Data'!D469</f>
        <v>Zombie Rush</v>
      </c>
      <c r="E470" s="1" t="str">
        <f aca="false">'Raw Data'!E469</f>
        <v>Console</v>
      </c>
      <c r="F470" s="1" t="str">
        <f aca="false">'Raw Data'!F469</f>
        <v>Central</v>
      </c>
      <c r="G470" s="23" t="n">
        <f aca="false">'Raw Data'!G469</f>
        <v>45651</v>
      </c>
      <c r="H470" s="1" t="n">
        <f aca="false">'Raw Data'!H469</f>
        <v>38</v>
      </c>
      <c r="I470" s="24" t="n">
        <f aca="false">'Raw Data'!I469</f>
        <v>0</v>
      </c>
      <c r="J470" s="1" t="str">
        <f aca="false">IF('Raw Data'!J469="None","None",IF(ISBLANK('Raw Data'!J469),"None",'Raw Data'!J469))</f>
        <v>None</v>
      </c>
      <c r="K470" s="1" t="str">
        <f aca="false">'Raw Data'!K469</f>
        <v>Exited Early</v>
      </c>
      <c r="L470" s="1" t="str">
        <f aca="false">'Raw Data'!L469</f>
        <v>Free</v>
      </c>
      <c r="M470" s="1" t="n">
        <f aca="false">'Raw Data'!M469</f>
        <v>23</v>
      </c>
      <c r="N470" s="1" t="str">
        <f aca="false">'Raw Data'!N469</f>
        <v>No</v>
      </c>
    </row>
    <row r="471" customFormat="false" ht="15" hidden="false" customHeight="true" outlineLevel="0" collapsed="false">
      <c r="A471" s="1" t="str">
        <f aca="false">'Raw Data'!A470</f>
        <v>S00467</v>
      </c>
      <c r="B471" s="1" t="str">
        <f aca="false">'Raw Data'!B470</f>
        <v>P3228</v>
      </c>
      <c r="C471" s="1" t="str">
        <f aca="false">'Raw Data'!C470</f>
        <v>mlewis</v>
      </c>
      <c r="D471" s="1" t="str">
        <f aca="false">'Raw Data'!D470</f>
        <v>Clash of Realms</v>
      </c>
      <c r="E471" s="1" t="str">
        <f aca="false">'Raw Data'!E470</f>
        <v>Console</v>
      </c>
      <c r="F471" s="1" t="str">
        <f aca="false">'Raw Data'!F470</f>
        <v>North-East</v>
      </c>
      <c r="G471" s="23" t="n">
        <f aca="false">'Raw Data'!G470</f>
        <v>45654</v>
      </c>
      <c r="H471" s="1" t="n">
        <f aca="false">'Raw Data'!H470</f>
        <v>132</v>
      </c>
      <c r="I471" s="24" t="n">
        <f aca="false">'Raw Data'!I470</f>
        <v>18</v>
      </c>
      <c r="J471" s="1" t="str">
        <f aca="false">IF('Raw Data'!J470="None","None",IF(ISBLANK('Raw Data'!J470),"None",'Raw Data'!J470))</f>
        <v>Battle Pass</v>
      </c>
      <c r="K471" s="1" t="str">
        <f aca="false">'Raw Data'!K470</f>
        <v>Crashed</v>
      </c>
      <c r="L471" s="1" t="str">
        <f aca="false">'Raw Data'!L470</f>
        <v>Paid</v>
      </c>
      <c r="M471" s="1" t="n">
        <f aca="false">'Raw Data'!M470</f>
        <v>3</v>
      </c>
      <c r="N471" s="1" t="str">
        <f aca="false">'Raw Data'!N470</f>
        <v>No</v>
      </c>
    </row>
    <row r="472" customFormat="false" ht="15" hidden="false" customHeight="true" outlineLevel="0" collapsed="false">
      <c r="A472" s="1" t="str">
        <f aca="false">'Raw Data'!A471</f>
        <v>S00468</v>
      </c>
      <c r="B472" s="1" t="str">
        <f aca="false">'Raw Data'!B471</f>
        <v>P9747</v>
      </c>
      <c r="C472" s="1" t="str">
        <f aca="false">'Raw Data'!C471</f>
        <v>charles59</v>
      </c>
      <c r="D472" s="1" t="str">
        <f aca="false">'Raw Data'!D471</f>
        <v>Empire Wars</v>
      </c>
      <c r="E472" s="1" t="str">
        <f aca="false">'Raw Data'!E471</f>
        <v>Mobile</v>
      </c>
      <c r="F472" s="1" t="str">
        <f aca="false">'Raw Data'!F471</f>
        <v>West</v>
      </c>
      <c r="G472" s="23" t="n">
        <f aca="false">'Raw Data'!G471</f>
        <v>45799</v>
      </c>
      <c r="H472" s="1" t="n">
        <f aca="false">'Raw Data'!H471</f>
        <v>164</v>
      </c>
      <c r="I472" s="24" t="n">
        <f aca="false">'Raw Data'!I471</f>
        <v>0</v>
      </c>
      <c r="J472" s="1" t="str">
        <f aca="false">IF('Raw Data'!J471="None","None",IF(ISBLANK('Raw Data'!J471),"None",'Raw Data'!J471))</f>
        <v>None</v>
      </c>
      <c r="K472" s="1" t="str">
        <f aca="false">'Raw Data'!K471</f>
        <v>Incomplete</v>
      </c>
      <c r="L472" s="1" t="str">
        <f aca="false">'Raw Data'!L471</f>
        <v>Free</v>
      </c>
      <c r="M472" s="1" t="n">
        <f aca="false">'Raw Data'!M471</f>
        <v>40</v>
      </c>
      <c r="N472" s="1" t="str">
        <f aca="false">'Raw Data'!N471</f>
        <v>Yes</v>
      </c>
    </row>
    <row r="473" customFormat="false" ht="15" hidden="false" customHeight="true" outlineLevel="0" collapsed="false">
      <c r="A473" s="1" t="str">
        <f aca="false">'Raw Data'!A472</f>
        <v>S00469</v>
      </c>
      <c r="B473" s="1" t="str">
        <f aca="false">'Raw Data'!B472</f>
        <v>P2925</v>
      </c>
      <c r="C473" s="1" t="str">
        <f aca="false">'Raw Data'!C472</f>
        <v>kgonzalez</v>
      </c>
      <c r="D473" s="1" t="str">
        <f aca="false">'Raw Data'!D472</f>
        <v>Clash of Realms</v>
      </c>
      <c r="E473" s="1" t="str">
        <f aca="false">'Raw Data'!E472</f>
        <v>Mobile</v>
      </c>
      <c r="F473" s="1" t="str">
        <f aca="false">'Raw Data'!F472</f>
        <v>East</v>
      </c>
      <c r="G473" s="23" t="n">
        <f aca="false">'Raw Data'!G472</f>
        <v>45665</v>
      </c>
      <c r="H473" s="1" t="n">
        <f aca="false">'Raw Data'!H472</f>
        <v>166</v>
      </c>
      <c r="I473" s="24" t="n">
        <f aca="false">'Raw Data'!I472</f>
        <v>23.59</v>
      </c>
      <c r="J473" s="1" t="str">
        <f aca="false">IF('Raw Data'!J472="None","None",IF(ISBLANK('Raw Data'!J472),"None",'Raw Data'!J472))</f>
        <v>Battle Pass</v>
      </c>
      <c r="K473" s="1" t="str">
        <f aca="false">'Raw Data'!K472</f>
        <v>Completed</v>
      </c>
      <c r="L473" s="1" t="str">
        <f aca="false">'Raw Data'!L472</f>
        <v>Paid</v>
      </c>
      <c r="M473" s="1" t="n">
        <f aca="false">'Raw Data'!M472</f>
        <v>19</v>
      </c>
      <c r="N473" s="1" t="str">
        <f aca="false">'Raw Data'!N472</f>
        <v>Yes</v>
      </c>
    </row>
    <row r="474" customFormat="false" ht="15" hidden="false" customHeight="true" outlineLevel="0" collapsed="false">
      <c r="A474" s="1" t="str">
        <f aca="false">'Raw Data'!A473</f>
        <v>S00470</v>
      </c>
      <c r="B474" s="1" t="str">
        <f aca="false">'Raw Data'!B473</f>
        <v>P9769</v>
      </c>
      <c r="C474" s="1" t="str">
        <f aca="false">'Raw Data'!C473</f>
        <v>marcus01</v>
      </c>
      <c r="D474" s="1" t="str">
        <f aca="false">'Raw Data'!D473</f>
        <v>Empire Wars</v>
      </c>
      <c r="E474" s="1" t="str">
        <f aca="false">'Raw Data'!E473</f>
        <v>Console</v>
      </c>
      <c r="F474" s="1" t="str">
        <f aca="false">'Raw Data'!F473</f>
        <v>East</v>
      </c>
      <c r="G474" s="23" t="n">
        <f aca="false">'Raw Data'!G473</f>
        <v>45788</v>
      </c>
      <c r="H474" s="1" t="n">
        <f aca="false">'Raw Data'!H473</f>
        <v>73</v>
      </c>
      <c r="I474" s="24" t="n">
        <f aca="false">'Raw Data'!I473</f>
        <v>0</v>
      </c>
      <c r="J474" s="1" t="str">
        <f aca="false">IF('Raw Data'!J473="None","None",IF(ISBLANK('Raw Data'!J473),"None",'Raw Data'!J473))</f>
        <v>None</v>
      </c>
      <c r="K474" s="1" t="str">
        <f aca="false">'Raw Data'!K473</f>
        <v>Completed</v>
      </c>
      <c r="L474" s="1" t="str">
        <f aca="false">'Raw Data'!L473</f>
        <v>Free</v>
      </c>
      <c r="M474" s="1" t="n">
        <f aca="false">'Raw Data'!M473</f>
        <v>46</v>
      </c>
      <c r="N474" s="1" t="str">
        <f aca="false">'Raw Data'!N473</f>
        <v>No</v>
      </c>
    </row>
    <row r="475" customFormat="false" ht="15" hidden="false" customHeight="true" outlineLevel="0" collapsed="false">
      <c r="A475" s="1" t="str">
        <f aca="false">'Raw Data'!A474</f>
        <v>S00471</v>
      </c>
      <c r="B475" s="1" t="str">
        <f aca="false">'Raw Data'!B474</f>
        <v>P2833</v>
      </c>
      <c r="C475" s="1" t="str">
        <f aca="false">'Raw Data'!C474</f>
        <v>leonwells</v>
      </c>
      <c r="D475" s="1" t="str">
        <f aca="false">'Raw Data'!D474</f>
        <v>BattleZone</v>
      </c>
      <c r="E475" s="1" t="str">
        <f aca="false">'Raw Data'!E474</f>
        <v>PC</v>
      </c>
      <c r="F475" s="1" t="str">
        <f aca="false">'Raw Data'!F474</f>
        <v>Central</v>
      </c>
      <c r="G475" s="23" t="n">
        <f aca="false">'Raw Data'!G474</f>
        <v>45749</v>
      </c>
      <c r="H475" s="1" t="n">
        <f aca="false">'Raw Data'!H474</f>
        <v>55</v>
      </c>
      <c r="I475" s="24" t="n">
        <f aca="false">'Raw Data'!I474</f>
        <v>40.58</v>
      </c>
      <c r="J475" s="1" t="str">
        <f aca="false">IF('Raw Data'!J474="None","None",IF(ISBLANK('Raw Data'!J474),"None",'Raw Data'!J474))</f>
        <v>Subscriptions</v>
      </c>
      <c r="K475" s="1" t="str">
        <f aca="false">'Raw Data'!K474</f>
        <v>Completed</v>
      </c>
      <c r="L475" s="1" t="str">
        <f aca="false">'Raw Data'!L474</f>
        <v>Paid</v>
      </c>
      <c r="M475" s="1" t="n">
        <f aca="false">'Raw Data'!M474</f>
        <v>14</v>
      </c>
      <c r="N475" s="1" t="str">
        <f aca="false">'Raw Data'!N474</f>
        <v>Yes</v>
      </c>
    </row>
    <row r="476" customFormat="false" ht="15" hidden="false" customHeight="true" outlineLevel="0" collapsed="false">
      <c r="A476" s="1" t="str">
        <f aca="false">'Raw Data'!A475</f>
        <v>S00472</v>
      </c>
      <c r="B476" s="1" t="str">
        <f aca="false">'Raw Data'!B475</f>
        <v>P7312</v>
      </c>
      <c r="C476" s="1" t="str">
        <f aca="false">'Raw Data'!C475</f>
        <v>erika85</v>
      </c>
      <c r="D476" s="1" t="str">
        <f aca="false">'Raw Data'!D475</f>
        <v>Empire Wars</v>
      </c>
      <c r="E476" s="1" t="str">
        <f aca="false">'Raw Data'!E475</f>
        <v>Console</v>
      </c>
      <c r="F476" s="1" t="str">
        <f aca="false">'Raw Data'!F475</f>
        <v>South</v>
      </c>
      <c r="G476" s="23" t="n">
        <f aca="false">'Raw Data'!G475</f>
        <v>45808</v>
      </c>
      <c r="H476" s="1" t="n">
        <f aca="false">'Raw Data'!H475</f>
        <v>22</v>
      </c>
      <c r="I476" s="24" t="n">
        <f aca="false">'Raw Data'!I475</f>
        <v>0</v>
      </c>
      <c r="J476" s="1" t="str">
        <f aca="false">IF('Raw Data'!J475="None","None",IF(ISBLANK('Raw Data'!J475),"None",'Raw Data'!J475))</f>
        <v>None</v>
      </c>
      <c r="K476" s="1" t="str">
        <f aca="false">'Raw Data'!K475</f>
        <v>Completed</v>
      </c>
      <c r="L476" s="1" t="str">
        <f aca="false">'Raw Data'!L475</f>
        <v>Free</v>
      </c>
      <c r="M476" s="1" t="n">
        <f aca="false">'Raw Data'!M475</f>
        <v>36</v>
      </c>
      <c r="N476" s="1" t="str">
        <f aca="false">'Raw Data'!N475</f>
        <v>No</v>
      </c>
    </row>
    <row r="477" customFormat="false" ht="15" hidden="false" customHeight="true" outlineLevel="0" collapsed="false">
      <c r="A477" s="1" t="str">
        <f aca="false">'Raw Data'!A476</f>
        <v>S00473</v>
      </c>
      <c r="B477" s="1" t="str">
        <f aca="false">'Raw Data'!B476</f>
        <v>P3023</v>
      </c>
      <c r="C477" s="1" t="str">
        <f aca="false">'Raw Data'!C476</f>
        <v>jonathonmayer</v>
      </c>
      <c r="D477" s="1" t="str">
        <f aca="false">'Raw Data'!D476</f>
        <v>BattleZone</v>
      </c>
      <c r="E477" s="1" t="str">
        <f aca="false">'Raw Data'!E476</f>
        <v>Mobile</v>
      </c>
      <c r="F477" s="1" t="str">
        <f aca="false">'Raw Data'!F476</f>
        <v>North-East</v>
      </c>
      <c r="G477" s="23" t="n">
        <f aca="false">'Raw Data'!G476</f>
        <v>45811</v>
      </c>
      <c r="H477" s="1" t="n">
        <f aca="false">'Raw Data'!H476</f>
        <v>56</v>
      </c>
      <c r="I477" s="24" t="n">
        <f aca="false">'Raw Data'!I476</f>
        <v>0</v>
      </c>
      <c r="J477" s="1" t="str">
        <f aca="false">IF('Raw Data'!J476="None","None",IF(ISBLANK('Raw Data'!J476),"None",'Raw Data'!J476))</f>
        <v>None</v>
      </c>
      <c r="K477" s="1" t="str">
        <f aca="false">'Raw Data'!K476</f>
        <v>Completed</v>
      </c>
      <c r="L477" s="1" t="str">
        <f aca="false">'Raw Data'!L476</f>
        <v>Free</v>
      </c>
      <c r="M477" s="1" t="n">
        <f aca="false">'Raw Data'!M476</f>
        <v>34</v>
      </c>
      <c r="N477" s="1" t="str">
        <f aca="false">'Raw Data'!N476</f>
        <v>No</v>
      </c>
    </row>
    <row r="478" customFormat="false" ht="15" hidden="false" customHeight="true" outlineLevel="0" collapsed="false">
      <c r="A478" s="1" t="str">
        <f aca="false">'Raw Data'!A477</f>
        <v>S00474</v>
      </c>
      <c r="B478" s="1" t="str">
        <f aca="false">'Raw Data'!B477</f>
        <v>P4635</v>
      </c>
      <c r="C478" s="1" t="str">
        <f aca="false">'Raw Data'!C477</f>
        <v>nicholas43</v>
      </c>
      <c r="D478" s="1" t="str">
        <f aca="false">'Raw Data'!D477</f>
        <v>SpeedX</v>
      </c>
      <c r="E478" s="1" t="str">
        <f aca="false">'Raw Data'!E477</f>
        <v>Mobile</v>
      </c>
      <c r="F478" s="1" t="str">
        <f aca="false">'Raw Data'!F477</f>
        <v>East</v>
      </c>
      <c r="G478" s="23" t="n">
        <f aca="false">'Raw Data'!G477</f>
        <v>45742</v>
      </c>
      <c r="H478" s="1" t="n">
        <f aca="false">'Raw Data'!H477</f>
        <v>9</v>
      </c>
      <c r="I478" s="24" t="n">
        <f aca="false">'Raw Data'!I477</f>
        <v>0</v>
      </c>
      <c r="J478" s="1" t="str">
        <f aca="false">IF('Raw Data'!J477="None","None",IF(ISBLANK('Raw Data'!J477),"None",'Raw Data'!J477))</f>
        <v>None</v>
      </c>
      <c r="K478" s="1" t="str">
        <f aca="false">'Raw Data'!K477</f>
        <v>Completed</v>
      </c>
      <c r="L478" s="1" t="str">
        <f aca="false">'Raw Data'!L477</f>
        <v>Free</v>
      </c>
      <c r="M478" s="1" t="n">
        <f aca="false">'Raw Data'!M477</f>
        <v>21</v>
      </c>
      <c r="N478" s="1" t="str">
        <f aca="false">'Raw Data'!N477</f>
        <v>No</v>
      </c>
    </row>
    <row r="479" customFormat="false" ht="15" hidden="false" customHeight="true" outlineLevel="0" collapsed="false">
      <c r="A479" s="1" t="str">
        <f aca="false">'Raw Data'!A478</f>
        <v>S00475</v>
      </c>
      <c r="B479" s="1" t="str">
        <f aca="false">'Raw Data'!B478</f>
        <v>P8912</v>
      </c>
      <c r="C479" s="1" t="str">
        <f aca="false">'Raw Data'!C478</f>
        <v>paula25</v>
      </c>
      <c r="D479" s="1" t="str">
        <f aca="false">'Raw Data'!D478</f>
        <v>BattleZone</v>
      </c>
      <c r="E479" s="1" t="str">
        <f aca="false">'Raw Data'!E478</f>
        <v>Mobile</v>
      </c>
      <c r="F479" s="1" t="str">
        <f aca="false">'Raw Data'!F478</f>
        <v>West</v>
      </c>
      <c r="G479" s="23" t="n">
        <f aca="false">'Raw Data'!G478</f>
        <v>45714</v>
      </c>
      <c r="H479" s="1" t="n">
        <f aca="false">'Raw Data'!H478</f>
        <v>54</v>
      </c>
      <c r="I479" s="24" t="n">
        <f aca="false">'Raw Data'!I478</f>
        <v>19.65</v>
      </c>
      <c r="J479" s="1" t="str">
        <f aca="false">IF('Raw Data'!J478="None","None",IF(ISBLANK('Raw Data'!J478),"None",'Raw Data'!J478))</f>
        <v>Skins</v>
      </c>
      <c r="K479" s="1" t="str">
        <f aca="false">'Raw Data'!K478</f>
        <v>Completed</v>
      </c>
      <c r="L479" s="1" t="str">
        <f aca="false">'Raw Data'!L478</f>
        <v>Paid</v>
      </c>
      <c r="M479" s="1" t="n">
        <f aca="false">'Raw Data'!M478</f>
        <v>38</v>
      </c>
      <c r="N479" s="1" t="str">
        <f aca="false">'Raw Data'!N478</f>
        <v>No</v>
      </c>
    </row>
    <row r="480" customFormat="false" ht="15" hidden="false" customHeight="true" outlineLevel="0" collapsed="false">
      <c r="A480" s="1" t="str">
        <f aca="false">'Raw Data'!A479</f>
        <v>S00476</v>
      </c>
      <c r="B480" s="1" t="str">
        <f aca="false">'Raw Data'!B479</f>
        <v>P9766</v>
      </c>
      <c r="C480" s="1" t="str">
        <f aca="false">'Raw Data'!C479</f>
        <v>smithcarrie</v>
      </c>
      <c r="D480" s="1" t="str">
        <f aca="false">'Raw Data'!D479</f>
        <v>Zombie Rush</v>
      </c>
      <c r="E480" s="1" t="str">
        <f aca="false">'Raw Data'!E479</f>
        <v>Mobile</v>
      </c>
      <c r="F480" s="1" t="str">
        <f aca="false">'Raw Data'!F479</f>
        <v>South</v>
      </c>
      <c r="G480" s="23" t="n">
        <f aca="false">'Raw Data'!G479</f>
        <v>45693</v>
      </c>
      <c r="H480" s="1" t="n">
        <f aca="false">'Raw Data'!H479</f>
        <v>85</v>
      </c>
      <c r="I480" s="24" t="n">
        <f aca="false">'Raw Data'!I479</f>
        <v>0</v>
      </c>
      <c r="J480" s="1" t="str">
        <f aca="false">IF('Raw Data'!J479="None","None",IF(ISBLANK('Raw Data'!J479),"None",'Raw Data'!J479))</f>
        <v>None</v>
      </c>
      <c r="K480" s="1" t="str">
        <f aca="false">'Raw Data'!K479</f>
        <v>Incomplete</v>
      </c>
      <c r="L480" s="1" t="str">
        <f aca="false">'Raw Data'!L479</f>
        <v>Paid</v>
      </c>
      <c r="M480" s="1" t="n">
        <f aca="false">'Raw Data'!M479</f>
        <v>12</v>
      </c>
      <c r="N480" s="1" t="str">
        <f aca="false">'Raw Data'!N479</f>
        <v>No</v>
      </c>
    </row>
    <row r="481" customFormat="false" ht="15" hidden="false" customHeight="true" outlineLevel="0" collapsed="false">
      <c r="A481" s="1" t="str">
        <f aca="false">'Raw Data'!A480</f>
        <v>S00477</v>
      </c>
      <c r="B481" s="1" t="str">
        <f aca="false">'Raw Data'!B480</f>
        <v>P2059</v>
      </c>
      <c r="C481" s="1" t="str">
        <f aca="false">'Raw Data'!C480</f>
        <v>valenzuelakim</v>
      </c>
      <c r="D481" s="1" t="str">
        <f aca="false">'Raw Data'!D480</f>
        <v>BattleZone</v>
      </c>
      <c r="E481" s="1" t="str">
        <f aca="false">'Raw Data'!E480</f>
        <v>PC</v>
      </c>
      <c r="F481" s="1" t="str">
        <f aca="false">'Raw Data'!F480</f>
        <v>North</v>
      </c>
      <c r="G481" s="23" t="n">
        <f aca="false">'Raw Data'!G480</f>
        <v>45673</v>
      </c>
      <c r="H481" s="1" t="n">
        <f aca="false">'Raw Data'!H480</f>
        <v>111</v>
      </c>
      <c r="I481" s="24" t="n">
        <f aca="false">'Raw Data'!I480</f>
        <v>0</v>
      </c>
      <c r="J481" s="1" t="str">
        <f aca="false">IF('Raw Data'!J480="None","None",IF(ISBLANK('Raw Data'!J480),"None",'Raw Data'!J480))</f>
        <v>None</v>
      </c>
      <c r="K481" s="1" t="str">
        <f aca="false">'Raw Data'!K480</f>
        <v>Completed</v>
      </c>
      <c r="L481" s="1" t="str">
        <f aca="false">'Raw Data'!L480</f>
        <v>Free</v>
      </c>
      <c r="M481" s="1" t="n">
        <f aca="false">'Raw Data'!M480</f>
        <v>38</v>
      </c>
      <c r="N481" s="1" t="str">
        <f aca="false">'Raw Data'!N480</f>
        <v>No</v>
      </c>
    </row>
    <row r="482" customFormat="false" ht="15" hidden="false" customHeight="true" outlineLevel="0" collapsed="false">
      <c r="A482" s="1" t="str">
        <f aca="false">'Raw Data'!A481</f>
        <v>S00478</v>
      </c>
      <c r="B482" s="1" t="str">
        <f aca="false">'Raw Data'!B481</f>
        <v>P3378</v>
      </c>
      <c r="C482" s="1" t="str">
        <f aca="false">'Raw Data'!C481</f>
        <v>adamsbarbara</v>
      </c>
      <c r="D482" s="1" t="str">
        <f aca="false">'Raw Data'!D481</f>
        <v>SpeedX</v>
      </c>
      <c r="E482" s="1" t="str">
        <f aca="false">'Raw Data'!E481</f>
        <v>Console</v>
      </c>
      <c r="F482" s="1" t="str">
        <f aca="false">'Raw Data'!F481</f>
        <v>South</v>
      </c>
      <c r="G482" s="23" t="n">
        <f aca="false">'Raw Data'!G481</f>
        <v>45795</v>
      </c>
      <c r="H482" s="1" t="n">
        <f aca="false">'Raw Data'!H481</f>
        <v>93</v>
      </c>
      <c r="I482" s="24" t="n">
        <f aca="false">'Raw Data'!I481</f>
        <v>0</v>
      </c>
      <c r="J482" s="1" t="str">
        <f aca="false">IF('Raw Data'!J481="None","None",IF(ISBLANK('Raw Data'!J481),"None",'Raw Data'!J481))</f>
        <v>None</v>
      </c>
      <c r="K482" s="1" t="str">
        <f aca="false">'Raw Data'!K481</f>
        <v>Completed</v>
      </c>
      <c r="L482" s="1" t="str">
        <f aca="false">'Raw Data'!L481</f>
        <v>Free</v>
      </c>
      <c r="M482" s="1" t="n">
        <f aca="false">'Raw Data'!M481</f>
        <v>26</v>
      </c>
      <c r="N482" s="1" t="str">
        <f aca="false">'Raw Data'!N481</f>
        <v>No</v>
      </c>
    </row>
    <row r="483" customFormat="false" ht="15" hidden="false" customHeight="true" outlineLevel="0" collapsed="false">
      <c r="A483" s="1" t="str">
        <f aca="false">'Raw Data'!A482</f>
        <v>S00479</v>
      </c>
      <c r="B483" s="1" t="str">
        <f aca="false">'Raw Data'!B482</f>
        <v>P5699</v>
      </c>
      <c r="C483" s="1" t="str">
        <f aca="false">'Raw Data'!C482</f>
        <v>cathy10</v>
      </c>
      <c r="D483" s="1" t="str">
        <f aca="false">'Raw Data'!D482</f>
        <v>SpeedX</v>
      </c>
      <c r="E483" s="1" t="str">
        <f aca="false">'Raw Data'!E482</f>
        <v>Console</v>
      </c>
      <c r="F483" s="1" t="str">
        <f aca="false">'Raw Data'!F482</f>
        <v>Central</v>
      </c>
      <c r="G483" s="23" t="n">
        <f aca="false">'Raw Data'!G482</f>
        <v>45800</v>
      </c>
      <c r="H483" s="1" t="n">
        <f aca="false">'Raw Data'!H482</f>
        <v>103</v>
      </c>
      <c r="I483" s="24" t="n">
        <f aca="false">'Raw Data'!I482</f>
        <v>0</v>
      </c>
      <c r="J483" s="1" t="str">
        <f aca="false">IF('Raw Data'!J482="None","None",IF(ISBLANK('Raw Data'!J482),"None",'Raw Data'!J482))</f>
        <v>None</v>
      </c>
      <c r="K483" s="1" t="str">
        <f aca="false">'Raw Data'!K482</f>
        <v>Completed</v>
      </c>
      <c r="L483" s="1" t="str">
        <f aca="false">'Raw Data'!L482</f>
        <v>Free</v>
      </c>
      <c r="M483" s="1" t="n">
        <f aca="false">'Raw Data'!M482</f>
        <v>11</v>
      </c>
      <c r="N483" s="1" t="str">
        <f aca="false">'Raw Data'!N482</f>
        <v>No</v>
      </c>
    </row>
    <row r="484" customFormat="false" ht="15" hidden="false" customHeight="true" outlineLevel="0" collapsed="false">
      <c r="A484" s="1" t="str">
        <f aca="false">'Raw Data'!A483</f>
        <v>S00480</v>
      </c>
      <c r="B484" s="1" t="str">
        <f aca="false">'Raw Data'!B483</f>
        <v>P7340</v>
      </c>
      <c r="C484" s="1" t="str">
        <f aca="false">'Raw Data'!C483</f>
        <v>rogersmary</v>
      </c>
      <c r="D484" s="1" t="str">
        <f aca="false">'Raw Data'!D483</f>
        <v>BattleZone</v>
      </c>
      <c r="E484" s="1" t="str">
        <f aca="false">'Raw Data'!E483</f>
        <v>Console</v>
      </c>
      <c r="F484" s="1" t="str">
        <f aca="false">'Raw Data'!F483</f>
        <v>West</v>
      </c>
      <c r="G484" s="23" t="n">
        <f aca="false">'Raw Data'!G483</f>
        <v>45773</v>
      </c>
      <c r="H484" s="1" t="n">
        <f aca="false">'Raw Data'!H483</f>
        <v>44</v>
      </c>
      <c r="I484" s="24" t="n">
        <f aca="false">'Raw Data'!I483</f>
        <v>0</v>
      </c>
      <c r="J484" s="1" t="str">
        <f aca="false">IF('Raw Data'!J483="None","None",IF(ISBLANK('Raw Data'!J483),"None",'Raw Data'!J483))</f>
        <v>None</v>
      </c>
      <c r="K484" s="1" t="str">
        <f aca="false">'Raw Data'!K483</f>
        <v>Incomplete</v>
      </c>
      <c r="L484" s="1" t="str">
        <f aca="false">'Raw Data'!L483</f>
        <v>Free</v>
      </c>
      <c r="M484" s="1" t="n">
        <f aca="false">'Raw Data'!M483</f>
        <v>29</v>
      </c>
      <c r="N484" s="1" t="str">
        <f aca="false">'Raw Data'!N483</f>
        <v>No</v>
      </c>
    </row>
    <row r="485" customFormat="false" ht="15" hidden="false" customHeight="true" outlineLevel="0" collapsed="false">
      <c r="A485" s="1" t="str">
        <f aca="false">'Raw Data'!A484</f>
        <v>S00481</v>
      </c>
      <c r="B485" s="1" t="str">
        <f aca="false">'Raw Data'!B484</f>
        <v>P5458</v>
      </c>
      <c r="C485" s="1" t="str">
        <f aca="false">'Raw Data'!C484</f>
        <v>georgejones</v>
      </c>
      <c r="D485" s="1" t="str">
        <f aca="false">'Raw Data'!D484</f>
        <v>Empire Wars</v>
      </c>
      <c r="E485" s="1" t="str">
        <f aca="false">'Raw Data'!E484</f>
        <v>PC</v>
      </c>
      <c r="F485" s="1" t="str">
        <f aca="false">'Raw Data'!F484</f>
        <v>North-East</v>
      </c>
      <c r="G485" s="23" t="n">
        <f aca="false">'Raw Data'!G484</f>
        <v>45689</v>
      </c>
      <c r="H485" s="1" t="n">
        <f aca="false">'Raw Data'!H484</f>
        <v>134</v>
      </c>
      <c r="I485" s="24" t="n">
        <f aca="false">'Raw Data'!I484</f>
        <v>0</v>
      </c>
      <c r="J485" s="1" t="str">
        <f aca="false">IF('Raw Data'!J484="None","None",IF(ISBLANK('Raw Data'!J484),"None",'Raw Data'!J484))</f>
        <v>None</v>
      </c>
      <c r="K485" s="1" t="str">
        <f aca="false">'Raw Data'!K484</f>
        <v>Completed</v>
      </c>
      <c r="L485" s="1" t="str">
        <f aca="false">'Raw Data'!L484</f>
        <v>Free</v>
      </c>
      <c r="M485" s="1" t="n">
        <f aca="false">'Raw Data'!M484</f>
        <v>41</v>
      </c>
      <c r="N485" s="1" t="str">
        <f aca="false">'Raw Data'!N484</f>
        <v>No</v>
      </c>
    </row>
    <row r="486" customFormat="false" ht="15" hidden="false" customHeight="true" outlineLevel="0" collapsed="false">
      <c r="A486" s="1" t="str">
        <f aca="false">'Raw Data'!A485</f>
        <v>S00482</v>
      </c>
      <c r="B486" s="1" t="str">
        <f aca="false">'Raw Data'!B485</f>
        <v>P6129</v>
      </c>
      <c r="C486" s="1" t="str">
        <f aca="false">'Raw Data'!C485</f>
        <v>donna27</v>
      </c>
      <c r="D486" s="1" t="str">
        <f aca="false">'Raw Data'!D485</f>
        <v>Zombie Rush</v>
      </c>
      <c r="E486" s="1" t="str">
        <f aca="false">'Raw Data'!E485</f>
        <v>Mobile</v>
      </c>
      <c r="F486" s="1" t="str">
        <f aca="false">'Raw Data'!F485</f>
        <v>North-East</v>
      </c>
      <c r="G486" s="23" t="n">
        <f aca="false">'Raw Data'!G485</f>
        <v>45804</v>
      </c>
      <c r="H486" s="1" t="n">
        <f aca="false">'Raw Data'!H485</f>
        <v>167</v>
      </c>
      <c r="I486" s="24" t="n">
        <f aca="false">'Raw Data'!I485</f>
        <v>0</v>
      </c>
      <c r="J486" s="1" t="str">
        <f aca="false">IF('Raw Data'!J485="None","None",IF(ISBLANK('Raw Data'!J485),"None",'Raw Data'!J485))</f>
        <v>None</v>
      </c>
      <c r="K486" s="1" t="str">
        <f aca="false">'Raw Data'!K485</f>
        <v>Completed</v>
      </c>
      <c r="L486" s="1" t="str">
        <f aca="false">'Raw Data'!L485</f>
        <v>Free</v>
      </c>
      <c r="M486" s="1" t="n">
        <f aca="false">'Raw Data'!M485</f>
        <v>28</v>
      </c>
      <c r="N486" s="1" t="str">
        <f aca="false">'Raw Data'!N485</f>
        <v>Yes</v>
      </c>
    </row>
    <row r="487" customFormat="false" ht="15" hidden="false" customHeight="true" outlineLevel="0" collapsed="false">
      <c r="A487" s="1" t="str">
        <f aca="false">'Raw Data'!A486</f>
        <v>S00483</v>
      </c>
      <c r="B487" s="1" t="str">
        <f aca="false">'Raw Data'!B486</f>
        <v>P6524</v>
      </c>
      <c r="C487" s="1" t="str">
        <f aca="false">'Raw Data'!C486</f>
        <v>jhayes</v>
      </c>
      <c r="D487" s="1" t="str">
        <f aca="false">'Raw Data'!D486</f>
        <v>Zombie Rush</v>
      </c>
      <c r="E487" s="1" t="str">
        <f aca="false">'Raw Data'!E486</f>
        <v>Mobile</v>
      </c>
      <c r="F487" s="1" t="str">
        <f aca="false">'Raw Data'!F486</f>
        <v>North-East</v>
      </c>
      <c r="G487" s="23" t="n">
        <f aca="false">'Raw Data'!G486</f>
        <v>45717</v>
      </c>
      <c r="H487" s="1" t="n">
        <f aca="false">'Raw Data'!H486</f>
        <v>149</v>
      </c>
      <c r="I487" s="24" t="n">
        <f aca="false">'Raw Data'!I486</f>
        <v>5.05</v>
      </c>
      <c r="J487" s="1" t="str">
        <f aca="false">IF('Raw Data'!J486="None","None",IF(ISBLANK('Raw Data'!J486),"None",'Raw Data'!J486))</f>
        <v>Boosters</v>
      </c>
      <c r="K487" s="1" t="str">
        <f aca="false">'Raw Data'!K486</f>
        <v>Completed</v>
      </c>
      <c r="L487" s="1" t="str">
        <f aca="false">'Raw Data'!L486</f>
        <v>Paid</v>
      </c>
      <c r="M487" s="1" t="n">
        <f aca="false">'Raw Data'!M486</f>
        <v>44</v>
      </c>
      <c r="N487" s="1" t="str">
        <f aca="false">'Raw Data'!N486</f>
        <v>No</v>
      </c>
    </row>
    <row r="488" customFormat="false" ht="15" hidden="false" customHeight="true" outlineLevel="0" collapsed="false">
      <c r="A488" s="1" t="str">
        <f aca="false">'Raw Data'!A487</f>
        <v>S00484</v>
      </c>
      <c r="B488" s="1" t="str">
        <f aca="false">'Raw Data'!B487</f>
        <v>P3747</v>
      </c>
      <c r="C488" s="1" t="str">
        <f aca="false">'Raw Data'!C487</f>
        <v>neallisa</v>
      </c>
      <c r="D488" s="1" t="str">
        <f aca="false">'Raw Data'!D487</f>
        <v>BattleZone</v>
      </c>
      <c r="E488" s="1" t="str">
        <f aca="false">'Raw Data'!E487</f>
        <v>PC</v>
      </c>
      <c r="F488" s="1" t="str">
        <f aca="false">'Raw Data'!F487</f>
        <v>West</v>
      </c>
      <c r="G488" s="23" t="n">
        <f aca="false">'Raw Data'!G487</f>
        <v>45763</v>
      </c>
      <c r="H488" s="1" t="n">
        <f aca="false">'Raw Data'!H487</f>
        <v>139</v>
      </c>
      <c r="I488" s="24" t="n">
        <f aca="false">'Raw Data'!I487</f>
        <v>0</v>
      </c>
      <c r="J488" s="1" t="str">
        <f aca="false">IF('Raw Data'!J487="None","None",IF(ISBLANK('Raw Data'!J487),"None",'Raw Data'!J487))</f>
        <v>None</v>
      </c>
      <c r="K488" s="1" t="str">
        <f aca="false">'Raw Data'!K487</f>
        <v>Completed</v>
      </c>
      <c r="L488" s="1" t="str">
        <f aca="false">'Raw Data'!L487</f>
        <v>Free</v>
      </c>
      <c r="M488" s="1" t="n">
        <f aca="false">'Raw Data'!M487</f>
        <v>19</v>
      </c>
      <c r="N488" s="1" t="str">
        <f aca="false">'Raw Data'!N487</f>
        <v>No</v>
      </c>
    </row>
    <row r="489" customFormat="false" ht="15" hidden="false" customHeight="true" outlineLevel="0" collapsed="false">
      <c r="A489" s="1" t="str">
        <f aca="false">'Raw Data'!A488</f>
        <v>S00485</v>
      </c>
      <c r="B489" s="1" t="str">
        <f aca="false">'Raw Data'!B488</f>
        <v>P3923</v>
      </c>
      <c r="C489" s="1" t="str">
        <f aca="false">'Raw Data'!C488</f>
        <v>evanskristen</v>
      </c>
      <c r="D489" s="1" t="str">
        <f aca="false">'Raw Data'!D488</f>
        <v>Clash of Realms</v>
      </c>
      <c r="E489" s="1" t="str">
        <f aca="false">'Raw Data'!E488</f>
        <v>Mobile</v>
      </c>
      <c r="F489" s="1" t="str">
        <f aca="false">'Raw Data'!F488</f>
        <v>East</v>
      </c>
      <c r="G489" s="23" t="n">
        <f aca="false">'Raw Data'!G488</f>
        <v>45725</v>
      </c>
      <c r="H489" s="1" t="n">
        <f aca="false">'Raw Data'!H488</f>
        <v>64</v>
      </c>
      <c r="I489" s="24" t="n">
        <f aca="false">'Raw Data'!I488</f>
        <v>0</v>
      </c>
      <c r="J489" s="1" t="str">
        <f aca="false">IF('Raw Data'!J488="None","None",IF(ISBLANK('Raw Data'!J488),"None",'Raw Data'!J488))</f>
        <v>None</v>
      </c>
      <c r="K489" s="1" t="str">
        <f aca="false">'Raw Data'!K488</f>
        <v>Crashed</v>
      </c>
      <c r="L489" s="1" t="str">
        <f aca="false">'Raw Data'!L488</f>
        <v>Free</v>
      </c>
      <c r="M489" s="1" t="n">
        <f aca="false">'Raw Data'!M488</f>
        <v>33</v>
      </c>
      <c r="N489" s="1" t="str">
        <f aca="false">'Raw Data'!N488</f>
        <v>No</v>
      </c>
    </row>
    <row r="490" customFormat="false" ht="15" hidden="false" customHeight="true" outlineLevel="0" collapsed="false">
      <c r="A490" s="1" t="str">
        <f aca="false">'Raw Data'!A489</f>
        <v>S00486</v>
      </c>
      <c r="B490" s="1" t="str">
        <f aca="false">'Raw Data'!B489</f>
        <v>P1788</v>
      </c>
      <c r="C490" s="1" t="str">
        <f aca="false">'Raw Data'!C489</f>
        <v>bhenson</v>
      </c>
      <c r="D490" s="1" t="str">
        <f aca="false">'Raw Data'!D489</f>
        <v>SpeedX</v>
      </c>
      <c r="E490" s="1" t="str">
        <f aca="false">'Raw Data'!E489</f>
        <v>PC</v>
      </c>
      <c r="F490" s="1" t="str">
        <f aca="false">'Raw Data'!F489</f>
        <v>East</v>
      </c>
      <c r="G490" s="23" t="n">
        <f aca="false">'Raw Data'!G489</f>
        <v>45748</v>
      </c>
      <c r="H490" s="1" t="n">
        <f aca="false">'Raw Data'!H489</f>
        <v>86</v>
      </c>
      <c r="I490" s="24" t="n">
        <f aca="false">'Raw Data'!I489</f>
        <v>0</v>
      </c>
      <c r="J490" s="1" t="str">
        <f aca="false">IF('Raw Data'!J489="None","None",IF(ISBLANK('Raw Data'!J489),"None",'Raw Data'!J489))</f>
        <v>None</v>
      </c>
      <c r="K490" s="1" t="str">
        <f aca="false">'Raw Data'!K489</f>
        <v>Completed</v>
      </c>
      <c r="L490" s="1" t="str">
        <f aca="false">'Raw Data'!L489</f>
        <v>Free</v>
      </c>
      <c r="M490" s="1" t="n">
        <f aca="false">'Raw Data'!M489</f>
        <v>17</v>
      </c>
      <c r="N490" s="1" t="str">
        <f aca="false">'Raw Data'!N489</f>
        <v>No</v>
      </c>
    </row>
    <row r="491" customFormat="false" ht="15" hidden="false" customHeight="true" outlineLevel="0" collapsed="false">
      <c r="A491" s="1" t="str">
        <f aca="false">'Raw Data'!A490</f>
        <v>S00487</v>
      </c>
      <c r="B491" s="1" t="str">
        <f aca="false">'Raw Data'!B490</f>
        <v>P2044</v>
      </c>
      <c r="C491" s="1" t="str">
        <f aca="false">'Raw Data'!C490</f>
        <v>hgardner</v>
      </c>
      <c r="D491" s="1" t="str">
        <f aca="false">'Raw Data'!D490</f>
        <v>SpeedX</v>
      </c>
      <c r="E491" s="1" t="str">
        <f aca="false">'Raw Data'!E490</f>
        <v>Mobile</v>
      </c>
      <c r="F491" s="1" t="str">
        <f aca="false">'Raw Data'!F490</f>
        <v>East</v>
      </c>
      <c r="G491" s="23" t="n">
        <f aca="false">'Raw Data'!G490</f>
        <v>45764</v>
      </c>
      <c r="H491" s="1" t="n">
        <f aca="false">'Raw Data'!H490</f>
        <v>13</v>
      </c>
      <c r="I491" s="24" t="n">
        <f aca="false">'Raw Data'!I490</f>
        <v>0</v>
      </c>
      <c r="J491" s="1" t="str">
        <f aca="false">IF('Raw Data'!J490="None","None",IF(ISBLANK('Raw Data'!J490),"None",'Raw Data'!J490))</f>
        <v>None</v>
      </c>
      <c r="K491" s="1" t="str">
        <f aca="false">'Raw Data'!K490</f>
        <v>Completed</v>
      </c>
      <c r="L491" s="1" t="str">
        <f aca="false">'Raw Data'!L490</f>
        <v>Free</v>
      </c>
      <c r="M491" s="1" t="n">
        <f aca="false">'Raw Data'!M490</f>
        <v>47</v>
      </c>
      <c r="N491" s="1" t="str">
        <f aca="false">'Raw Data'!N490</f>
        <v>No</v>
      </c>
    </row>
    <row r="492" customFormat="false" ht="15" hidden="false" customHeight="true" outlineLevel="0" collapsed="false">
      <c r="A492" s="1" t="str">
        <f aca="false">'Raw Data'!A491</f>
        <v>S00488</v>
      </c>
      <c r="B492" s="1" t="str">
        <f aca="false">'Raw Data'!B491</f>
        <v>P1977</v>
      </c>
      <c r="C492" s="1" t="str">
        <f aca="false">'Raw Data'!C491</f>
        <v>mckinneychristopher</v>
      </c>
      <c r="D492" s="1" t="str">
        <f aca="false">'Raw Data'!D491</f>
        <v>SpeedX</v>
      </c>
      <c r="E492" s="1" t="str">
        <f aca="false">'Raw Data'!E491</f>
        <v>Mobile</v>
      </c>
      <c r="F492" s="1" t="str">
        <f aca="false">'Raw Data'!F491</f>
        <v>East</v>
      </c>
      <c r="G492" s="23" t="n">
        <f aca="false">'Raw Data'!G491</f>
        <v>45821</v>
      </c>
      <c r="H492" s="1" t="n">
        <f aca="false">'Raw Data'!H491</f>
        <v>11</v>
      </c>
      <c r="I492" s="24" t="n">
        <f aca="false">'Raw Data'!I491</f>
        <v>20.66</v>
      </c>
      <c r="J492" s="1" t="str">
        <f aca="false">IF('Raw Data'!J491="None","None",IF(ISBLANK('Raw Data'!J491),"None",'Raw Data'!J491))</f>
        <v>Battle Pass</v>
      </c>
      <c r="K492" s="1" t="str">
        <f aca="false">'Raw Data'!K491</f>
        <v>Completed</v>
      </c>
      <c r="L492" s="1" t="str">
        <f aca="false">'Raw Data'!L491</f>
        <v>Paid</v>
      </c>
      <c r="M492" s="1" t="n">
        <f aca="false">'Raw Data'!M491</f>
        <v>40</v>
      </c>
      <c r="N492" s="1" t="str">
        <f aca="false">'Raw Data'!N491</f>
        <v>No</v>
      </c>
    </row>
    <row r="493" customFormat="false" ht="15" hidden="false" customHeight="true" outlineLevel="0" collapsed="false">
      <c r="A493" s="1" t="str">
        <f aca="false">'Raw Data'!A492</f>
        <v>S00489</v>
      </c>
      <c r="B493" s="1" t="str">
        <f aca="false">'Raw Data'!B492</f>
        <v>P1280</v>
      </c>
      <c r="C493" s="1" t="str">
        <f aca="false">'Raw Data'!C492</f>
        <v>elizabeth71</v>
      </c>
      <c r="D493" s="1" t="str">
        <f aca="false">'Raw Data'!D492</f>
        <v>BattleZone</v>
      </c>
      <c r="E493" s="1" t="str">
        <f aca="false">'Raw Data'!E492</f>
        <v>Mobile</v>
      </c>
      <c r="F493" s="1" t="str">
        <f aca="false">'Raw Data'!F492</f>
        <v>South</v>
      </c>
      <c r="G493" s="23" t="n">
        <f aca="false">'Raw Data'!G492</f>
        <v>45662</v>
      </c>
      <c r="H493" s="1" t="n">
        <f aca="false">'Raw Data'!H492</f>
        <v>55</v>
      </c>
      <c r="I493" s="24" t="n">
        <f aca="false">'Raw Data'!I492</f>
        <v>0</v>
      </c>
      <c r="J493" s="1" t="str">
        <f aca="false">IF('Raw Data'!J492="None","None",IF(ISBLANK('Raw Data'!J492),"None",'Raw Data'!J492))</f>
        <v>None</v>
      </c>
      <c r="K493" s="1" t="str">
        <f aca="false">'Raw Data'!K492</f>
        <v>Exited Early</v>
      </c>
      <c r="L493" s="1" t="str">
        <f aca="false">'Raw Data'!L492</f>
        <v>Free</v>
      </c>
      <c r="M493" s="1" t="n">
        <f aca="false">'Raw Data'!M492</f>
        <v>26</v>
      </c>
      <c r="N493" s="1" t="str">
        <f aca="false">'Raw Data'!N492</f>
        <v>No</v>
      </c>
    </row>
    <row r="494" customFormat="false" ht="15" hidden="false" customHeight="true" outlineLevel="0" collapsed="false">
      <c r="A494" s="1" t="str">
        <f aca="false">'Raw Data'!A493</f>
        <v>S00490</v>
      </c>
      <c r="B494" s="1" t="str">
        <f aca="false">'Raw Data'!B493</f>
        <v>P9973</v>
      </c>
      <c r="C494" s="1" t="str">
        <f aca="false">'Raw Data'!C493</f>
        <v>ilambert</v>
      </c>
      <c r="D494" s="1" t="str">
        <f aca="false">'Raw Data'!D493</f>
        <v>Clash of Realms</v>
      </c>
      <c r="E494" s="1" t="str">
        <f aca="false">'Raw Data'!E493</f>
        <v>Console</v>
      </c>
      <c r="F494" s="1" t="str">
        <f aca="false">'Raw Data'!F493</f>
        <v>West</v>
      </c>
      <c r="G494" s="23" t="n">
        <f aca="false">'Raw Data'!G493</f>
        <v>45793</v>
      </c>
      <c r="H494" s="1" t="n">
        <f aca="false">'Raw Data'!H493</f>
        <v>146</v>
      </c>
      <c r="I494" s="24" t="n">
        <f aca="false">'Raw Data'!I493</f>
        <v>0</v>
      </c>
      <c r="J494" s="1" t="str">
        <f aca="false">IF('Raw Data'!J493="None","None",IF(ISBLANK('Raw Data'!J493),"None",'Raw Data'!J493))</f>
        <v>None</v>
      </c>
      <c r="K494" s="1" t="str">
        <f aca="false">'Raw Data'!K493</f>
        <v>Crashed</v>
      </c>
      <c r="L494" s="1" t="str">
        <f aca="false">'Raw Data'!L493</f>
        <v>Free</v>
      </c>
      <c r="M494" s="1" t="n">
        <f aca="false">'Raw Data'!M493</f>
        <v>2</v>
      </c>
      <c r="N494" s="1" t="str">
        <f aca="false">'Raw Data'!N493</f>
        <v>No</v>
      </c>
    </row>
    <row r="495" customFormat="false" ht="15" hidden="false" customHeight="true" outlineLevel="0" collapsed="false">
      <c r="A495" s="1" t="str">
        <f aca="false">'Raw Data'!A494</f>
        <v>S00491</v>
      </c>
      <c r="B495" s="1" t="str">
        <f aca="false">'Raw Data'!B494</f>
        <v>P8692</v>
      </c>
      <c r="C495" s="1" t="str">
        <f aca="false">'Raw Data'!C494</f>
        <v>millerdonald</v>
      </c>
      <c r="D495" s="1" t="str">
        <f aca="false">'Raw Data'!D494</f>
        <v>Clash of Realms</v>
      </c>
      <c r="E495" s="1" t="str">
        <f aca="false">'Raw Data'!E494</f>
        <v>PC</v>
      </c>
      <c r="F495" s="1" t="str">
        <f aca="false">'Raw Data'!F494</f>
        <v>South</v>
      </c>
      <c r="G495" s="23" t="n">
        <f aca="false">'Raw Data'!G494</f>
        <v>45797</v>
      </c>
      <c r="H495" s="1" t="n">
        <f aca="false">'Raw Data'!H494</f>
        <v>179</v>
      </c>
      <c r="I495" s="24" t="n">
        <f aca="false">'Raw Data'!I494</f>
        <v>0</v>
      </c>
      <c r="J495" s="1" t="str">
        <f aca="false">IF('Raw Data'!J494="None","None",IF(ISBLANK('Raw Data'!J494),"None",'Raw Data'!J494))</f>
        <v>None</v>
      </c>
      <c r="K495" s="1" t="str">
        <f aca="false">'Raw Data'!K494</f>
        <v>Completed</v>
      </c>
      <c r="L495" s="1" t="str">
        <f aca="false">'Raw Data'!L494</f>
        <v>Free</v>
      </c>
      <c r="M495" s="1" t="n">
        <f aca="false">'Raw Data'!M494</f>
        <v>10</v>
      </c>
      <c r="N495" s="1" t="str">
        <f aca="false">'Raw Data'!N494</f>
        <v>Yes</v>
      </c>
    </row>
    <row r="496" customFormat="false" ht="15" hidden="false" customHeight="true" outlineLevel="0" collapsed="false">
      <c r="A496" s="1" t="str">
        <f aca="false">'Raw Data'!A495</f>
        <v>S00492</v>
      </c>
      <c r="B496" s="1" t="str">
        <f aca="false">'Raw Data'!B495</f>
        <v>P6606</v>
      </c>
      <c r="C496" s="1" t="str">
        <f aca="false">'Raw Data'!C495</f>
        <v>krogers</v>
      </c>
      <c r="D496" s="1" t="str">
        <f aca="false">'Raw Data'!D495</f>
        <v>SpeedX</v>
      </c>
      <c r="E496" s="1" t="str">
        <f aca="false">'Raw Data'!E495</f>
        <v>PC</v>
      </c>
      <c r="F496" s="1" t="str">
        <f aca="false">'Raw Data'!F495</f>
        <v>North</v>
      </c>
      <c r="G496" s="23" t="n">
        <f aca="false">'Raw Data'!G495</f>
        <v>45738</v>
      </c>
      <c r="H496" s="1" t="n">
        <f aca="false">'Raw Data'!H495</f>
        <v>63</v>
      </c>
      <c r="I496" s="24" t="n">
        <f aca="false">'Raw Data'!I495</f>
        <v>0</v>
      </c>
      <c r="J496" s="1" t="str">
        <f aca="false">IF('Raw Data'!J495="None","None",IF(ISBLANK('Raw Data'!J495),"None",'Raw Data'!J495))</f>
        <v>None</v>
      </c>
      <c r="K496" s="1" t="str">
        <f aca="false">'Raw Data'!K495</f>
        <v>Completed</v>
      </c>
      <c r="L496" s="1" t="str">
        <f aca="false">'Raw Data'!L495</f>
        <v>Free</v>
      </c>
      <c r="M496" s="1" t="n">
        <f aca="false">'Raw Data'!M495</f>
        <v>4</v>
      </c>
      <c r="N496" s="1" t="str">
        <f aca="false">'Raw Data'!N495</f>
        <v>No</v>
      </c>
    </row>
    <row r="497" customFormat="false" ht="15" hidden="false" customHeight="true" outlineLevel="0" collapsed="false">
      <c r="A497" s="1" t="str">
        <f aca="false">'Raw Data'!A496</f>
        <v>S00493</v>
      </c>
      <c r="B497" s="1" t="str">
        <f aca="false">'Raw Data'!B496</f>
        <v>P2133</v>
      </c>
      <c r="C497" s="1" t="str">
        <f aca="false">'Raw Data'!C496</f>
        <v>scott72</v>
      </c>
      <c r="D497" s="1" t="str">
        <f aca="false">'Raw Data'!D496</f>
        <v>Zombie Rush</v>
      </c>
      <c r="E497" s="1" t="str">
        <f aca="false">'Raw Data'!E496</f>
        <v>PC</v>
      </c>
      <c r="F497" s="1" t="str">
        <f aca="false">'Raw Data'!F496</f>
        <v>East</v>
      </c>
      <c r="G497" s="23" t="n">
        <f aca="false">'Raw Data'!G496</f>
        <v>45777</v>
      </c>
      <c r="H497" s="1" t="n">
        <f aca="false">'Raw Data'!H496</f>
        <v>21</v>
      </c>
      <c r="I497" s="24" t="n">
        <f aca="false">'Raw Data'!I496</f>
        <v>0</v>
      </c>
      <c r="J497" s="1" t="str">
        <f aca="false">IF('Raw Data'!J496="None","None",IF(ISBLANK('Raw Data'!J496),"None",'Raw Data'!J496))</f>
        <v>None</v>
      </c>
      <c r="K497" s="1" t="str">
        <f aca="false">'Raw Data'!K496</f>
        <v>Completed</v>
      </c>
      <c r="L497" s="1" t="str">
        <f aca="false">'Raw Data'!L496</f>
        <v>Free</v>
      </c>
      <c r="M497" s="1" t="n">
        <f aca="false">'Raw Data'!M496</f>
        <v>22</v>
      </c>
      <c r="N497" s="1" t="str">
        <f aca="false">'Raw Data'!N496</f>
        <v>No</v>
      </c>
    </row>
    <row r="498" customFormat="false" ht="15" hidden="false" customHeight="true" outlineLevel="0" collapsed="false">
      <c r="A498" s="1" t="str">
        <f aca="false">'Raw Data'!A497</f>
        <v>S00494</v>
      </c>
      <c r="B498" s="1" t="str">
        <f aca="false">'Raw Data'!B497</f>
        <v>P3534</v>
      </c>
      <c r="C498" s="1" t="str">
        <f aca="false">'Raw Data'!C497</f>
        <v>simsalexis</v>
      </c>
      <c r="D498" s="1" t="str">
        <f aca="false">'Raw Data'!D497</f>
        <v>Clash of Realms</v>
      </c>
      <c r="E498" s="1" t="str">
        <f aca="false">'Raw Data'!E497</f>
        <v>PC</v>
      </c>
      <c r="F498" s="1" t="str">
        <f aca="false">'Raw Data'!F497</f>
        <v>East</v>
      </c>
      <c r="G498" s="23" t="n">
        <f aca="false">'Raw Data'!G497</f>
        <v>45763</v>
      </c>
      <c r="H498" s="1" t="n">
        <f aca="false">'Raw Data'!H497</f>
        <v>56</v>
      </c>
      <c r="I498" s="24" t="n">
        <f aca="false">'Raw Data'!I497</f>
        <v>46.31</v>
      </c>
      <c r="J498" s="1" t="str">
        <f aca="false">IF('Raw Data'!J497="None","None",IF(ISBLANK('Raw Data'!J497),"None",'Raw Data'!J497))</f>
        <v>Skins</v>
      </c>
      <c r="K498" s="1" t="str">
        <f aca="false">'Raw Data'!K497</f>
        <v>Completed</v>
      </c>
      <c r="L498" s="1" t="str">
        <f aca="false">'Raw Data'!L497</f>
        <v>Paid</v>
      </c>
      <c r="M498" s="1" t="n">
        <f aca="false">'Raw Data'!M497</f>
        <v>11</v>
      </c>
      <c r="N498" s="1" t="str">
        <f aca="false">'Raw Data'!N497</f>
        <v>Yes</v>
      </c>
    </row>
    <row r="499" customFormat="false" ht="15" hidden="false" customHeight="true" outlineLevel="0" collapsed="false">
      <c r="A499" s="1" t="str">
        <f aca="false">'Raw Data'!A498</f>
        <v>S00495</v>
      </c>
      <c r="B499" s="1" t="str">
        <f aca="false">'Raw Data'!B498</f>
        <v>P7831</v>
      </c>
      <c r="C499" s="1" t="str">
        <f aca="false">'Raw Data'!C498</f>
        <v>kingsandra</v>
      </c>
      <c r="D499" s="1" t="str">
        <f aca="false">'Raw Data'!D498</f>
        <v>Empire Wars</v>
      </c>
      <c r="E499" s="1" t="str">
        <f aca="false">'Raw Data'!E498</f>
        <v>Console</v>
      </c>
      <c r="F499" s="1" t="str">
        <f aca="false">'Raw Data'!F498</f>
        <v>West</v>
      </c>
      <c r="G499" s="23" t="n">
        <f aca="false">'Raw Data'!G498</f>
        <v>45672</v>
      </c>
      <c r="H499" s="1" t="n">
        <f aca="false">'Raw Data'!H498</f>
        <v>171</v>
      </c>
      <c r="I499" s="24" t="n">
        <f aca="false">'Raw Data'!I498</f>
        <v>0</v>
      </c>
      <c r="J499" s="1" t="str">
        <f aca="false">IF('Raw Data'!J498="None","None",IF(ISBLANK('Raw Data'!J498),"None",'Raw Data'!J498))</f>
        <v>None</v>
      </c>
      <c r="K499" s="1" t="str">
        <f aca="false">'Raw Data'!K498</f>
        <v>Completed</v>
      </c>
      <c r="L499" s="1" t="str">
        <f aca="false">'Raw Data'!L498</f>
        <v>Free</v>
      </c>
      <c r="M499" s="1" t="n">
        <f aca="false">'Raw Data'!M498</f>
        <v>35</v>
      </c>
      <c r="N499" s="1" t="str">
        <f aca="false">'Raw Data'!N498</f>
        <v>Yes</v>
      </c>
    </row>
    <row r="500" customFormat="false" ht="15" hidden="false" customHeight="true" outlineLevel="0" collapsed="false">
      <c r="A500" s="1" t="str">
        <f aca="false">'Raw Data'!A499</f>
        <v>S00496</v>
      </c>
      <c r="B500" s="1" t="str">
        <f aca="false">'Raw Data'!B499</f>
        <v>P2872</v>
      </c>
      <c r="C500" s="1" t="str">
        <f aca="false">'Raw Data'!C499</f>
        <v>april12</v>
      </c>
      <c r="D500" s="1" t="str">
        <f aca="false">'Raw Data'!D499</f>
        <v>BattleZone</v>
      </c>
      <c r="E500" s="1" t="str">
        <f aca="false">'Raw Data'!E499</f>
        <v>Mobile</v>
      </c>
      <c r="F500" s="1" t="str">
        <f aca="false">'Raw Data'!F499</f>
        <v>North</v>
      </c>
      <c r="G500" s="23" t="n">
        <f aca="false">'Raw Data'!G499</f>
        <v>45743</v>
      </c>
      <c r="H500" s="1" t="n">
        <f aca="false">'Raw Data'!H499</f>
        <v>24</v>
      </c>
      <c r="I500" s="24" t="n">
        <f aca="false">'Raw Data'!I499</f>
        <v>0</v>
      </c>
      <c r="J500" s="1" t="str">
        <f aca="false">IF('Raw Data'!J499="None","None",IF(ISBLANK('Raw Data'!J499),"None",'Raw Data'!J499))</f>
        <v>None</v>
      </c>
      <c r="K500" s="1" t="str">
        <f aca="false">'Raw Data'!K499</f>
        <v>Completed</v>
      </c>
      <c r="L500" s="1" t="str">
        <f aca="false">'Raw Data'!L499</f>
        <v>Paid</v>
      </c>
      <c r="M500" s="1" t="n">
        <f aca="false">'Raw Data'!M499</f>
        <v>33</v>
      </c>
      <c r="N500" s="1" t="str">
        <f aca="false">'Raw Data'!N499</f>
        <v>No</v>
      </c>
    </row>
    <row r="501" customFormat="false" ht="15" hidden="false" customHeight="true" outlineLevel="0" collapsed="false">
      <c r="A501" s="1" t="str">
        <f aca="false">'Raw Data'!A500</f>
        <v>S00497</v>
      </c>
      <c r="B501" s="1" t="str">
        <f aca="false">'Raw Data'!B500</f>
        <v>P1457</v>
      </c>
      <c r="C501" s="1" t="str">
        <f aca="false">'Raw Data'!C500</f>
        <v>turnersusan</v>
      </c>
      <c r="D501" s="1" t="str">
        <f aca="false">'Raw Data'!D500</f>
        <v>Empire Wars</v>
      </c>
      <c r="E501" s="1" t="str">
        <f aca="false">'Raw Data'!E500</f>
        <v>Mobile</v>
      </c>
      <c r="F501" s="1" t="str">
        <f aca="false">'Raw Data'!F500</f>
        <v>West</v>
      </c>
      <c r="G501" s="23" t="n">
        <f aca="false">'Raw Data'!G500</f>
        <v>45702</v>
      </c>
      <c r="H501" s="1" t="n">
        <f aca="false">'Raw Data'!H500</f>
        <v>157</v>
      </c>
      <c r="I501" s="24" t="n">
        <f aca="false">'Raw Data'!I500</f>
        <v>26.84</v>
      </c>
      <c r="J501" s="1" t="str">
        <f aca="false">IF('Raw Data'!J500="None","None",IF(ISBLANK('Raw Data'!J500),"None",'Raw Data'!J500))</f>
        <v>Boosters</v>
      </c>
      <c r="K501" s="1" t="str">
        <f aca="false">'Raw Data'!K500</f>
        <v>Completed</v>
      </c>
      <c r="L501" s="1" t="str">
        <f aca="false">'Raw Data'!L500</f>
        <v>Paid</v>
      </c>
      <c r="M501" s="1" t="n">
        <f aca="false">'Raw Data'!M500</f>
        <v>25</v>
      </c>
      <c r="N501" s="1" t="str">
        <f aca="false">'Raw Data'!N500</f>
        <v>Yes</v>
      </c>
    </row>
    <row r="502" customFormat="false" ht="15" hidden="false" customHeight="true" outlineLevel="0" collapsed="false">
      <c r="A502" s="1" t="str">
        <f aca="false">'Raw Data'!A501</f>
        <v>S00498</v>
      </c>
      <c r="B502" s="1" t="str">
        <f aca="false">'Raw Data'!B501</f>
        <v>P6771</v>
      </c>
      <c r="C502" s="1" t="str">
        <f aca="false">'Raw Data'!C501</f>
        <v>kenneth92</v>
      </c>
      <c r="D502" s="1" t="str">
        <f aca="false">'Raw Data'!D501</f>
        <v>BattleZone</v>
      </c>
      <c r="E502" s="1" t="str">
        <f aca="false">'Raw Data'!E501</f>
        <v>PC</v>
      </c>
      <c r="F502" s="1" t="str">
        <f aca="false">'Raw Data'!F501</f>
        <v>West</v>
      </c>
      <c r="G502" s="23" t="n">
        <f aca="false">'Raw Data'!G501</f>
        <v>45675</v>
      </c>
      <c r="H502" s="1" t="n">
        <f aca="false">'Raw Data'!H501</f>
        <v>44</v>
      </c>
      <c r="I502" s="24" t="n">
        <f aca="false">'Raw Data'!I501</f>
        <v>0</v>
      </c>
      <c r="J502" s="1" t="str">
        <f aca="false">IF('Raw Data'!J501="None","None",IF(ISBLANK('Raw Data'!J501),"None",'Raw Data'!J501))</f>
        <v>None</v>
      </c>
      <c r="K502" s="1" t="str">
        <f aca="false">'Raw Data'!K501</f>
        <v>Completed</v>
      </c>
      <c r="L502" s="1" t="str">
        <f aca="false">'Raw Data'!L501</f>
        <v>Free</v>
      </c>
      <c r="M502" s="1" t="n">
        <f aca="false">'Raw Data'!M501</f>
        <v>42</v>
      </c>
      <c r="N502" s="1" t="str">
        <f aca="false">'Raw Data'!N501</f>
        <v>No</v>
      </c>
    </row>
    <row r="503" customFormat="false" ht="15" hidden="false" customHeight="true" outlineLevel="0" collapsed="false">
      <c r="A503" s="1" t="str">
        <f aca="false">'Raw Data'!A502</f>
        <v>S00499</v>
      </c>
      <c r="B503" s="1" t="str">
        <f aca="false">'Raw Data'!B502</f>
        <v>P1107</v>
      </c>
      <c r="C503" s="1" t="str">
        <f aca="false">'Raw Data'!C502</f>
        <v>victoria57</v>
      </c>
      <c r="D503" s="1" t="str">
        <f aca="false">'Raw Data'!D502</f>
        <v>Clash of Realms</v>
      </c>
      <c r="E503" s="1" t="str">
        <f aca="false">'Raw Data'!E502</f>
        <v>Mobile</v>
      </c>
      <c r="F503" s="1" t="str">
        <f aca="false">'Raw Data'!F502</f>
        <v>South</v>
      </c>
      <c r="G503" s="23" t="n">
        <f aca="false">'Raw Data'!G502</f>
        <v>45660</v>
      </c>
      <c r="H503" s="1" t="n">
        <f aca="false">'Raw Data'!H502</f>
        <v>172</v>
      </c>
      <c r="I503" s="24" t="n">
        <f aca="false">'Raw Data'!I502</f>
        <v>0</v>
      </c>
      <c r="J503" s="1" t="str">
        <f aca="false">IF('Raw Data'!J502="None","None",IF(ISBLANK('Raw Data'!J502),"None",'Raw Data'!J502))</f>
        <v>None</v>
      </c>
      <c r="K503" s="1" t="str">
        <f aca="false">'Raw Data'!K502</f>
        <v>Exited Early</v>
      </c>
      <c r="L503" s="1" t="str">
        <f aca="false">'Raw Data'!L502</f>
        <v>Free</v>
      </c>
      <c r="M503" s="1" t="n">
        <f aca="false">'Raw Data'!M502</f>
        <v>4</v>
      </c>
      <c r="N503" s="1" t="str">
        <f aca="false">'Raw Data'!N502</f>
        <v>Yes</v>
      </c>
    </row>
    <row r="504" customFormat="false" ht="15" hidden="false" customHeight="true" outlineLevel="0" collapsed="false">
      <c r="A504" s="1" t="str">
        <f aca="false">'Raw Data'!A503</f>
        <v>S00500</v>
      </c>
      <c r="B504" s="1" t="str">
        <f aca="false">'Raw Data'!B503</f>
        <v>P4402</v>
      </c>
      <c r="C504" s="1" t="str">
        <f aca="false">'Raw Data'!C503</f>
        <v>fnolan</v>
      </c>
      <c r="D504" s="1" t="str">
        <f aca="false">'Raw Data'!D503</f>
        <v>BattleZone</v>
      </c>
      <c r="E504" s="1" t="str">
        <f aca="false">'Raw Data'!E503</f>
        <v>Console</v>
      </c>
      <c r="F504" s="1" t="str">
        <f aca="false">'Raw Data'!F503</f>
        <v>North</v>
      </c>
      <c r="G504" s="23" t="n">
        <f aca="false">'Raw Data'!G503</f>
        <v>45656</v>
      </c>
      <c r="H504" s="1" t="n">
        <f aca="false">'Raw Data'!H503</f>
        <v>20</v>
      </c>
      <c r="I504" s="24" t="n">
        <f aca="false">'Raw Data'!I503</f>
        <v>0</v>
      </c>
      <c r="J504" s="1" t="str">
        <f aca="false">IF('Raw Data'!J503="None","None",IF(ISBLANK('Raw Data'!J503),"None",'Raw Data'!J503))</f>
        <v>None</v>
      </c>
      <c r="K504" s="1" t="str">
        <f aca="false">'Raw Data'!K503</f>
        <v>Completed</v>
      </c>
      <c r="L504" s="1" t="str">
        <f aca="false">'Raw Data'!L503</f>
        <v>Paid</v>
      </c>
      <c r="M504" s="1" t="n">
        <f aca="false">'Raw Data'!M503</f>
        <v>30</v>
      </c>
      <c r="N504" s="1" t="str">
        <f aca="false">'Raw Data'!N503</f>
        <v>No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8"/>
    <col collapsed="false" customWidth="true" hidden="false" outlineLevel="0" max="4" min="3" style="1" width="16"/>
  </cols>
  <sheetData>
    <row r="1" customFormat="false" ht="17.25" hidden="false" customHeight="true" outlineLevel="0" collapsed="false">
      <c r="A1" s="13" t="s">
        <v>84</v>
      </c>
      <c r="B1" s="13"/>
      <c r="C1" s="13"/>
      <c r="D1" s="13"/>
    </row>
    <row r="2" customFormat="false" ht="15" hidden="false" customHeight="true" outlineLevel="0" collapsed="false">
      <c r="A2" s="14" t="s">
        <v>85</v>
      </c>
      <c r="B2" s="14"/>
      <c r="C2" s="14"/>
      <c r="D2" s="14"/>
    </row>
    <row r="4" customFormat="false" ht="15" hidden="false" customHeight="true" outlineLevel="0" collapsed="false">
      <c r="A4" s="25" t="s">
        <v>86</v>
      </c>
      <c r="B4" s="25" t="s">
        <v>87</v>
      </c>
      <c r="C4" s="25" t="s">
        <v>88</v>
      </c>
      <c r="D4" s="25" t="s">
        <v>89</v>
      </c>
    </row>
    <row r="5" customFormat="false" ht="30" hidden="false" customHeight="true" outlineLevel="0" collapsed="false">
      <c r="A5" s="26" t="s">
        <v>90</v>
      </c>
      <c r="B5" s="27" t="n">
        <f aca="false">COUNTA('Raw Data'!A4:A503)-SUMPRODUCT(1/COUNTIF('Raw Data'!A4:A503,'Raw Data'!A4:A503))</f>
        <v>0</v>
      </c>
      <c r="C5" s="28" t="n">
        <f aca="false">COUNTA('Raw Data'!A4:A503)-SUMPRODUCT(1/COUNTIF('Raw Data'!A4:A503,'Raw Data'!A4:A503))</f>
        <v>0</v>
      </c>
      <c r="D5" s="29" t="str">
        <f aca="false">IF(C5=0,"PASS","REVIEW")</f>
        <v>PASS</v>
      </c>
    </row>
    <row r="6" customFormat="false" ht="30" hidden="false" customHeight="true" outlineLevel="0" collapsed="false">
      <c r="A6" s="26" t="s">
        <v>91</v>
      </c>
      <c r="B6" s="27" t="n">
        <f aca="false">COUNTBLANK('Raw Data'!G4:G503)</f>
        <v>0</v>
      </c>
      <c r="C6" s="28" t="n">
        <f aca="false">COUNTBLANK('Raw Data'!G4:G503)</f>
        <v>0</v>
      </c>
      <c r="D6" s="29" t="str">
        <f aca="false">IF(C6=0,"PASS","REVIEW")</f>
        <v>PASS</v>
      </c>
    </row>
    <row r="7" customFormat="false" ht="30" hidden="false" customHeight="true" outlineLevel="0" collapsed="false">
      <c r="A7" s="26" t="s">
        <v>92</v>
      </c>
      <c r="B7" s="27" t="n">
        <f aca="false">COUNTBLANK('Raw Data'!H4:H503)</f>
        <v>0</v>
      </c>
      <c r="C7" s="28" t="n">
        <f aca="false">COUNTBLANK('Raw Data'!H4:H503)</f>
        <v>0</v>
      </c>
      <c r="D7" s="29" t="str">
        <f aca="false">IF(C7=0,"PASS","REVIEW")</f>
        <v>PASS</v>
      </c>
    </row>
    <row r="8" customFormat="false" ht="30" hidden="false" customHeight="true" outlineLevel="0" collapsed="false">
      <c r="A8" s="26" t="s">
        <v>93</v>
      </c>
      <c r="B8" s="27" t="n">
        <f aca="false">COUNTBLANK('Raw Data'!I4:I503)</f>
        <v>0</v>
      </c>
      <c r="C8" s="28" t="n">
        <f aca="false">COUNTBLANK('Raw Data'!I4:I503)</f>
        <v>0</v>
      </c>
      <c r="D8" s="29" t="str">
        <f aca="false">IF(C8=0,"PASS","REVIEW")</f>
        <v>PASS</v>
      </c>
    </row>
    <row r="9" customFormat="false" ht="30" hidden="false" customHeight="true" outlineLevel="0" collapsed="false">
      <c r="A9" s="26" t="s">
        <v>94</v>
      </c>
      <c r="B9" s="27" t="n">
        <f aca="false">COUNTBLANK('Raw Data'!E4:E503)</f>
        <v>0</v>
      </c>
      <c r="C9" s="28" t="n">
        <f aca="false">COUNTBLANK('Raw Data'!E4:E503)</f>
        <v>0</v>
      </c>
      <c r="D9" s="29" t="str">
        <f aca="false">IF(C9=0,"PASS","REVIEW")</f>
        <v>PASS</v>
      </c>
    </row>
    <row r="10" customFormat="false" ht="30" hidden="false" customHeight="true" outlineLevel="0" collapsed="false">
      <c r="A10" s="26" t="s">
        <v>95</v>
      </c>
      <c r="B10" s="27" t="n">
        <f aca="false">COUNTIFS('Raw Data'!H4:H503,"&lt;0")</f>
        <v>0</v>
      </c>
      <c r="C10" s="28" t="n">
        <f aca="false">COUNTIFS('Raw Data'!H4:H503,"&lt;0")</f>
        <v>0</v>
      </c>
      <c r="D10" s="29" t="str">
        <f aca="false">IF(C10=0,"PASS","REVIEW")</f>
        <v>PASS</v>
      </c>
    </row>
    <row r="11" customFormat="false" ht="30" hidden="false" customHeight="true" outlineLevel="0" collapsed="false">
      <c r="A11" s="26" t="s">
        <v>96</v>
      </c>
      <c r="B11" s="27" t="n">
        <f aca="false">COUNTIFS('Raw Data'!I4:I503,"&lt;0")</f>
        <v>0</v>
      </c>
      <c r="C11" s="28" t="n">
        <f aca="false">COUNTIFS('Raw Data'!I4:I503,"&lt;0")</f>
        <v>0</v>
      </c>
      <c r="D11" s="29" t="str">
        <f aca="false">IF(C11=0,"PASS","REVIEW")</f>
        <v>PASS</v>
      </c>
    </row>
    <row r="12" customFormat="false" ht="30" hidden="false" customHeight="true" outlineLevel="0" collapsed="false">
      <c r="A12" s="26" t="s">
        <v>97</v>
      </c>
      <c r="B12" s="27" t="n">
        <f aca="false">COUNTIFS('Raw Data'!H4:H503,"&gt;200")</f>
        <v>0</v>
      </c>
      <c r="C12" s="28" t="n">
        <f aca="false">COUNTIFS('Raw Data'!H4:H503,"&gt;200")</f>
        <v>0</v>
      </c>
      <c r="D12" s="29" t="str">
        <f aca="false">IF(C12=0,"PASS","REVIEW")</f>
        <v>PASS</v>
      </c>
    </row>
    <row r="13" customFormat="false" ht="30" hidden="false" customHeight="true" outlineLevel="0" collapsed="false">
      <c r="A13" s="26" t="s">
        <v>98</v>
      </c>
      <c r="B13" s="27" t="n">
        <f aca="false">COUNTIFS('Raw Data'!I4:I503,"&gt;100")</f>
        <v>0</v>
      </c>
      <c r="C13" s="28" t="n">
        <f aca="false">COUNTIFS('Raw Data'!I4:I503,"&gt;100")</f>
        <v>0</v>
      </c>
      <c r="D13" s="29" t="str">
        <f aca="false">IF(C13=0,"PASS","REVIEW")</f>
        <v>PASS</v>
      </c>
    </row>
    <row r="14" customFormat="false" ht="30" hidden="false" customHeight="true" outlineLevel="0" collapsed="false">
      <c r="A14" s="26" t="s">
        <v>99</v>
      </c>
      <c r="B14" s="27" t="n">
        <f aca="false">COUNTIFS('Raw Data'!G4:G503,"&lt;"&amp;DATE(2024,1,1))+COUNTIFS('Raw Data'!G4:G503,"&gt;"&amp;DATE(2025,6,30))</f>
        <v>0</v>
      </c>
      <c r="C14" s="28" t="n">
        <f aca="false">COUNTIFS('Raw Data'!G4:G503,"&lt;"&amp;DATE(2024,1,1))+COUNTIFS('Raw Data'!G4:G503,"&gt;"&amp;DATE(2025,6,30))</f>
        <v>0</v>
      </c>
      <c r="D14" s="29" t="str">
        <f aca="false">IF(C14=0,"PASS","REVIEW")</f>
        <v>PASS</v>
      </c>
    </row>
    <row r="15" customFormat="false" ht="30" hidden="false" customHeight="true" outlineLevel="0" collapsed="false">
      <c r="A15" s="26" t="s">
        <v>100</v>
      </c>
      <c r="B15" s="27" t="n">
        <f aca="false">SUMPRODUCT(--(TRIM('Raw Data'!D4:D503)&lt;&gt;'Raw Data'!D4:D503))+SUMPRODUCT(--(TRIM('Raw Data'!E4:E503)&lt;&gt;'Raw Data'!E4:E503))+SUMPRODUCT(--(TRIM('Raw Data'!F4:F503)&lt;&gt;'Raw Data'!F4:F503))</f>
        <v>0</v>
      </c>
      <c r="C15" s="28" t="n">
        <f aca="false">SUMPRODUCT(--(TRIM('Raw Data'!D4:D503)&lt;&gt;'Raw Data'!D4:D503))+SUMPRODUCT(--(TRIM('Raw Data'!E4:E503)&lt;&gt;'Raw Data'!E4:E503))+SUMPRODUCT(--(TRIM('Raw Data'!F4:F503)&lt;&gt;'Raw Data'!F4:F503))</f>
        <v>0</v>
      </c>
      <c r="D15" s="29" t="str">
        <f aca="false">IF(C15=0,"PASS","REVIEW")</f>
        <v>PASS</v>
      </c>
    </row>
    <row r="16" customFormat="false" ht="30" hidden="false" customHeight="true" outlineLevel="0" collapsed="false">
      <c r="A16" s="26" t="s">
        <v>101</v>
      </c>
      <c r="B16" s="27" t="n">
        <f aca="false">SUMPRODUCT(--((('Raw Data'!H4:H503&gt;150)*('Raw Data'!I4:I503&gt;40))&lt;&gt;('Raw Data'!N4:N503="Yes")))</f>
        <v>100</v>
      </c>
      <c r="C16" s="28" t="n">
        <f aca="false">SUMPRODUCT(--((('Raw Data'!H4:H503&gt;150)*('Raw Data'!I4:I503&gt;40))&lt;&gt;('Raw Data'!N4:N503="Yes")))</f>
        <v>100</v>
      </c>
      <c r="D16" s="29" t="str">
        <f aca="false">IF(C16=0,"PASS","MISMATCH")</f>
        <v>MISMATCH</v>
      </c>
    </row>
    <row r="17" customFormat="false" ht="30" hidden="false" customHeight="true" outlineLevel="0" collapsed="false">
      <c r="A17" s="26" t="s">
        <v>102</v>
      </c>
      <c r="B17" s="27" t="n">
        <f aca="false">SUMPRODUCT(--((('Raw Data'!H4:H503&gt;150)+('Raw Data'!I4:I503&gt;40)&gt;0)&lt;&gt;('Raw Data'!N4:N503="Yes")))</f>
        <v>0</v>
      </c>
      <c r="C17" s="28" t="n">
        <f aca="false">SUMPRODUCT(--((('Raw Data'!H4:H503&gt;150)+('Raw Data'!I4:I503&gt;40)&gt;0)&lt;&gt;('Raw Data'!N4:N503="Yes")))</f>
        <v>0</v>
      </c>
      <c r="D17" s="29" t="str">
        <f aca="false">IF(C17=0,"PASS","REVIEW")</f>
        <v>PASS</v>
      </c>
    </row>
    <row r="20" customFormat="false" ht="15" hidden="false" customHeight="true" outlineLevel="0" collapsed="false">
      <c r="A20" s="30" t="s">
        <v>103</v>
      </c>
      <c r="B20" s="30"/>
      <c r="C20" s="30"/>
      <c r="D20" s="30"/>
    </row>
    <row r="21" customFormat="false" ht="45.75" hidden="false" customHeight="true" outlineLevel="0" collapsed="false">
      <c r="A21" s="31" t="s">
        <v>104</v>
      </c>
      <c r="B21" s="32" t="s">
        <v>105</v>
      </c>
      <c r="C21" s="32"/>
      <c r="D21" s="32"/>
    </row>
    <row r="22" customFormat="false" ht="45.75" hidden="false" customHeight="true" outlineLevel="0" collapsed="false">
      <c r="A22" s="31" t="s">
        <v>106</v>
      </c>
      <c r="B22" s="32" t="s">
        <v>107</v>
      </c>
      <c r="C22" s="32"/>
      <c r="D22" s="32"/>
    </row>
    <row r="23" customFormat="false" ht="45.75" hidden="false" customHeight="true" outlineLevel="0" collapsed="false">
      <c r="A23" s="31" t="s">
        <v>108</v>
      </c>
      <c r="B23" s="32" t="s">
        <v>109</v>
      </c>
      <c r="C23" s="32"/>
      <c r="D23" s="32"/>
    </row>
    <row r="24" customFormat="false" ht="45.75" hidden="false" customHeight="true" outlineLevel="0" collapsed="false">
      <c r="A24" s="31" t="s">
        <v>110</v>
      </c>
      <c r="B24" s="32" t="s">
        <v>111</v>
      </c>
      <c r="C24" s="32"/>
      <c r="D24" s="32"/>
    </row>
  </sheetData>
  <mergeCells count="7">
    <mergeCell ref="A1:D1"/>
    <mergeCell ref="A2:D2"/>
    <mergeCell ref="A20:D20"/>
    <mergeCell ref="B21:D21"/>
    <mergeCell ref="B22:D22"/>
    <mergeCell ref="B23:D23"/>
    <mergeCell ref="B24:D24"/>
  </mergeCells>
  <conditionalFormatting sqref="D5:D17">
    <cfRule type="expression" priority="2" aboveAverage="0" equalAverage="0" bottom="0" percent="0" rank="0" text="" dxfId="2">
      <formula>D5="PASS"</formula>
    </cfRule>
    <cfRule type="expression" priority="3" aboveAverage="0" equalAverage="0" bottom="0" percent="0" rank="0" text="" dxfId="3">
      <formula>D5="REVIEW"</formula>
    </cfRule>
    <cfRule type="expression" priority="4" aboveAverage="0" equalAverage="0" bottom="0" percent="0" rank="0" text="" dxfId="4">
      <formula>D5="MISMATCH"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7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8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2" min="12" style="1" width="13"/>
    <col collapsed="false" customWidth="true" hidden="false" outlineLevel="0" max="14" min="13" style="1" width="15"/>
  </cols>
  <sheetData>
    <row r="1" customFormat="false" ht="21.75" hidden="false" customHeight="true" outlineLevel="0" collapsed="false">
      <c r="A1" s="13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customFormat="false" ht="15" hidden="false" customHeight="true" outlineLevel="0" collapsed="false">
      <c r="A3" s="22" t="s">
        <v>73</v>
      </c>
      <c r="B3" s="22" t="s">
        <v>74</v>
      </c>
      <c r="C3" s="22" t="s">
        <v>75</v>
      </c>
      <c r="D3" s="22" t="s">
        <v>4</v>
      </c>
      <c r="E3" s="22" t="s">
        <v>3</v>
      </c>
      <c r="F3" s="22" t="s">
        <v>2</v>
      </c>
      <c r="G3" s="22" t="s">
        <v>76</v>
      </c>
      <c r="H3" s="22" t="s">
        <v>77</v>
      </c>
      <c r="I3" s="22" t="s">
        <v>78</v>
      </c>
      <c r="J3" s="22" t="s">
        <v>5</v>
      </c>
      <c r="K3" s="22" t="s">
        <v>62</v>
      </c>
      <c r="L3" s="22" t="s">
        <v>6</v>
      </c>
      <c r="M3" s="22" t="s">
        <v>79</v>
      </c>
      <c r="N3" s="22" t="s">
        <v>80</v>
      </c>
    </row>
    <row r="4" customFormat="false" ht="15" hidden="false" customHeight="true" outlineLevel="0" collapsed="false">
      <c r="A4" s="1" t="s">
        <v>113</v>
      </c>
      <c r="B4" s="1" t="s">
        <v>114</v>
      </c>
      <c r="C4" s="1" t="s">
        <v>115</v>
      </c>
      <c r="D4" s="1" t="s">
        <v>116</v>
      </c>
      <c r="E4" s="1" t="s">
        <v>52</v>
      </c>
      <c r="F4" s="1" t="s">
        <v>56</v>
      </c>
      <c r="G4" s="23" t="n">
        <v>45696</v>
      </c>
      <c r="H4" s="1" t="n">
        <v>179</v>
      </c>
      <c r="I4" s="24" t="n">
        <v>0</v>
      </c>
      <c r="K4" s="1" t="s">
        <v>64</v>
      </c>
      <c r="L4" s="1" t="s">
        <v>69</v>
      </c>
      <c r="M4" s="1" t="n">
        <v>42</v>
      </c>
      <c r="N4" s="1" t="s">
        <v>38</v>
      </c>
    </row>
    <row r="5" customFormat="false" ht="15" hidden="false" customHeight="true" outlineLevel="0" collapsed="false">
      <c r="A5" s="1" t="s">
        <v>117</v>
      </c>
      <c r="B5" s="1" t="s">
        <v>118</v>
      </c>
      <c r="C5" s="1" t="s">
        <v>119</v>
      </c>
      <c r="D5" s="1" t="s">
        <v>120</v>
      </c>
      <c r="E5" s="1" t="s">
        <v>50</v>
      </c>
      <c r="F5" s="1" t="s">
        <v>55</v>
      </c>
      <c r="G5" s="23" t="n">
        <v>45642</v>
      </c>
      <c r="H5" s="1" t="n">
        <v>75</v>
      </c>
      <c r="I5" s="24" t="n">
        <v>26.02</v>
      </c>
      <c r="J5" s="1" t="s">
        <v>121</v>
      </c>
      <c r="K5" s="1" t="s">
        <v>64</v>
      </c>
      <c r="L5" s="1" t="s">
        <v>70</v>
      </c>
      <c r="M5" s="1" t="n">
        <v>11</v>
      </c>
      <c r="N5" s="1" t="s">
        <v>39</v>
      </c>
    </row>
    <row r="6" customFormat="false" ht="15" hidden="false" customHeight="true" outlineLevel="0" collapsed="false">
      <c r="A6" s="1" t="s">
        <v>122</v>
      </c>
      <c r="B6" s="1" t="s">
        <v>123</v>
      </c>
      <c r="C6" s="1" t="s">
        <v>124</v>
      </c>
      <c r="D6" s="1" t="s">
        <v>125</v>
      </c>
      <c r="E6" s="1" t="s">
        <v>52</v>
      </c>
      <c r="F6" s="1" t="s">
        <v>56</v>
      </c>
      <c r="G6" s="23" t="n">
        <v>45643</v>
      </c>
      <c r="H6" s="1" t="n">
        <v>36</v>
      </c>
      <c r="I6" s="24" t="n">
        <v>2.94</v>
      </c>
      <c r="J6" s="1" t="s">
        <v>126</v>
      </c>
      <c r="K6" s="1" t="s">
        <v>64</v>
      </c>
      <c r="L6" s="1" t="s">
        <v>70</v>
      </c>
      <c r="M6" s="1" t="n">
        <v>4</v>
      </c>
      <c r="N6" s="1" t="s">
        <v>39</v>
      </c>
    </row>
    <row r="7" customFormat="false" ht="15" hidden="false" customHeight="true" outlineLevel="0" collapsed="false">
      <c r="A7" s="1" t="s">
        <v>127</v>
      </c>
      <c r="B7" s="1" t="s">
        <v>128</v>
      </c>
      <c r="C7" s="1" t="s">
        <v>129</v>
      </c>
      <c r="D7" s="1" t="s">
        <v>130</v>
      </c>
      <c r="E7" s="1" t="s">
        <v>50</v>
      </c>
      <c r="F7" s="1" t="s">
        <v>55</v>
      </c>
      <c r="G7" s="23" t="n">
        <v>45820</v>
      </c>
      <c r="H7" s="1" t="n">
        <v>153</v>
      </c>
      <c r="I7" s="24" t="n">
        <v>0</v>
      </c>
      <c r="K7" s="1" t="s">
        <v>64</v>
      </c>
      <c r="L7" s="1" t="s">
        <v>69</v>
      </c>
      <c r="M7" s="1" t="n">
        <v>18</v>
      </c>
      <c r="N7" s="1" t="s">
        <v>38</v>
      </c>
    </row>
    <row r="8" customFormat="false" ht="15" hidden="false" customHeight="true" outlineLevel="0" collapsed="false">
      <c r="A8" s="1" t="s">
        <v>131</v>
      </c>
      <c r="B8" s="1" t="s">
        <v>132</v>
      </c>
      <c r="C8" s="1" t="s">
        <v>133</v>
      </c>
      <c r="D8" s="1" t="s">
        <v>120</v>
      </c>
      <c r="E8" s="1" t="s">
        <v>50</v>
      </c>
      <c r="F8" s="1" t="s">
        <v>57</v>
      </c>
      <c r="G8" s="23" t="n">
        <v>45798</v>
      </c>
      <c r="H8" s="1" t="n">
        <v>109</v>
      </c>
      <c r="I8" s="24" t="n">
        <v>5.48</v>
      </c>
      <c r="J8" s="1" t="s">
        <v>121</v>
      </c>
      <c r="K8" s="1" t="s">
        <v>65</v>
      </c>
      <c r="L8" s="1" t="s">
        <v>70</v>
      </c>
      <c r="M8" s="1" t="n">
        <v>5</v>
      </c>
      <c r="N8" s="1" t="s">
        <v>39</v>
      </c>
    </row>
    <row r="9" customFormat="false" ht="15" hidden="false" customHeight="true" outlineLevel="0" collapsed="false">
      <c r="A9" s="1" t="s">
        <v>134</v>
      </c>
      <c r="B9" s="1" t="s">
        <v>135</v>
      </c>
      <c r="C9" s="1" t="s">
        <v>136</v>
      </c>
      <c r="D9" s="1" t="s">
        <v>120</v>
      </c>
      <c r="E9" s="1" t="s">
        <v>50</v>
      </c>
      <c r="F9" s="1" t="s">
        <v>57</v>
      </c>
      <c r="G9" s="23" t="n">
        <v>45743</v>
      </c>
      <c r="H9" s="1" t="n">
        <v>46</v>
      </c>
      <c r="I9" s="24" t="n">
        <v>0</v>
      </c>
      <c r="K9" s="1" t="s">
        <v>65</v>
      </c>
      <c r="L9" s="1" t="s">
        <v>69</v>
      </c>
      <c r="M9" s="1" t="n">
        <v>39</v>
      </c>
      <c r="N9" s="1" t="s">
        <v>39</v>
      </c>
    </row>
    <row r="10" customFormat="false" ht="15" hidden="false" customHeight="true" outlineLevel="0" collapsed="false">
      <c r="A10" s="1" t="s">
        <v>137</v>
      </c>
      <c r="B10" s="1" t="s">
        <v>138</v>
      </c>
      <c r="C10" s="1" t="s">
        <v>139</v>
      </c>
      <c r="D10" s="1" t="s">
        <v>130</v>
      </c>
      <c r="E10" s="1" t="s">
        <v>52</v>
      </c>
      <c r="F10" s="1" t="s">
        <v>58</v>
      </c>
      <c r="G10" s="23" t="n">
        <v>45759</v>
      </c>
      <c r="H10" s="1" t="n">
        <v>134</v>
      </c>
      <c r="I10" s="24" t="n">
        <v>42.57</v>
      </c>
      <c r="J10" s="1" t="s">
        <v>140</v>
      </c>
      <c r="K10" s="1" t="s">
        <v>66</v>
      </c>
      <c r="L10" s="1" t="s">
        <v>70</v>
      </c>
      <c r="M10" s="1" t="n">
        <v>40</v>
      </c>
      <c r="N10" s="1" t="s">
        <v>38</v>
      </c>
    </row>
    <row r="11" customFormat="false" ht="15" hidden="false" customHeight="true" outlineLevel="0" collapsed="false">
      <c r="A11" s="1" t="s">
        <v>141</v>
      </c>
      <c r="B11" s="1" t="s">
        <v>142</v>
      </c>
      <c r="C11" s="1" t="s">
        <v>143</v>
      </c>
      <c r="D11" s="1" t="s">
        <v>116</v>
      </c>
      <c r="E11" s="1" t="s">
        <v>51</v>
      </c>
      <c r="F11" s="1" t="s">
        <v>59</v>
      </c>
      <c r="G11" s="23" t="n">
        <v>45666</v>
      </c>
      <c r="H11" s="1" t="n">
        <v>38</v>
      </c>
      <c r="I11" s="24" t="n">
        <v>0</v>
      </c>
      <c r="K11" s="1" t="s">
        <v>66</v>
      </c>
      <c r="L11" s="1" t="s">
        <v>69</v>
      </c>
      <c r="M11" s="1" t="n">
        <v>14</v>
      </c>
      <c r="N11" s="1" t="s">
        <v>39</v>
      </c>
    </row>
    <row r="12" customFormat="false" ht="15" hidden="false" customHeight="true" outlineLevel="0" collapsed="false">
      <c r="A12" s="1" t="s">
        <v>144</v>
      </c>
      <c r="B12" s="1" t="s">
        <v>145</v>
      </c>
      <c r="C12" s="1" t="s">
        <v>146</v>
      </c>
      <c r="D12" s="1" t="s">
        <v>130</v>
      </c>
      <c r="E12" s="1" t="s">
        <v>51</v>
      </c>
      <c r="F12" s="1" t="s">
        <v>56</v>
      </c>
      <c r="G12" s="23" t="n">
        <v>45695</v>
      </c>
      <c r="H12" s="1" t="n">
        <v>24</v>
      </c>
      <c r="I12" s="24" t="n">
        <v>0</v>
      </c>
      <c r="K12" s="1" t="s">
        <v>66</v>
      </c>
      <c r="L12" s="1" t="s">
        <v>69</v>
      </c>
      <c r="M12" s="1" t="n">
        <v>45</v>
      </c>
      <c r="N12" s="1" t="s">
        <v>39</v>
      </c>
    </row>
    <row r="13" customFormat="false" ht="15" hidden="false" customHeight="true" outlineLevel="0" collapsed="false">
      <c r="A13" s="1" t="s">
        <v>147</v>
      </c>
      <c r="B13" s="1" t="s">
        <v>148</v>
      </c>
      <c r="C13" s="1" t="s">
        <v>149</v>
      </c>
      <c r="D13" s="1" t="s">
        <v>120</v>
      </c>
      <c r="E13" s="1" t="s">
        <v>51</v>
      </c>
      <c r="F13" s="1" t="s">
        <v>57</v>
      </c>
      <c r="G13" s="23" t="n">
        <v>45791</v>
      </c>
      <c r="H13" s="1" t="n">
        <v>138</v>
      </c>
      <c r="I13" s="24" t="n">
        <v>0</v>
      </c>
      <c r="K13" s="1" t="s">
        <v>66</v>
      </c>
      <c r="L13" s="1" t="s">
        <v>69</v>
      </c>
      <c r="M13" s="1" t="n">
        <v>48</v>
      </c>
      <c r="N13" s="1" t="s">
        <v>39</v>
      </c>
    </row>
    <row r="14" customFormat="false" ht="15" hidden="false" customHeight="true" outlineLevel="0" collapsed="false">
      <c r="A14" s="1" t="s">
        <v>150</v>
      </c>
      <c r="B14" s="1" t="s">
        <v>151</v>
      </c>
      <c r="C14" s="1" t="s">
        <v>152</v>
      </c>
      <c r="D14" s="1" t="s">
        <v>125</v>
      </c>
      <c r="E14" s="1" t="s">
        <v>52</v>
      </c>
      <c r="F14" s="1" t="s">
        <v>57</v>
      </c>
      <c r="G14" s="23" t="n">
        <v>45756</v>
      </c>
      <c r="H14" s="1" t="n">
        <v>26</v>
      </c>
      <c r="I14" s="24" t="n">
        <v>0</v>
      </c>
      <c r="K14" s="1" t="s">
        <v>65</v>
      </c>
      <c r="L14" s="1" t="s">
        <v>69</v>
      </c>
      <c r="M14" s="1" t="n">
        <v>27</v>
      </c>
      <c r="N14" s="1" t="s">
        <v>39</v>
      </c>
    </row>
    <row r="15" customFormat="false" ht="15" hidden="false" customHeight="true" outlineLevel="0" collapsed="false">
      <c r="A15" s="1" t="s">
        <v>153</v>
      </c>
      <c r="B15" s="1" t="s">
        <v>154</v>
      </c>
      <c r="C15" s="1" t="s">
        <v>155</v>
      </c>
      <c r="D15" s="1" t="s">
        <v>120</v>
      </c>
      <c r="E15" s="1" t="s">
        <v>51</v>
      </c>
      <c r="F15" s="1" t="s">
        <v>57</v>
      </c>
      <c r="G15" s="23" t="n">
        <v>45768</v>
      </c>
      <c r="H15" s="1" t="n">
        <v>142</v>
      </c>
      <c r="I15" s="24" t="n">
        <v>0</v>
      </c>
      <c r="K15" s="1" t="s">
        <v>64</v>
      </c>
      <c r="L15" s="1" t="s">
        <v>69</v>
      </c>
      <c r="M15" s="1" t="n">
        <v>23</v>
      </c>
      <c r="N15" s="1" t="s">
        <v>39</v>
      </c>
    </row>
    <row r="16" customFormat="false" ht="15" hidden="false" customHeight="true" outlineLevel="0" collapsed="false">
      <c r="A16" s="1" t="s">
        <v>156</v>
      </c>
      <c r="B16" s="1" t="s">
        <v>157</v>
      </c>
      <c r="C16" s="1" t="s">
        <v>158</v>
      </c>
      <c r="D16" s="1" t="s">
        <v>125</v>
      </c>
      <c r="E16" s="1" t="s">
        <v>50</v>
      </c>
      <c r="F16" s="1" t="s">
        <v>59</v>
      </c>
      <c r="G16" s="23" t="n">
        <v>45724</v>
      </c>
      <c r="H16" s="1" t="n">
        <v>100</v>
      </c>
      <c r="I16" s="24" t="n">
        <v>0</v>
      </c>
      <c r="K16" s="1" t="s">
        <v>64</v>
      </c>
      <c r="L16" s="1" t="s">
        <v>69</v>
      </c>
      <c r="M16" s="1" t="n">
        <v>36</v>
      </c>
      <c r="N16" s="1" t="s">
        <v>39</v>
      </c>
    </row>
    <row r="17" customFormat="false" ht="15" hidden="false" customHeight="true" outlineLevel="0" collapsed="false">
      <c r="A17" s="1" t="s">
        <v>159</v>
      </c>
      <c r="B17" s="1" t="s">
        <v>160</v>
      </c>
      <c r="C17" s="1" t="s">
        <v>161</v>
      </c>
      <c r="D17" s="1" t="s">
        <v>116</v>
      </c>
      <c r="E17" s="1" t="s">
        <v>51</v>
      </c>
      <c r="F17" s="1" t="s">
        <v>56</v>
      </c>
      <c r="G17" s="23" t="n">
        <v>45794</v>
      </c>
      <c r="H17" s="1" t="n">
        <v>78</v>
      </c>
      <c r="I17" s="24" t="n">
        <v>0</v>
      </c>
      <c r="K17" s="1" t="s">
        <v>64</v>
      </c>
      <c r="L17" s="1" t="s">
        <v>69</v>
      </c>
      <c r="M17" s="1" t="n">
        <v>35</v>
      </c>
      <c r="N17" s="1" t="s">
        <v>39</v>
      </c>
    </row>
    <row r="18" customFormat="false" ht="15" hidden="false" customHeight="true" outlineLevel="0" collapsed="false">
      <c r="A18" s="1" t="s">
        <v>162</v>
      </c>
      <c r="B18" s="1" t="s">
        <v>163</v>
      </c>
      <c r="C18" s="1" t="s">
        <v>164</v>
      </c>
      <c r="D18" s="1" t="s">
        <v>165</v>
      </c>
      <c r="E18" s="1" t="s">
        <v>51</v>
      </c>
      <c r="F18" s="1" t="s">
        <v>60</v>
      </c>
      <c r="G18" s="23" t="n">
        <v>45719</v>
      </c>
      <c r="H18" s="1" t="n">
        <v>151</v>
      </c>
      <c r="I18" s="24" t="n">
        <v>0</v>
      </c>
      <c r="K18" s="1" t="s">
        <v>64</v>
      </c>
      <c r="L18" s="1" t="s">
        <v>69</v>
      </c>
      <c r="M18" s="1" t="n">
        <v>47</v>
      </c>
      <c r="N18" s="1" t="s">
        <v>38</v>
      </c>
    </row>
    <row r="19" customFormat="false" ht="15" hidden="false" customHeight="true" outlineLevel="0" collapsed="false">
      <c r="A19" s="1" t="s">
        <v>166</v>
      </c>
      <c r="B19" s="1" t="s">
        <v>167</v>
      </c>
      <c r="C19" s="1" t="s">
        <v>168</v>
      </c>
      <c r="D19" s="1" t="s">
        <v>116</v>
      </c>
      <c r="E19" s="1" t="s">
        <v>50</v>
      </c>
      <c r="F19" s="1" t="s">
        <v>56</v>
      </c>
      <c r="G19" s="23" t="n">
        <v>45664</v>
      </c>
      <c r="H19" s="1" t="n">
        <v>163</v>
      </c>
      <c r="I19" s="24" t="n">
        <v>0</v>
      </c>
      <c r="K19" s="1" t="s">
        <v>64</v>
      </c>
      <c r="L19" s="1" t="s">
        <v>69</v>
      </c>
      <c r="M19" s="1" t="n">
        <v>50</v>
      </c>
      <c r="N19" s="1" t="s">
        <v>38</v>
      </c>
    </row>
    <row r="20" customFormat="false" ht="15" hidden="false" customHeight="true" outlineLevel="0" collapsed="false">
      <c r="A20" s="1" t="s">
        <v>169</v>
      </c>
      <c r="B20" s="1" t="s">
        <v>170</v>
      </c>
      <c r="C20" s="1" t="s">
        <v>171</v>
      </c>
      <c r="D20" s="1" t="s">
        <v>116</v>
      </c>
      <c r="E20" s="1" t="s">
        <v>51</v>
      </c>
      <c r="F20" s="1" t="s">
        <v>56</v>
      </c>
      <c r="G20" s="23" t="n">
        <v>45681</v>
      </c>
      <c r="H20" s="1" t="n">
        <v>128</v>
      </c>
      <c r="I20" s="24" t="n">
        <v>0</v>
      </c>
      <c r="K20" s="1" t="s">
        <v>67</v>
      </c>
      <c r="L20" s="1" t="s">
        <v>69</v>
      </c>
      <c r="M20" s="1" t="n">
        <v>7</v>
      </c>
      <c r="N20" s="1" t="s">
        <v>39</v>
      </c>
    </row>
    <row r="21" customFormat="false" ht="15" hidden="false" customHeight="true" outlineLevel="0" collapsed="false">
      <c r="A21" s="1" t="s">
        <v>172</v>
      </c>
      <c r="B21" s="1" t="s">
        <v>173</v>
      </c>
      <c r="C21" s="1" t="s">
        <v>174</v>
      </c>
      <c r="D21" s="1" t="s">
        <v>165</v>
      </c>
      <c r="E21" s="1" t="s">
        <v>52</v>
      </c>
      <c r="F21" s="1" t="s">
        <v>58</v>
      </c>
      <c r="G21" s="23" t="n">
        <v>45685</v>
      </c>
      <c r="H21" s="1" t="n">
        <v>173</v>
      </c>
      <c r="I21" s="24" t="n">
        <v>0</v>
      </c>
      <c r="K21" s="1" t="s">
        <v>66</v>
      </c>
      <c r="L21" s="1" t="s">
        <v>69</v>
      </c>
      <c r="M21" s="1" t="n">
        <v>30</v>
      </c>
      <c r="N21" s="1" t="s">
        <v>38</v>
      </c>
    </row>
    <row r="22" customFormat="false" ht="15" hidden="false" customHeight="true" outlineLevel="0" collapsed="false">
      <c r="A22" s="1" t="s">
        <v>175</v>
      </c>
      <c r="B22" s="1" t="s">
        <v>176</v>
      </c>
      <c r="C22" s="1" t="s">
        <v>177</v>
      </c>
      <c r="D22" s="1" t="s">
        <v>125</v>
      </c>
      <c r="E22" s="1" t="s">
        <v>50</v>
      </c>
      <c r="F22" s="1" t="s">
        <v>57</v>
      </c>
      <c r="G22" s="23" t="n">
        <v>45769</v>
      </c>
      <c r="H22" s="1" t="n">
        <v>49</v>
      </c>
      <c r="I22" s="24" t="n">
        <v>0</v>
      </c>
      <c r="K22" s="1" t="s">
        <v>66</v>
      </c>
      <c r="L22" s="1" t="s">
        <v>69</v>
      </c>
      <c r="M22" s="1" t="n">
        <v>47</v>
      </c>
      <c r="N22" s="1" t="s">
        <v>39</v>
      </c>
    </row>
    <row r="23" customFormat="false" ht="15" hidden="false" customHeight="true" outlineLevel="0" collapsed="false">
      <c r="A23" s="1" t="s">
        <v>178</v>
      </c>
      <c r="B23" s="1" t="s">
        <v>179</v>
      </c>
      <c r="C23" s="1" t="s">
        <v>180</v>
      </c>
      <c r="D23" s="1" t="s">
        <v>120</v>
      </c>
      <c r="E23" s="1" t="s">
        <v>50</v>
      </c>
      <c r="F23" s="1" t="s">
        <v>55</v>
      </c>
      <c r="G23" s="23" t="n">
        <v>45702</v>
      </c>
      <c r="H23" s="1" t="n">
        <v>94</v>
      </c>
      <c r="I23" s="24" t="n">
        <v>0</v>
      </c>
      <c r="K23" s="1" t="s">
        <v>65</v>
      </c>
      <c r="L23" s="1" t="s">
        <v>69</v>
      </c>
      <c r="M23" s="1" t="n">
        <v>48</v>
      </c>
      <c r="N23" s="1" t="s">
        <v>39</v>
      </c>
    </row>
    <row r="24" customFormat="false" ht="15" hidden="false" customHeight="true" outlineLevel="0" collapsed="false">
      <c r="A24" s="1" t="s">
        <v>181</v>
      </c>
      <c r="B24" s="1" t="s">
        <v>182</v>
      </c>
      <c r="C24" s="1" t="s">
        <v>183</v>
      </c>
      <c r="D24" s="1" t="s">
        <v>116</v>
      </c>
      <c r="E24" s="1" t="s">
        <v>51</v>
      </c>
      <c r="F24" s="1" t="s">
        <v>58</v>
      </c>
      <c r="G24" s="23" t="n">
        <v>45808</v>
      </c>
      <c r="H24" s="1" t="n">
        <v>168</v>
      </c>
      <c r="I24" s="24" t="n">
        <v>0</v>
      </c>
      <c r="K24" s="1" t="s">
        <v>64</v>
      </c>
      <c r="L24" s="1" t="s">
        <v>69</v>
      </c>
      <c r="M24" s="1" t="n">
        <v>33</v>
      </c>
      <c r="N24" s="1" t="s">
        <v>38</v>
      </c>
    </row>
    <row r="25" customFormat="false" ht="15" hidden="false" customHeight="true" outlineLevel="0" collapsed="false">
      <c r="A25" s="1" t="s">
        <v>184</v>
      </c>
      <c r="B25" s="1" t="s">
        <v>185</v>
      </c>
      <c r="C25" s="1" t="s">
        <v>186</v>
      </c>
      <c r="D25" s="1" t="s">
        <v>130</v>
      </c>
      <c r="E25" s="1" t="s">
        <v>52</v>
      </c>
      <c r="F25" s="1" t="s">
        <v>57</v>
      </c>
      <c r="G25" s="23" t="n">
        <v>45790</v>
      </c>
      <c r="H25" s="1" t="n">
        <v>86</v>
      </c>
      <c r="I25" s="24" t="n">
        <v>0</v>
      </c>
      <c r="K25" s="1" t="s">
        <v>64</v>
      </c>
      <c r="L25" s="1" t="s">
        <v>69</v>
      </c>
      <c r="M25" s="1" t="n">
        <v>34</v>
      </c>
      <c r="N25" s="1" t="s">
        <v>39</v>
      </c>
    </row>
    <row r="26" customFormat="false" ht="15" hidden="false" customHeight="true" outlineLevel="0" collapsed="false">
      <c r="A26" s="1" t="s">
        <v>187</v>
      </c>
      <c r="B26" s="1" t="s">
        <v>188</v>
      </c>
      <c r="C26" s="1" t="s">
        <v>189</v>
      </c>
      <c r="D26" s="1" t="s">
        <v>120</v>
      </c>
      <c r="E26" s="1" t="s">
        <v>52</v>
      </c>
      <c r="F26" s="1" t="s">
        <v>57</v>
      </c>
      <c r="G26" s="23" t="n">
        <v>45738</v>
      </c>
      <c r="H26" s="1" t="n">
        <v>58</v>
      </c>
      <c r="I26" s="24" t="n">
        <v>0</v>
      </c>
      <c r="K26" s="1" t="s">
        <v>64</v>
      </c>
      <c r="L26" s="1" t="s">
        <v>69</v>
      </c>
      <c r="M26" s="1" t="n">
        <v>37</v>
      </c>
      <c r="N26" s="1" t="s">
        <v>39</v>
      </c>
    </row>
    <row r="27" customFormat="false" ht="15" hidden="false" customHeight="true" outlineLevel="0" collapsed="false">
      <c r="A27" s="1" t="s">
        <v>190</v>
      </c>
      <c r="B27" s="1" t="s">
        <v>191</v>
      </c>
      <c r="C27" s="1" t="s">
        <v>192</v>
      </c>
      <c r="D27" s="1" t="s">
        <v>125</v>
      </c>
      <c r="E27" s="1" t="s">
        <v>51</v>
      </c>
      <c r="F27" s="1" t="s">
        <v>60</v>
      </c>
      <c r="G27" s="23" t="n">
        <v>45740</v>
      </c>
      <c r="H27" s="1" t="n">
        <v>121</v>
      </c>
      <c r="I27" s="24" t="n">
        <v>7.28</v>
      </c>
      <c r="J27" s="1" t="s">
        <v>121</v>
      </c>
      <c r="K27" s="1" t="s">
        <v>64</v>
      </c>
      <c r="L27" s="1" t="s">
        <v>70</v>
      </c>
      <c r="M27" s="1" t="n">
        <v>34</v>
      </c>
      <c r="N27" s="1" t="s">
        <v>39</v>
      </c>
    </row>
    <row r="28" customFormat="false" ht="15" hidden="false" customHeight="true" outlineLevel="0" collapsed="false">
      <c r="A28" s="1" t="s">
        <v>193</v>
      </c>
      <c r="B28" s="1" t="s">
        <v>194</v>
      </c>
      <c r="C28" s="1" t="s">
        <v>195</v>
      </c>
      <c r="D28" s="1" t="s">
        <v>120</v>
      </c>
      <c r="E28" s="1" t="s">
        <v>51</v>
      </c>
      <c r="F28" s="1" t="s">
        <v>59</v>
      </c>
      <c r="G28" s="23" t="n">
        <v>45781</v>
      </c>
      <c r="H28" s="1" t="n">
        <v>51</v>
      </c>
      <c r="I28" s="24" t="n">
        <v>0</v>
      </c>
      <c r="K28" s="1" t="s">
        <v>65</v>
      </c>
      <c r="L28" s="1" t="s">
        <v>69</v>
      </c>
      <c r="M28" s="1" t="n">
        <v>41</v>
      </c>
      <c r="N28" s="1" t="s">
        <v>39</v>
      </c>
    </row>
    <row r="29" customFormat="false" ht="15" hidden="false" customHeight="true" outlineLevel="0" collapsed="false">
      <c r="A29" s="1" t="s">
        <v>196</v>
      </c>
      <c r="B29" s="1" t="s">
        <v>197</v>
      </c>
      <c r="C29" s="1" t="s">
        <v>198</v>
      </c>
      <c r="D29" s="1" t="s">
        <v>165</v>
      </c>
      <c r="E29" s="1" t="s">
        <v>51</v>
      </c>
      <c r="F29" s="1" t="s">
        <v>58</v>
      </c>
      <c r="G29" s="23" t="n">
        <v>45741</v>
      </c>
      <c r="H29" s="1" t="n">
        <v>96</v>
      </c>
      <c r="I29" s="24" t="n">
        <v>0</v>
      </c>
      <c r="K29" s="1" t="s">
        <v>64</v>
      </c>
      <c r="L29" s="1" t="s">
        <v>70</v>
      </c>
      <c r="M29" s="1" t="n">
        <v>17</v>
      </c>
      <c r="N29" s="1" t="s">
        <v>39</v>
      </c>
    </row>
    <row r="30" customFormat="false" ht="15" hidden="false" customHeight="true" outlineLevel="0" collapsed="false">
      <c r="A30" s="1" t="s">
        <v>199</v>
      </c>
      <c r="B30" s="1" t="s">
        <v>200</v>
      </c>
      <c r="C30" s="1" t="s">
        <v>201</v>
      </c>
      <c r="D30" s="1" t="s">
        <v>165</v>
      </c>
      <c r="E30" s="1" t="s">
        <v>50</v>
      </c>
      <c r="F30" s="1" t="s">
        <v>58</v>
      </c>
      <c r="G30" s="23" t="n">
        <v>45779</v>
      </c>
      <c r="H30" s="1" t="n">
        <v>173</v>
      </c>
      <c r="I30" s="24" t="n">
        <v>0</v>
      </c>
      <c r="K30" s="1" t="s">
        <v>64</v>
      </c>
      <c r="L30" s="1" t="s">
        <v>69</v>
      </c>
      <c r="M30" s="1" t="n">
        <v>8</v>
      </c>
      <c r="N30" s="1" t="s">
        <v>38</v>
      </c>
    </row>
    <row r="31" customFormat="false" ht="15" hidden="false" customHeight="true" outlineLevel="0" collapsed="false">
      <c r="A31" s="1" t="s">
        <v>202</v>
      </c>
      <c r="B31" s="1" t="s">
        <v>203</v>
      </c>
      <c r="C31" s="1" t="s">
        <v>204</v>
      </c>
      <c r="D31" s="1" t="s">
        <v>125</v>
      </c>
      <c r="E31" s="1" t="s">
        <v>50</v>
      </c>
      <c r="F31" s="1" t="s">
        <v>58</v>
      </c>
      <c r="G31" s="23" t="n">
        <v>45692</v>
      </c>
      <c r="H31" s="1" t="n">
        <v>105</v>
      </c>
      <c r="I31" s="24" t="n">
        <v>0</v>
      </c>
      <c r="K31" s="1" t="s">
        <v>64</v>
      </c>
      <c r="L31" s="1" t="s">
        <v>69</v>
      </c>
      <c r="M31" s="1" t="n">
        <v>11</v>
      </c>
      <c r="N31" s="1" t="s">
        <v>39</v>
      </c>
    </row>
    <row r="32" customFormat="false" ht="15" hidden="false" customHeight="true" outlineLevel="0" collapsed="false">
      <c r="A32" s="1" t="s">
        <v>205</v>
      </c>
      <c r="B32" s="1" t="s">
        <v>206</v>
      </c>
      <c r="C32" s="1" t="s">
        <v>207</v>
      </c>
      <c r="D32" s="1" t="s">
        <v>130</v>
      </c>
      <c r="E32" s="1" t="s">
        <v>52</v>
      </c>
      <c r="F32" s="1" t="s">
        <v>58</v>
      </c>
      <c r="G32" s="23" t="n">
        <v>45763</v>
      </c>
      <c r="H32" s="1" t="n">
        <v>16</v>
      </c>
      <c r="I32" s="24" t="n">
        <v>0</v>
      </c>
      <c r="K32" s="1" t="s">
        <v>64</v>
      </c>
      <c r="L32" s="1" t="s">
        <v>69</v>
      </c>
      <c r="M32" s="1" t="n">
        <v>26</v>
      </c>
      <c r="N32" s="1" t="s">
        <v>39</v>
      </c>
    </row>
    <row r="33" customFormat="false" ht="15" hidden="false" customHeight="true" outlineLevel="0" collapsed="false">
      <c r="A33" s="1" t="s">
        <v>208</v>
      </c>
      <c r="B33" s="1" t="s">
        <v>209</v>
      </c>
      <c r="C33" s="1" t="s">
        <v>210</v>
      </c>
      <c r="D33" s="1" t="s">
        <v>125</v>
      </c>
      <c r="E33" s="1" t="s">
        <v>50</v>
      </c>
      <c r="F33" s="1" t="s">
        <v>59</v>
      </c>
      <c r="G33" s="23" t="n">
        <v>45818</v>
      </c>
      <c r="H33" s="1" t="n">
        <v>135</v>
      </c>
      <c r="I33" s="24" t="n">
        <v>0</v>
      </c>
      <c r="K33" s="1" t="s">
        <v>64</v>
      </c>
      <c r="L33" s="1" t="s">
        <v>69</v>
      </c>
      <c r="M33" s="1" t="n">
        <v>12</v>
      </c>
      <c r="N33" s="1" t="s">
        <v>39</v>
      </c>
    </row>
    <row r="34" customFormat="false" ht="15" hidden="false" customHeight="true" outlineLevel="0" collapsed="false">
      <c r="A34" s="1" t="s">
        <v>211</v>
      </c>
      <c r="B34" s="1" t="s">
        <v>212</v>
      </c>
      <c r="C34" s="1" t="s">
        <v>213</v>
      </c>
      <c r="D34" s="1" t="s">
        <v>165</v>
      </c>
      <c r="E34" s="1" t="s">
        <v>50</v>
      </c>
      <c r="F34" s="1" t="s">
        <v>58</v>
      </c>
      <c r="G34" s="23" t="n">
        <v>45694</v>
      </c>
      <c r="H34" s="1" t="n">
        <v>96</v>
      </c>
      <c r="I34" s="24" t="n">
        <v>0</v>
      </c>
      <c r="K34" s="1" t="s">
        <v>64</v>
      </c>
      <c r="L34" s="1" t="s">
        <v>69</v>
      </c>
      <c r="M34" s="1" t="n">
        <v>43</v>
      </c>
      <c r="N34" s="1" t="s">
        <v>39</v>
      </c>
    </row>
    <row r="35" customFormat="false" ht="15" hidden="false" customHeight="true" outlineLevel="0" collapsed="false">
      <c r="A35" s="1" t="s">
        <v>214</v>
      </c>
      <c r="B35" s="1" t="s">
        <v>215</v>
      </c>
      <c r="C35" s="1" t="s">
        <v>216</v>
      </c>
      <c r="D35" s="1" t="s">
        <v>125</v>
      </c>
      <c r="E35" s="1" t="s">
        <v>51</v>
      </c>
      <c r="F35" s="1" t="s">
        <v>58</v>
      </c>
      <c r="G35" s="23" t="n">
        <v>45708</v>
      </c>
      <c r="H35" s="1" t="n">
        <v>16</v>
      </c>
      <c r="I35" s="24" t="n">
        <v>0</v>
      </c>
      <c r="K35" s="1" t="s">
        <v>64</v>
      </c>
      <c r="L35" s="1" t="s">
        <v>69</v>
      </c>
      <c r="M35" s="1" t="n">
        <v>16</v>
      </c>
      <c r="N35" s="1" t="s">
        <v>39</v>
      </c>
    </row>
    <row r="36" customFormat="false" ht="15" hidden="false" customHeight="true" outlineLevel="0" collapsed="false">
      <c r="A36" s="1" t="s">
        <v>217</v>
      </c>
      <c r="B36" s="1" t="s">
        <v>218</v>
      </c>
      <c r="C36" s="1" t="s">
        <v>219</v>
      </c>
      <c r="D36" s="1" t="s">
        <v>130</v>
      </c>
      <c r="E36" s="1" t="s">
        <v>51</v>
      </c>
      <c r="F36" s="1" t="s">
        <v>58</v>
      </c>
      <c r="G36" s="23" t="n">
        <v>45696</v>
      </c>
      <c r="H36" s="1" t="n">
        <v>165</v>
      </c>
      <c r="I36" s="24" t="n">
        <v>0</v>
      </c>
      <c r="K36" s="1" t="s">
        <v>64</v>
      </c>
      <c r="L36" s="1" t="s">
        <v>69</v>
      </c>
      <c r="M36" s="1" t="n">
        <v>23</v>
      </c>
      <c r="N36" s="1" t="s">
        <v>38</v>
      </c>
    </row>
    <row r="37" customFormat="false" ht="15" hidden="false" customHeight="true" outlineLevel="0" collapsed="false">
      <c r="A37" s="1" t="s">
        <v>220</v>
      </c>
      <c r="B37" s="1" t="s">
        <v>221</v>
      </c>
      <c r="C37" s="1" t="s">
        <v>222</v>
      </c>
      <c r="D37" s="1" t="s">
        <v>125</v>
      </c>
      <c r="E37" s="1" t="s">
        <v>51</v>
      </c>
      <c r="F37" s="1" t="s">
        <v>59</v>
      </c>
      <c r="G37" s="23" t="n">
        <v>45797</v>
      </c>
      <c r="H37" s="1" t="n">
        <v>25</v>
      </c>
      <c r="I37" s="24" t="n">
        <v>0</v>
      </c>
      <c r="K37" s="1" t="s">
        <v>65</v>
      </c>
      <c r="L37" s="1" t="s">
        <v>69</v>
      </c>
      <c r="M37" s="1" t="n">
        <v>26</v>
      </c>
      <c r="N37" s="1" t="s">
        <v>39</v>
      </c>
    </row>
    <row r="38" customFormat="false" ht="15" hidden="false" customHeight="true" outlineLevel="0" collapsed="false">
      <c r="A38" s="1" t="s">
        <v>223</v>
      </c>
      <c r="B38" s="1" t="s">
        <v>224</v>
      </c>
      <c r="C38" s="1" t="s">
        <v>225</v>
      </c>
      <c r="D38" s="1" t="s">
        <v>125</v>
      </c>
      <c r="E38" s="1" t="s">
        <v>51</v>
      </c>
      <c r="F38" s="1" t="s">
        <v>59</v>
      </c>
      <c r="G38" s="23" t="n">
        <v>45729</v>
      </c>
      <c r="H38" s="1" t="n">
        <v>140</v>
      </c>
      <c r="I38" s="24" t="n">
        <v>0</v>
      </c>
      <c r="K38" s="1" t="s">
        <v>64</v>
      </c>
      <c r="L38" s="1" t="s">
        <v>69</v>
      </c>
      <c r="M38" s="1" t="n">
        <v>26</v>
      </c>
      <c r="N38" s="1" t="s">
        <v>39</v>
      </c>
    </row>
    <row r="39" customFormat="false" ht="15" hidden="false" customHeight="true" outlineLevel="0" collapsed="false">
      <c r="A39" s="1" t="s">
        <v>226</v>
      </c>
      <c r="B39" s="1" t="s">
        <v>227</v>
      </c>
      <c r="C39" s="1" t="s">
        <v>228</v>
      </c>
      <c r="D39" s="1" t="s">
        <v>165</v>
      </c>
      <c r="E39" s="1" t="s">
        <v>50</v>
      </c>
      <c r="F39" s="1" t="s">
        <v>55</v>
      </c>
      <c r="G39" s="23" t="n">
        <v>45750</v>
      </c>
      <c r="H39" s="1" t="n">
        <v>86</v>
      </c>
      <c r="I39" s="24" t="n">
        <v>0</v>
      </c>
      <c r="K39" s="1" t="s">
        <v>64</v>
      </c>
      <c r="L39" s="1" t="s">
        <v>69</v>
      </c>
      <c r="M39" s="1" t="n">
        <v>47</v>
      </c>
      <c r="N39" s="1" t="s">
        <v>39</v>
      </c>
    </row>
    <row r="40" customFormat="false" ht="15" hidden="false" customHeight="true" outlineLevel="0" collapsed="false">
      <c r="A40" s="1" t="s">
        <v>229</v>
      </c>
      <c r="B40" s="1" t="s">
        <v>230</v>
      </c>
      <c r="C40" s="1" t="s">
        <v>231</v>
      </c>
      <c r="D40" s="1" t="s">
        <v>130</v>
      </c>
      <c r="E40" s="1" t="s">
        <v>51</v>
      </c>
      <c r="F40" s="1" t="s">
        <v>57</v>
      </c>
      <c r="G40" s="23" t="n">
        <v>45721</v>
      </c>
      <c r="H40" s="1" t="n">
        <v>149</v>
      </c>
      <c r="I40" s="24" t="n">
        <v>0</v>
      </c>
      <c r="K40" s="1" t="s">
        <v>64</v>
      </c>
      <c r="L40" s="1" t="s">
        <v>69</v>
      </c>
      <c r="M40" s="1" t="n">
        <v>48</v>
      </c>
      <c r="N40" s="1" t="s">
        <v>39</v>
      </c>
    </row>
    <row r="41" customFormat="false" ht="15" hidden="false" customHeight="true" outlineLevel="0" collapsed="false">
      <c r="A41" s="1" t="s">
        <v>232</v>
      </c>
      <c r="B41" s="1" t="s">
        <v>233</v>
      </c>
      <c r="C41" s="1" t="s">
        <v>234</v>
      </c>
      <c r="D41" s="1" t="s">
        <v>116</v>
      </c>
      <c r="E41" s="1" t="s">
        <v>52</v>
      </c>
      <c r="F41" s="1" t="s">
        <v>55</v>
      </c>
      <c r="G41" s="23" t="n">
        <v>45790</v>
      </c>
      <c r="H41" s="1" t="n">
        <v>121</v>
      </c>
      <c r="I41" s="24" t="n">
        <v>0</v>
      </c>
      <c r="K41" s="1" t="s">
        <v>64</v>
      </c>
      <c r="L41" s="1" t="s">
        <v>69</v>
      </c>
      <c r="M41" s="1" t="n">
        <v>14</v>
      </c>
      <c r="N41" s="1" t="s">
        <v>39</v>
      </c>
    </row>
    <row r="42" customFormat="false" ht="15" hidden="false" customHeight="true" outlineLevel="0" collapsed="false">
      <c r="A42" s="1" t="s">
        <v>235</v>
      </c>
      <c r="B42" s="1" t="s">
        <v>236</v>
      </c>
      <c r="C42" s="1" t="s">
        <v>237</v>
      </c>
      <c r="D42" s="1" t="s">
        <v>125</v>
      </c>
      <c r="E42" s="1" t="s">
        <v>50</v>
      </c>
      <c r="F42" s="1" t="s">
        <v>55</v>
      </c>
      <c r="G42" s="23" t="n">
        <v>45702</v>
      </c>
      <c r="H42" s="1" t="n">
        <v>154</v>
      </c>
      <c r="I42" s="24" t="n">
        <v>0</v>
      </c>
      <c r="K42" s="1" t="s">
        <v>64</v>
      </c>
      <c r="L42" s="1" t="s">
        <v>69</v>
      </c>
      <c r="M42" s="1" t="n">
        <v>44</v>
      </c>
      <c r="N42" s="1" t="s">
        <v>38</v>
      </c>
    </row>
    <row r="43" customFormat="false" ht="15" hidden="false" customHeight="true" outlineLevel="0" collapsed="false">
      <c r="A43" s="1" t="s">
        <v>238</v>
      </c>
      <c r="B43" s="1" t="s">
        <v>239</v>
      </c>
      <c r="C43" s="1" t="s">
        <v>240</v>
      </c>
      <c r="D43" s="1" t="s">
        <v>125</v>
      </c>
      <c r="E43" s="1" t="s">
        <v>51</v>
      </c>
      <c r="F43" s="1" t="s">
        <v>58</v>
      </c>
      <c r="G43" s="23" t="n">
        <v>45673</v>
      </c>
      <c r="H43" s="1" t="n">
        <v>82</v>
      </c>
      <c r="I43" s="24" t="n">
        <v>24.1</v>
      </c>
      <c r="J43" s="1" t="s">
        <v>241</v>
      </c>
      <c r="K43" s="1" t="s">
        <v>64</v>
      </c>
      <c r="L43" s="1" t="s">
        <v>70</v>
      </c>
      <c r="M43" s="1" t="n">
        <v>34</v>
      </c>
      <c r="N43" s="1" t="s">
        <v>39</v>
      </c>
    </row>
    <row r="44" customFormat="false" ht="15" hidden="false" customHeight="true" outlineLevel="0" collapsed="false">
      <c r="A44" s="1" t="s">
        <v>242</v>
      </c>
      <c r="B44" s="1" t="s">
        <v>243</v>
      </c>
      <c r="C44" s="1" t="s">
        <v>244</v>
      </c>
      <c r="D44" s="1" t="s">
        <v>165</v>
      </c>
      <c r="E44" s="1" t="s">
        <v>51</v>
      </c>
      <c r="F44" s="1" t="s">
        <v>59</v>
      </c>
      <c r="G44" s="23" t="n">
        <v>45642</v>
      </c>
      <c r="H44" s="1" t="n">
        <v>49</v>
      </c>
      <c r="I44" s="24" t="n">
        <v>0</v>
      </c>
      <c r="K44" s="1" t="s">
        <v>64</v>
      </c>
      <c r="L44" s="1" t="s">
        <v>69</v>
      </c>
      <c r="M44" s="1" t="n">
        <v>9</v>
      </c>
      <c r="N44" s="1" t="s">
        <v>39</v>
      </c>
    </row>
    <row r="45" customFormat="false" ht="15" hidden="false" customHeight="true" outlineLevel="0" collapsed="false">
      <c r="A45" s="1" t="s">
        <v>245</v>
      </c>
      <c r="B45" s="1" t="s">
        <v>246</v>
      </c>
      <c r="C45" s="1" t="s">
        <v>247</v>
      </c>
      <c r="D45" s="1" t="s">
        <v>130</v>
      </c>
      <c r="E45" s="1" t="s">
        <v>52</v>
      </c>
      <c r="F45" s="1" t="s">
        <v>59</v>
      </c>
      <c r="G45" s="23" t="n">
        <v>45783</v>
      </c>
      <c r="H45" s="1" t="n">
        <v>35</v>
      </c>
      <c r="I45" s="24" t="n">
        <v>0</v>
      </c>
      <c r="K45" s="1" t="s">
        <v>64</v>
      </c>
      <c r="L45" s="1" t="s">
        <v>70</v>
      </c>
      <c r="M45" s="1" t="n">
        <v>33</v>
      </c>
      <c r="N45" s="1" t="s">
        <v>39</v>
      </c>
    </row>
    <row r="46" customFormat="false" ht="15" hidden="false" customHeight="true" outlineLevel="0" collapsed="false">
      <c r="A46" s="1" t="s">
        <v>248</v>
      </c>
      <c r="B46" s="1" t="s">
        <v>249</v>
      </c>
      <c r="C46" s="1" t="s">
        <v>250</v>
      </c>
      <c r="D46" s="1" t="s">
        <v>116</v>
      </c>
      <c r="E46" s="1" t="s">
        <v>51</v>
      </c>
      <c r="F46" s="1" t="s">
        <v>60</v>
      </c>
      <c r="G46" s="23" t="n">
        <v>45676</v>
      </c>
      <c r="H46" s="1" t="n">
        <v>112</v>
      </c>
      <c r="I46" s="24" t="n">
        <v>30.74</v>
      </c>
      <c r="J46" s="1" t="s">
        <v>126</v>
      </c>
      <c r="K46" s="1" t="s">
        <v>64</v>
      </c>
      <c r="L46" s="1" t="s">
        <v>70</v>
      </c>
      <c r="M46" s="1" t="n">
        <v>10</v>
      </c>
      <c r="N46" s="1" t="s">
        <v>39</v>
      </c>
    </row>
    <row r="47" customFormat="false" ht="15" hidden="false" customHeight="true" outlineLevel="0" collapsed="false">
      <c r="A47" s="1" t="s">
        <v>251</v>
      </c>
      <c r="B47" s="1" t="s">
        <v>252</v>
      </c>
      <c r="C47" s="1" t="s">
        <v>253</v>
      </c>
      <c r="D47" s="1" t="s">
        <v>116</v>
      </c>
      <c r="E47" s="1" t="s">
        <v>52</v>
      </c>
      <c r="F47" s="1" t="s">
        <v>60</v>
      </c>
      <c r="G47" s="23" t="n">
        <v>45692</v>
      </c>
      <c r="H47" s="1" t="n">
        <v>67</v>
      </c>
      <c r="I47" s="24" t="n">
        <v>0</v>
      </c>
      <c r="K47" s="1" t="s">
        <v>66</v>
      </c>
      <c r="L47" s="1" t="s">
        <v>69</v>
      </c>
      <c r="M47" s="1" t="n">
        <v>16</v>
      </c>
      <c r="N47" s="1" t="s">
        <v>39</v>
      </c>
    </row>
    <row r="48" customFormat="false" ht="15" hidden="false" customHeight="true" outlineLevel="0" collapsed="false">
      <c r="A48" s="1" t="s">
        <v>254</v>
      </c>
      <c r="B48" s="1" t="s">
        <v>255</v>
      </c>
      <c r="C48" s="1" t="s">
        <v>256</v>
      </c>
      <c r="D48" s="1" t="s">
        <v>116</v>
      </c>
      <c r="E48" s="1" t="s">
        <v>51</v>
      </c>
      <c r="F48" s="1" t="s">
        <v>60</v>
      </c>
      <c r="G48" s="23" t="n">
        <v>45676</v>
      </c>
      <c r="H48" s="1" t="n">
        <v>15</v>
      </c>
      <c r="I48" s="24" t="n">
        <v>0</v>
      </c>
      <c r="K48" s="1" t="s">
        <v>65</v>
      </c>
      <c r="L48" s="1" t="s">
        <v>69</v>
      </c>
      <c r="M48" s="1" t="n">
        <v>38</v>
      </c>
      <c r="N48" s="1" t="s">
        <v>39</v>
      </c>
    </row>
    <row r="49" customFormat="false" ht="15" hidden="false" customHeight="true" outlineLevel="0" collapsed="false">
      <c r="A49" s="1" t="s">
        <v>257</v>
      </c>
      <c r="B49" s="1" t="s">
        <v>258</v>
      </c>
      <c r="C49" s="1" t="s">
        <v>259</v>
      </c>
      <c r="D49" s="1" t="s">
        <v>125</v>
      </c>
      <c r="E49" s="1" t="s">
        <v>52</v>
      </c>
      <c r="F49" s="1" t="s">
        <v>59</v>
      </c>
      <c r="G49" s="23" t="n">
        <v>45717</v>
      </c>
      <c r="H49" s="1" t="n">
        <v>8</v>
      </c>
      <c r="I49" s="24" t="n">
        <v>0</v>
      </c>
      <c r="K49" s="1" t="s">
        <v>64</v>
      </c>
      <c r="L49" s="1" t="s">
        <v>69</v>
      </c>
      <c r="M49" s="1" t="n">
        <v>33</v>
      </c>
      <c r="N49" s="1" t="s">
        <v>39</v>
      </c>
    </row>
    <row r="50" customFormat="false" ht="15" hidden="false" customHeight="true" outlineLevel="0" collapsed="false">
      <c r="A50" s="1" t="s">
        <v>260</v>
      </c>
      <c r="B50" s="1" t="s">
        <v>261</v>
      </c>
      <c r="C50" s="1" t="s">
        <v>262</v>
      </c>
      <c r="D50" s="1" t="s">
        <v>130</v>
      </c>
      <c r="E50" s="1" t="s">
        <v>50</v>
      </c>
      <c r="F50" s="1" t="s">
        <v>60</v>
      </c>
      <c r="G50" s="23" t="n">
        <v>45643</v>
      </c>
      <c r="H50" s="1" t="n">
        <v>27</v>
      </c>
      <c r="I50" s="24" t="n">
        <v>0</v>
      </c>
      <c r="K50" s="1" t="s">
        <v>64</v>
      </c>
      <c r="L50" s="1" t="s">
        <v>69</v>
      </c>
      <c r="M50" s="1" t="n">
        <v>19</v>
      </c>
      <c r="N50" s="1" t="s">
        <v>39</v>
      </c>
    </row>
    <row r="51" customFormat="false" ht="15" hidden="false" customHeight="true" outlineLevel="0" collapsed="false">
      <c r="A51" s="1" t="s">
        <v>263</v>
      </c>
      <c r="B51" s="1" t="s">
        <v>264</v>
      </c>
      <c r="C51" s="1" t="s">
        <v>265</v>
      </c>
      <c r="D51" s="1" t="s">
        <v>116</v>
      </c>
      <c r="E51" s="1" t="s">
        <v>52</v>
      </c>
      <c r="F51" s="1" t="s">
        <v>57</v>
      </c>
      <c r="G51" s="23" t="n">
        <v>45692</v>
      </c>
      <c r="H51" s="1" t="n">
        <v>115</v>
      </c>
      <c r="I51" s="24" t="n">
        <v>22.35</v>
      </c>
      <c r="J51" s="1" t="s">
        <v>126</v>
      </c>
      <c r="K51" s="1" t="s">
        <v>64</v>
      </c>
      <c r="L51" s="1" t="s">
        <v>70</v>
      </c>
      <c r="M51" s="1" t="n">
        <v>43</v>
      </c>
      <c r="N51" s="1" t="s">
        <v>39</v>
      </c>
    </row>
    <row r="52" customFormat="false" ht="15" hidden="false" customHeight="true" outlineLevel="0" collapsed="false">
      <c r="A52" s="1" t="s">
        <v>266</v>
      </c>
      <c r="B52" s="1" t="s">
        <v>267</v>
      </c>
      <c r="C52" s="1" t="s">
        <v>268</v>
      </c>
      <c r="D52" s="1" t="s">
        <v>120</v>
      </c>
      <c r="E52" s="1" t="s">
        <v>50</v>
      </c>
      <c r="F52" s="1" t="s">
        <v>55</v>
      </c>
      <c r="G52" s="23" t="n">
        <v>45715</v>
      </c>
      <c r="H52" s="1" t="n">
        <v>27</v>
      </c>
      <c r="I52" s="24" t="n">
        <v>0</v>
      </c>
      <c r="K52" s="1" t="s">
        <v>64</v>
      </c>
      <c r="L52" s="1" t="s">
        <v>69</v>
      </c>
      <c r="M52" s="1" t="n">
        <v>39</v>
      </c>
      <c r="N52" s="1" t="s">
        <v>39</v>
      </c>
    </row>
    <row r="53" customFormat="false" ht="15" hidden="false" customHeight="true" outlineLevel="0" collapsed="false">
      <c r="A53" s="1" t="s">
        <v>269</v>
      </c>
      <c r="B53" s="1" t="s">
        <v>270</v>
      </c>
      <c r="C53" s="1" t="s">
        <v>271</v>
      </c>
      <c r="D53" s="1" t="s">
        <v>125</v>
      </c>
      <c r="E53" s="1" t="s">
        <v>50</v>
      </c>
      <c r="F53" s="1" t="s">
        <v>55</v>
      </c>
      <c r="G53" s="23" t="n">
        <v>45658</v>
      </c>
      <c r="H53" s="1" t="n">
        <v>82</v>
      </c>
      <c r="I53" s="24" t="n">
        <v>0</v>
      </c>
      <c r="K53" s="1" t="s">
        <v>67</v>
      </c>
      <c r="L53" s="1" t="s">
        <v>69</v>
      </c>
      <c r="M53" s="1" t="n">
        <v>26</v>
      </c>
      <c r="N53" s="1" t="s">
        <v>39</v>
      </c>
    </row>
    <row r="54" customFormat="false" ht="15" hidden="false" customHeight="true" outlineLevel="0" collapsed="false">
      <c r="A54" s="1" t="s">
        <v>272</v>
      </c>
      <c r="B54" s="1" t="s">
        <v>273</v>
      </c>
      <c r="C54" s="1" t="s">
        <v>274</v>
      </c>
      <c r="D54" s="1" t="s">
        <v>116</v>
      </c>
      <c r="E54" s="1" t="s">
        <v>52</v>
      </c>
      <c r="F54" s="1" t="s">
        <v>59</v>
      </c>
      <c r="G54" s="23" t="n">
        <v>45781</v>
      </c>
      <c r="H54" s="1" t="n">
        <v>42</v>
      </c>
      <c r="I54" s="24" t="n">
        <v>0</v>
      </c>
      <c r="K54" s="1" t="s">
        <v>64</v>
      </c>
      <c r="L54" s="1" t="s">
        <v>69</v>
      </c>
      <c r="M54" s="1" t="n">
        <v>18</v>
      </c>
      <c r="N54" s="1" t="s">
        <v>39</v>
      </c>
    </row>
    <row r="55" customFormat="false" ht="15" hidden="false" customHeight="true" outlineLevel="0" collapsed="false">
      <c r="A55" s="1" t="s">
        <v>275</v>
      </c>
      <c r="B55" s="1" t="s">
        <v>276</v>
      </c>
      <c r="C55" s="1" t="s">
        <v>277</v>
      </c>
      <c r="D55" s="1" t="s">
        <v>120</v>
      </c>
      <c r="E55" s="1" t="s">
        <v>51</v>
      </c>
      <c r="F55" s="1" t="s">
        <v>56</v>
      </c>
      <c r="G55" s="23" t="n">
        <v>45645</v>
      </c>
      <c r="H55" s="1" t="n">
        <v>108</v>
      </c>
      <c r="I55" s="24" t="n">
        <v>0</v>
      </c>
      <c r="K55" s="1" t="s">
        <v>64</v>
      </c>
      <c r="L55" s="1" t="s">
        <v>69</v>
      </c>
      <c r="M55" s="1" t="n">
        <v>35</v>
      </c>
      <c r="N55" s="1" t="s">
        <v>39</v>
      </c>
    </row>
    <row r="56" customFormat="false" ht="15" hidden="false" customHeight="true" outlineLevel="0" collapsed="false">
      <c r="A56" s="1" t="s">
        <v>278</v>
      </c>
      <c r="B56" s="1" t="s">
        <v>279</v>
      </c>
      <c r="C56" s="1" t="s">
        <v>280</v>
      </c>
      <c r="D56" s="1" t="s">
        <v>125</v>
      </c>
      <c r="E56" s="1" t="s">
        <v>52</v>
      </c>
      <c r="F56" s="1" t="s">
        <v>60</v>
      </c>
      <c r="G56" s="23" t="n">
        <v>45758</v>
      </c>
      <c r="H56" s="1" t="n">
        <v>38</v>
      </c>
      <c r="I56" s="24" t="n">
        <v>0</v>
      </c>
      <c r="K56" s="1" t="s">
        <v>64</v>
      </c>
      <c r="L56" s="1" t="s">
        <v>69</v>
      </c>
      <c r="M56" s="1" t="n">
        <v>34</v>
      </c>
      <c r="N56" s="1" t="s">
        <v>39</v>
      </c>
    </row>
    <row r="57" customFormat="false" ht="15" hidden="false" customHeight="true" outlineLevel="0" collapsed="false">
      <c r="A57" s="1" t="s">
        <v>281</v>
      </c>
      <c r="B57" s="1" t="s">
        <v>282</v>
      </c>
      <c r="C57" s="1" t="s">
        <v>283</v>
      </c>
      <c r="D57" s="1" t="s">
        <v>116</v>
      </c>
      <c r="E57" s="1" t="s">
        <v>51</v>
      </c>
      <c r="F57" s="1" t="s">
        <v>60</v>
      </c>
      <c r="G57" s="23" t="n">
        <v>45727</v>
      </c>
      <c r="H57" s="1" t="n">
        <v>136</v>
      </c>
      <c r="I57" s="24" t="n">
        <v>0</v>
      </c>
      <c r="K57" s="1" t="s">
        <v>64</v>
      </c>
      <c r="L57" s="1" t="s">
        <v>69</v>
      </c>
      <c r="M57" s="1" t="n">
        <v>11</v>
      </c>
      <c r="N57" s="1" t="s">
        <v>39</v>
      </c>
    </row>
    <row r="58" customFormat="false" ht="15" hidden="false" customHeight="true" outlineLevel="0" collapsed="false">
      <c r="A58" s="1" t="s">
        <v>284</v>
      </c>
      <c r="B58" s="1" t="s">
        <v>285</v>
      </c>
      <c r="C58" s="1" t="s">
        <v>286</v>
      </c>
      <c r="D58" s="1" t="s">
        <v>116</v>
      </c>
      <c r="E58" s="1" t="s">
        <v>50</v>
      </c>
      <c r="F58" s="1" t="s">
        <v>55</v>
      </c>
      <c r="G58" s="23" t="n">
        <v>45814</v>
      </c>
      <c r="H58" s="1" t="n">
        <v>20</v>
      </c>
      <c r="I58" s="24" t="n">
        <v>0</v>
      </c>
      <c r="K58" s="1" t="s">
        <v>67</v>
      </c>
      <c r="L58" s="1" t="s">
        <v>69</v>
      </c>
      <c r="M58" s="1" t="n">
        <v>49</v>
      </c>
      <c r="N58" s="1" t="s">
        <v>39</v>
      </c>
    </row>
    <row r="59" customFormat="false" ht="15" hidden="false" customHeight="true" outlineLevel="0" collapsed="false">
      <c r="A59" s="1" t="s">
        <v>287</v>
      </c>
      <c r="B59" s="1" t="s">
        <v>288</v>
      </c>
      <c r="C59" s="1" t="s">
        <v>289</v>
      </c>
      <c r="D59" s="1" t="s">
        <v>116</v>
      </c>
      <c r="E59" s="1" t="s">
        <v>50</v>
      </c>
      <c r="F59" s="1" t="s">
        <v>57</v>
      </c>
      <c r="G59" s="23" t="n">
        <v>45788</v>
      </c>
      <c r="H59" s="1" t="n">
        <v>117</v>
      </c>
      <c r="I59" s="24" t="n">
        <v>0</v>
      </c>
      <c r="K59" s="1" t="s">
        <v>66</v>
      </c>
      <c r="L59" s="1" t="s">
        <v>69</v>
      </c>
      <c r="M59" s="1" t="n">
        <v>11</v>
      </c>
      <c r="N59" s="1" t="s">
        <v>39</v>
      </c>
    </row>
    <row r="60" customFormat="false" ht="15" hidden="false" customHeight="true" outlineLevel="0" collapsed="false">
      <c r="A60" s="1" t="s">
        <v>290</v>
      </c>
      <c r="B60" s="1" t="s">
        <v>291</v>
      </c>
      <c r="C60" s="1" t="s">
        <v>292</v>
      </c>
      <c r="D60" s="1" t="s">
        <v>116</v>
      </c>
      <c r="E60" s="1" t="s">
        <v>51</v>
      </c>
      <c r="F60" s="1" t="s">
        <v>57</v>
      </c>
      <c r="G60" s="23" t="n">
        <v>45781</v>
      </c>
      <c r="H60" s="1" t="n">
        <v>139</v>
      </c>
      <c r="I60" s="24" t="n">
        <v>0</v>
      </c>
      <c r="K60" s="1" t="s">
        <v>64</v>
      </c>
      <c r="L60" s="1" t="s">
        <v>69</v>
      </c>
      <c r="M60" s="1" t="n">
        <v>41</v>
      </c>
      <c r="N60" s="1" t="s">
        <v>39</v>
      </c>
    </row>
    <row r="61" customFormat="false" ht="15" hidden="false" customHeight="true" outlineLevel="0" collapsed="false">
      <c r="A61" s="1" t="s">
        <v>293</v>
      </c>
      <c r="B61" s="1" t="s">
        <v>294</v>
      </c>
      <c r="C61" s="1" t="s">
        <v>295</v>
      </c>
      <c r="D61" s="1" t="s">
        <v>120</v>
      </c>
      <c r="E61" s="1" t="s">
        <v>50</v>
      </c>
      <c r="F61" s="1" t="s">
        <v>56</v>
      </c>
      <c r="G61" s="23" t="n">
        <v>45756</v>
      </c>
      <c r="H61" s="1" t="n">
        <v>19</v>
      </c>
      <c r="I61" s="24" t="n">
        <v>44.21</v>
      </c>
      <c r="J61" s="1" t="s">
        <v>140</v>
      </c>
      <c r="K61" s="1" t="s">
        <v>64</v>
      </c>
      <c r="L61" s="1" t="s">
        <v>70</v>
      </c>
      <c r="M61" s="1" t="n">
        <v>24</v>
      </c>
      <c r="N61" s="1" t="s">
        <v>38</v>
      </c>
    </row>
    <row r="62" customFormat="false" ht="15" hidden="false" customHeight="true" outlineLevel="0" collapsed="false">
      <c r="A62" s="1" t="s">
        <v>296</v>
      </c>
      <c r="B62" s="1" t="s">
        <v>297</v>
      </c>
      <c r="C62" s="1" t="s">
        <v>298</v>
      </c>
      <c r="D62" s="1" t="s">
        <v>116</v>
      </c>
      <c r="E62" s="1" t="s">
        <v>51</v>
      </c>
      <c r="F62" s="1" t="s">
        <v>56</v>
      </c>
      <c r="G62" s="23" t="n">
        <v>45771</v>
      </c>
      <c r="H62" s="1" t="n">
        <v>76</v>
      </c>
      <c r="I62" s="24" t="n">
        <v>0</v>
      </c>
      <c r="K62" s="1" t="s">
        <v>64</v>
      </c>
      <c r="L62" s="1" t="s">
        <v>69</v>
      </c>
      <c r="M62" s="1" t="n">
        <v>41</v>
      </c>
      <c r="N62" s="1" t="s">
        <v>39</v>
      </c>
    </row>
    <row r="63" customFormat="false" ht="15" hidden="false" customHeight="true" outlineLevel="0" collapsed="false">
      <c r="A63" s="1" t="s">
        <v>299</v>
      </c>
      <c r="B63" s="1" t="s">
        <v>300</v>
      </c>
      <c r="C63" s="1" t="s">
        <v>301</v>
      </c>
      <c r="D63" s="1" t="s">
        <v>165</v>
      </c>
      <c r="E63" s="1" t="s">
        <v>51</v>
      </c>
      <c r="F63" s="1" t="s">
        <v>55</v>
      </c>
      <c r="G63" s="23" t="n">
        <v>45767</v>
      </c>
      <c r="H63" s="1" t="n">
        <v>153</v>
      </c>
      <c r="I63" s="24" t="n">
        <v>0</v>
      </c>
      <c r="K63" s="1" t="s">
        <v>64</v>
      </c>
      <c r="L63" s="1" t="s">
        <v>69</v>
      </c>
      <c r="M63" s="1" t="n">
        <v>2</v>
      </c>
      <c r="N63" s="1" t="s">
        <v>38</v>
      </c>
    </row>
    <row r="64" customFormat="false" ht="15" hidden="false" customHeight="true" outlineLevel="0" collapsed="false">
      <c r="A64" s="1" t="s">
        <v>302</v>
      </c>
      <c r="B64" s="1" t="s">
        <v>303</v>
      </c>
      <c r="C64" s="1" t="s">
        <v>304</v>
      </c>
      <c r="D64" s="1" t="s">
        <v>125</v>
      </c>
      <c r="E64" s="1" t="s">
        <v>52</v>
      </c>
      <c r="F64" s="1" t="s">
        <v>57</v>
      </c>
      <c r="G64" s="23" t="n">
        <v>45804</v>
      </c>
      <c r="H64" s="1" t="n">
        <v>156</v>
      </c>
      <c r="I64" s="24" t="n">
        <v>0</v>
      </c>
      <c r="K64" s="1" t="s">
        <v>64</v>
      </c>
      <c r="L64" s="1" t="s">
        <v>70</v>
      </c>
      <c r="M64" s="1" t="n">
        <v>50</v>
      </c>
      <c r="N64" s="1" t="s">
        <v>38</v>
      </c>
    </row>
    <row r="65" customFormat="false" ht="15" hidden="false" customHeight="true" outlineLevel="0" collapsed="false">
      <c r="A65" s="1" t="s">
        <v>305</v>
      </c>
      <c r="B65" s="1" t="s">
        <v>306</v>
      </c>
      <c r="C65" s="1" t="s">
        <v>307</v>
      </c>
      <c r="D65" s="1" t="s">
        <v>125</v>
      </c>
      <c r="E65" s="1" t="s">
        <v>50</v>
      </c>
      <c r="F65" s="1" t="s">
        <v>60</v>
      </c>
      <c r="G65" s="23" t="n">
        <v>45739</v>
      </c>
      <c r="H65" s="1" t="n">
        <v>153</v>
      </c>
      <c r="I65" s="24" t="n">
        <v>0</v>
      </c>
      <c r="K65" s="1" t="s">
        <v>64</v>
      </c>
      <c r="L65" s="1" t="s">
        <v>70</v>
      </c>
      <c r="M65" s="1" t="n">
        <v>44</v>
      </c>
      <c r="N65" s="1" t="s">
        <v>38</v>
      </c>
    </row>
    <row r="66" customFormat="false" ht="15" hidden="false" customHeight="true" outlineLevel="0" collapsed="false">
      <c r="A66" s="1" t="s">
        <v>308</v>
      </c>
      <c r="B66" s="1" t="s">
        <v>309</v>
      </c>
      <c r="C66" s="1" t="s">
        <v>310</v>
      </c>
      <c r="D66" s="1" t="s">
        <v>120</v>
      </c>
      <c r="E66" s="1" t="s">
        <v>52</v>
      </c>
      <c r="F66" s="1" t="s">
        <v>60</v>
      </c>
      <c r="G66" s="23" t="n">
        <v>45658</v>
      </c>
      <c r="H66" s="1" t="n">
        <v>77</v>
      </c>
      <c r="I66" s="24" t="n">
        <v>39.88</v>
      </c>
      <c r="J66" s="1" t="s">
        <v>241</v>
      </c>
      <c r="K66" s="1" t="s">
        <v>64</v>
      </c>
      <c r="L66" s="1" t="s">
        <v>70</v>
      </c>
      <c r="M66" s="1" t="n">
        <v>25</v>
      </c>
      <c r="N66" s="1" t="s">
        <v>39</v>
      </c>
    </row>
    <row r="67" customFormat="false" ht="15" hidden="false" customHeight="true" outlineLevel="0" collapsed="false">
      <c r="A67" s="1" t="s">
        <v>311</v>
      </c>
      <c r="B67" s="1" t="s">
        <v>312</v>
      </c>
      <c r="C67" s="1" t="s">
        <v>313</v>
      </c>
      <c r="D67" s="1" t="s">
        <v>120</v>
      </c>
      <c r="E67" s="1" t="s">
        <v>51</v>
      </c>
      <c r="F67" s="1" t="s">
        <v>59</v>
      </c>
      <c r="G67" s="23" t="n">
        <v>45818</v>
      </c>
      <c r="H67" s="1" t="n">
        <v>81</v>
      </c>
      <c r="I67" s="24" t="n">
        <v>10.1</v>
      </c>
      <c r="J67" s="1" t="s">
        <v>126</v>
      </c>
      <c r="K67" s="1" t="s">
        <v>65</v>
      </c>
      <c r="L67" s="1" t="s">
        <v>70</v>
      </c>
      <c r="M67" s="1" t="n">
        <v>24</v>
      </c>
      <c r="N67" s="1" t="s">
        <v>39</v>
      </c>
    </row>
    <row r="68" customFormat="false" ht="15" hidden="false" customHeight="true" outlineLevel="0" collapsed="false">
      <c r="A68" s="1" t="s">
        <v>314</v>
      </c>
      <c r="B68" s="1" t="s">
        <v>315</v>
      </c>
      <c r="C68" s="1" t="s">
        <v>316</v>
      </c>
      <c r="D68" s="1" t="s">
        <v>165</v>
      </c>
      <c r="E68" s="1" t="s">
        <v>51</v>
      </c>
      <c r="F68" s="1" t="s">
        <v>56</v>
      </c>
      <c r="G68" s="23" t="n">
        <v>45713</v>
      </c>
      <c r="H68" s="1" t="n">
        <v>7</v>
      </c>
      <c r="I68" s="24" t="n">
        <v>0</v>
      </c>
      <c r="K68" s="1" t="s">
        <v>67</v>
      </c>
      <c r="L68" s="1" t="s">
        <v>69</v>
      </c>
      <c r="M68" s="1" t="n">
        <v>32</v>
      </c>
      <c r="N68" s="1" t="s">
        <v>39</v>
      </c>
    </row>
    <row r="69" customFormat="false" ht="15" hidden="false" customHeight="true" outlineLevel="0" collapsed="false">
      <c r="A69" s="1" t="s">
        <v>317</v>
      </c>
      <c r="B69" s="1" t="s">
        <v>318</v>
      </c>
      <c r="C69" s="1" t="s">
        <v>319</v>
      </c>
      <c r="D69" s="1" t="s">
        <v>165</v>
      </c>
      <c r="E69" s="1" t="s">
        <v>51</v>
      </c>
      <c r="F69" s="1" t="s">
        <v>55</v>
      </c>
      <c r="G69" s="23" t="n">
        <v>45814</v>
      </c>
      <c r="H69" s="1" t="n">
        <v>152</v>
      </c>
      <c r="I69" s="24" t="n">
        <v>0</v>
      </c>
      <c r="K69" s="1" t="s">
        <v>64</v>
      </c>
      <c r="L69" s="1" t="s">
        <v>69</v>
      </c>
      <c r="M69" s="1" t="n">
        <v>21</v>
      </c>
      <c r="N69" s="1" t="s">
        <v>38</v>
      </c>
    </row>
    <row r="70" customFormat="false" ht="15" hidden="false" customHeight="true" outlineLevel="0" collapsed="false">
      <c r="A70" s="1" t="s">
        <v>320</v>
      </c>
      <c r="B70" s="1" t="s">
        <v>321</v>
      </c>
      <c r="C70" s="1" t="s">
        <v>322</v>
      </c>
      <c r="D70" s="1" t="s">
        <v>125</v>
      </c>
      <c r="E70" s="1" t="s">
        <v>51</v>
      </c>
      <c r="F70" s="1" t="s">
        <v>60</v>
      </c>
      <c r="G70" s="23" t="n">
        <v>45662</v>
      </c>
      <c r="H70" s="1" t="n">
        <v>64</v>
      </c>
      <c r="I70" s="24" t="n">
        <v>0</v>
      </c>
      <c r="K70" s="1" t="s">
        <v>66</v>
      </c>
      <c r="L70" s="1" t="s">
        <v>69</v>
      </c>
      <c r="M70" s="1" t="n">
        <v>13</v>
      </c>
      <c r="N70" s="1" t="s">
        <v>39</v>
      </c>
    </row>
    <row r="71" customFormat="false" ht="15" hidden="false" customHeight="true" outlineLevel="0" collapsed="false">
      <c r="A71" s="1" t="s">
        <v>323</v>
      </c>
      <c r="B71" s="1" t="s">
        <v>324</v>
      </c>
      <c r="C71" s="1" t="s">
        <v>325</v>
      </c>
      <c r="D71" s="1" t="s">
        <v>116</v>
      </c>
      <c r="E71" s="1" t="s">
        <v>52</v>
      </c>
      <c r="F71" s="1" t="s">
        <v>57</v>
      </c>
      <c r="G71" s="23" t="n">
        <v>45811</v>
      </c>
      <c r="H71" s="1" t="n">
        <v>165</v>
      </c>
      <c r="I71" s="24" t="n">
        <v>0</v>
      </c>
      <c r="K71" s="1" t="s">
        <v>64</v>
      </c>
      <c r="L71" s="1" t="s">
        <v>69</v>
      </c>
      <c r="M71" s="1" t="n">
        <v>41</v>
      </c>
      <c r="N71" s="1" t="s">
        <v>38</v>
      </c>
    </row>
    <row r="72" customFormat="false" ht="15" hidden="false" customHeight="true" outlineLevel="0" collapsed="false">
      <c r="A72" s="1" t="s">
        <v>326</v>
      </c>
      <c r="B72" s="1" t="s">
        <v>327</v>
      </c>
      <c r="C72" s="1" t="s">
        <v>328</v>
      </c>
      <c r="D72" s="1" t="s">
        <v>165</v>
      </c>
      <c r="E72" s="1" t="s">
        <v>52</v>
      </c>
      <c r="F72" s="1" t="s">
        <v>56</v>
      </c>
      <c r="G72" s="23" t="n">
        <v>45674</v>
      </c>
      <c r="H72" s="1" t="n">
        <v>165</v>
      </c>
      <c r="I72" s="24" t="n">
        <v>0</v>
      </c>
      <c r="K72" s="1" t="s">
        <v>64</v>
      </c>
      <c r="L72" s="1" t="s">
        <v>69</v>
      </c>
      <c r="M72" s="1" t="n">
        <v>15</v>
      </c>
      <c r="N72" s="1" t="s">
        <v>38</v>
      </c>
    </row>
    <row r="73" customFormat="false" ht="15" hidden="false" customHeight="true" outlineLevel="0" collapsed="false">
      <c r="A73" s="1" t="s">
        <v>329</v>
      </c>
      <c r="B73" s="1" t="s">
        <v>330</v>
      </c>
      <c r="C73" s="1" t="s">
        <v>331</v>
      </c>
      <c r="D73" s="1" t="s">
        <v>130</v>
      </c>
      <c r="E73" s="1" t="s">
        <v>51</v>
      </c>
      <c r="F73" s="1" t="s">
        <v>60</v>
      </c>
      <c r="G73" s="23" t="n">
        <v>45682</v>
      </c>
      <c r="H73" s="1" t="n">
        <v>79</v>
      </c>
      <c r="I73" s="24" t="n">
        <v>0</v>
      </c>
      <c r="K73" s="1" t="s">
        <v>66</v>
      </c>
      <c r="L73" s="1" t="s">
        <v>69</v>
      </c>
      <c r="M73" s="1" t="n">
        <v>18</v>
      </c>
      <c r="N73" s="1" t="s">
        <v>39</v>
      </c>
    </row>
    <row r="74" customFormat="false" ht="15" hidden="false" customHeight="true" outlineLevel="0" collapsed="false">
      <c r="A74" s="1" t="s">
        <v>332</v>
      </c>
      <c r="B74" s="1" t="s">
        <v>333</v>
      </c>
      <c r="C74" s="1" t="s">
        <v>334</v>
      </c>
      <c r="D74" s="1" t="s">
        <v>165</v>
      </c>
      <c r="E74" s="1" t="s">
        <v>51</v>
      </c>
      <c r="F74" s="1" t="s">
        <v>55</v>
      </c>
      <c r="G74" s="23" t="n">
        <v>45820</v>
      </c>
      <c r="H74" s="1" t="n">
        <v>81</v>
      </c>
      <c r="I74" s="24" t="n">
        <v>0</v>
      </c>
      <c r="K74" s="1" t="s">
        <v>66</v>
      </c>
      <c r="L74" s="1" t="s">
        <v>69</v>
      </c>
      <c r="M74" s="1" t="n">
        <v>37</v>
      </c>
      <c r="N74" s="1" t="s">
        <v>39</v>
      </c>
    </row>
    <row r="75" customFormat="false" ht="15" hidden="false" customHeight="true" outlineLevel="0" collapsed="false">
      <c r="A75" s="1" t="s">
        <v>335</v>
      </c>
      <c r="B75" s="1" t="s">
        <v>336</v>
      </c>
      <c r="C75" s="1" t="s">
        <v>337</v>
      </c>
      <c r="D75" s="1" t="s">
        <v>120</v>
      </c>
      <c r="E75" s="1" t="s">
        <v>52</v>
      </c>
      <c r="F75" s="1" t="s">
        <v>59</v>
      </c>
      <c r="G75" s="23" t="n">
        <v>45659</v>
      </c>
      <c r="H75" s="1" t="n">
        <v>84</v>
      </c>
      <c r="I75" s="24" t="n">
        <v>0</v>
      </c>
      <c r="K75" s="1" t="s">
        <v>64</v>
      </c>
      <c r="L75" s="1" t="s">
        <v>69</v>
      </c>
      <c r="M75" s="1" t="n">
        <v>11</v>
      </c>
      <c r="N75" s="1" t="s">
        <v>39</v>
      </c>
    </row>
    <row r="76" customFormat="false" ht="15" hidden="false" customHeight="true" outlineLevel="0" collapsed="false">
      <c r="A76" s="1" t="s">
        <v>338</v>
      </c>
      <c r="B76" s="1" t="s">
        <v>339</v>
      </c>
      <c r="C76" s="1" t="s">
        <v>340</v>
      </c>
      <c r="D76" s="1" t="s">
        <v>125</v>
      </c>
      <c r="E76" s="1" t="s">
        <v>50</v>
      </c>
      <c r="F76" s="1" t="s">
        <v>57</v>
      </c>
      <c r="G76" s="23" t="n">
        <v>45782</v>
      </c>
      <c r="H76" s="1" t="n">
        <v>79</v>
      </c>
      <c r="I76" s="24" t="n">
        <v>0</v>
      </c>
      <c r="K76" s="1" t="s">
        <v>64</v>
      </c>
      <c r="L76" s="1" t="s">
        <v>69</v>
      </c>
      <c r="M76" s="1" t="n">
        <v>49</v>
      </c>
      <c r="N76" s="1" t="s">
        <v>39</v>
      </c>
    </row>
    <row r="77" customFormat="false" ht="15" hidden="false" customHeight="true" outlineLevel="0" collapsed="false">
      <c r="A77" s="1" t="s">
        <v>341</v>
      </c>
      <c r="B77" s="1" t="s">
        <v>342</v>
      </c>
      <c r="C77" s="1" t="s">
        <v>343</v>
      </c>
      <c r="D77" s="1" t="s">
        <v>116</v>
      </c>
      <c r="E77" s="1" t="s">
        <v>52</v>
      </c>
      <c r="F77" s="1" t="s">
        <v>57</v>
      </c>
      <c r="G77" s="23" t="n">
        <v>45665</v>
      </c>
      <c r="H77" s="1" t="n">
        <v>147</v>
      </c>
      <c r="I77" s="24" t="n">
        <v>0</v>
      </c>
      <c r="K77" s="1" t="s">
        <v>64</v>
      </c>
      <c r="L77" s="1" t="s">
        <v>69</v>
      </c>
      <c r="M77" s="1" t="n">
        <v>14</v>
      </c>
      <c r="N77" s="1" t="s">
        <v>39</v>
      </c>
    </row>
    <row r="78" customFormat="false" ht="15" hidden="false" customHeight="true" outlineLevel="0" collapsed="false">
      <c r="A78" s="1" t="s">
        <v>344</v>
      </c>
      <c r="B78" s="1" t="s">
        <v>345</v>
      </c>
      <c r="C78" s="1" t="s">
        <v>346</v>
      </c>
      <c r="D78" s="1" t="s">
        <v>165</v>
      </c>
      <c r="E78" s="1" t="s">
        <v>52</v>
      </c>
      <c r="F78" s="1" t="s">
        <v>60</v>
      </c>
      <c r="G78" s="23" t="n">
        <v>45750</v>
      </c>
      <c r="H78" s="1" t="n">
        <v>70</v>
      </c>
      <c r="I78" s="24" t="n">
        <v>0</v>
      </c>
      <c r="K78" s="1" t="s">
        <v>64</v>
      </c>
      <c r="L78" s="1" t="s">
        <v>69</v>
      </c>
      <c r="M78" s="1" t="n">
        <v>12</v>
      </c>
      <c r="N78" s="1" t="s">
        <v>39</v>
      </c>
    </row>
    <row r="79" customFormat="false" ht="15" hidden="false" customHeight="true" outlineLevel="0" collapsed="false">
      <c r="A79" s="1" t="s">
        <v>347</v>
      </c>
      <c r="B79" s="1" t="s">
        <v>348</v>
      </c>
      <c r="C79" s="1" t="s">
        <v>349</v>
      </c>
      <c r="D79" s="1" t="s">
        <v>125</v>
      </c>
      <c r="E79" s="1" t="s">
        <v>51</v>
      </c>
      <c r="F79" s="1" t="s">
        <v>56</v>
      </c>
      <c r="G79" s="23" t="n">
        <v>45817</v>
      </c>
      <c r="H79" s="1" t="n">
        <v>33</v>
      </c>
      <c r="I79" s="24" t="n">
        <v>16.41</v>
      </c>
      <c r="J79" s="1" t="s">
        <v>121</v>
      </c>
      <c r="K79" s="1" t="s">
        <v>67</v>
      </c>
      <c r="L79" s="1" t="s">
        <v>70</v>
      </c>
      <c r="M79" s="1" t="n">
        <v>30</v>
      </c>
      <c r="N79" s="1" t="s">
        <v>39</v>
      </c>
    </row>
    <row r="80" customFormat="false" ht="15" hidden="false" customHeight="true" outlineLevel="0" collapsed="false">
      <c r="A80" s="1" t="s">
        <v>350</v>
      </c>
      <c r="B80" s="1" t="s">
        <v>351</v>
      </c>
      <c r="C80" s="1" t="s">
        <v>352</v>
      </c>
      <c r="D80" s="1" t="s">
        <v>125</v>
      </c>
      <c r="E80" s="1" t="s">
        <v>51</v>
      </c>
      <c r="F80" s="1" t="s">
        <v>60</v>
      </c>
      <c r="G80" s="23" t="n">
        <v>45692</v>
      </c>
      <c r="H80" s="1" t="n">
        <v>128</v>
      </c>
      <c r="I80" s="24" t="n">
        <v>0</v>
      </c>
      <c r="K80" s="1" t="s">
        <v>67</v>
      </c>
      <c r="L80" s="1" t="s">
        <v>69</v>
      </c>
      <c r="M80" s="1" t="n">
        <v>40</v>
      </c>
      <c r="N80" s="1" t="s">
        <v>39</v>
      </c>
    </row>
    <row r="81" customFormat="false" ht="15" hidden="false" customHeight="true" outlineLevel="0" collapsed="false">
      <c r="A81" s="1" t="s">
        <v>353</v>
      </c>
      <c r="B81" s="1" t="s">
        <v>354</v>
      </c>
      <c r="C81" s="1" t="s">
        <v>355</v>
      </c>
      <c r="D81" s="1" t="s">
        <v>125</v>
      </c>
      <c r="E81" s="1" t="s">
        <v>52</v>
      </c>
      <c r="F81" s="1" t="s">
        <v>55</v>
      </c>
      <c r="G81" s="23" t="n">
        <v>45815</v>
      </c>
      <c r="H81" s="1" t="n">
        <v>28</v>
      </c>
      <c r="I81" s="24" t="n">
        <v>0</v>
      </c>
      <c r="K81" s="1" t="s">
        <v>64</v>
      </c>
      <c r="L81" s="1" t="s">
        <v>69</v>
      </c>
      <c r="M81" s="1" t="n">
        <v>4</v>
      </c>
      <c r="N81" s="1" t="s">
        <v>39</v>
      </c>
    </row>
    <row r="82" customFormat="false" ht="15" hidden="false" customHeight="true" outlineLevel="0" collapsed="false">
      <c r="A82" s="1" t="s">
        <v>356</v>
      </c>
      <c r="B82" s="1" t="s">
        <v>357</v>
      </c>
      <c r="C82" s="1" t="s">
        <v>358</v>
      </c>
      <c r="D82" s="1" t="s">
        <v>125</v>
      </c>
      <c r="E82" s="1" t="s">
        <v>51</v>
      </c>
      <c r="F82" s="1" t="s">
        <v>57</v>
      </c>
      <c r="G82" s="23" t="n">
        <v>45743</v>
      </c>
      <c r="H82" s="1" t="n">
        <v>112</v>
      </c>
      <c r="I82" s="24" t="n">
        <v>0</v>
      </c>
      <c r="K82" s="1" t="s">
        <v>64</v>
      </c>
      <c r="L82" s="1" t="s">
        <v>69</v>
      </c>
      <c r="M82" s="1" t="n">
        <v>21</v>
      </c>
      <c r="N82" s="1" t="s">
        <v>39</v>
      </c>
    </row>
    <row r="83" customFormat="false" ht="15" hidden="false" customHeight="true" outlineLevel="0" collapsed="false">
      <c r="A83" s="1" t="s">
        <v>359</v>
      </c>
      <c r="B83" s="1" t="s">
        <v>360</v>
      </c>
      <c r="C83" s="1" t="s">
        <v>361</v>
      </c>
      <c r="D83" s="1" t="s">
        <v>125</v>
      </c>
      <c r="E83" s="1" t="s">
        <v>50</v>
      </c>
      <c r="F83" s="1" t="s">
        <v>59</v>
      </c>
      <c r="G83" s="23" t="n">
        <v>45779</v>
      </c>
      <c r="H83" s="1" t="n">
        <v>175</v>
      </c>
      <c r="I83" s="24" t="n">
        <v>27.19</v>
      </c>
      <c r="J83" s="1" t="s">
        <v>241</v>
      </c>
      <c r="K83" s="1" t="s">
        <v>64</v>
      </c>
      <c r="L83" s="1" t="s">
        <v>70</v>
      </c>
      <c r="M83" s="1" t="n">
        <v>1</v>
      </c>
      <c r="N83" s="1" t="s">
        <v>38</v>
      </c>
    </row>
    <row r="84" customFormat="false" ht="15" hidden="false" customHeight="true" outlineLevel="0" collapsed="false">
      <c r="A84" s="1" t="s">
        <v>362</v>
      </c>
      <c r="B84" s="1" t="s">
        <v>363</v>
      </c>
      <c r="C84" s="1" t="s">
        <v>364</v>
      </c>
      <c r="D84" s="1" t="s">
        <v>130</v>
      </c>
      <c r="E84" s="1" t="s">
        <v>51</v>
      </c>
      <c r="F84" s="1" t="s">
        <v>55</v>
      </c>
      <c r="G84" s="23" t="n">
        <v>45809</v>
      </c>
      <c r="H84" s="1" t="n">
        <v>60</v>
      </c>
      <c r="I84" s="24" t="n">
        <v>0</v>
      </c>
      <c r="K84" s="1" t="s">
        <v>64</v>
      </c>
      <c r="L84" s="1" t="s">
        <v>69</v>
      </c>
      <c r="M84" s="1" t="n">
        <v>44</v>
      </c>
      <c r="N84" s="1" t="s">
        <v>39</v>
      </c>
    </row>
    <row r="85" customFormat="false" ht="15" hidden="false" customHeight="true" outlineLevel="0" collapsed="false">
      <c r="A85" s="1" t="s">
        <v>365</v>
      </c>
      <c r="B85" s="1" t="s">
        <v>366</v>
      </c>
      <c r="C85" s="1" t="s">
        <v>367</v>
      </c>
      <c r="D85" s="1" t="s">
        <v>120</v>
      </c>
      <c r="E85" s="1" t="s">
        <v>51</v>
      </c>
      <c r="F85" s="1" t="s">
        <v>59</v>
      </c>
      <c r="G85" s="23" t="n">
        <v>45739</v>
      </c>
      <c r="H85" s="1" t="n">
        <v>144</v>
      </c>
      <c r="I85" s="24" t="n">
        <v>0</v>
      </c>
      <c r="K85" s="1" t="s">
        <v>64</v>
      </c>
      <c r="L85" s="1" t="s">
        <v>69</v>
      </c>
      <c r="M85" s="1" t="n">
        <v>35</v>
      </c>
      <c r="N85" s="1" t="s">
        <v>39</v>
      </c>
    </row>
    <row r="86" customFormat="false" ht="15" hidden="false" customHeight="true" outlineLevel="0" collapsed="false">
      <c r="A86" s="1" t="s">
        <v>368</v>
      </c>
      <c r="B86" s="1" t="s">
        <v>369</v>
      </c>
      <c r="C86" s="1" t="s">
        <v>370</v>
      </c>
      <c r="D86" s="1" t="s">
        <v>125</v>
      </c>
      <c r="E86" s="1" t="s">
        <v>51</v>
      </c>
      <c r="F86" s="1" t="s">
        <v>56</v>
      </c>
      <c r="G86" s="23" t="n">
        <v>45778</v>
      </c>
      <c r="H86" s="1" t="n">
        <v>47</v>
      </c>
      <c r="I86" s="24" t="n">
        <v>0</v>
      </c>
      <c r="K86" s="1" t="s">
        <v>65</v>
      </c>
      <c r="L86" s="1" t="s">
        <v>69</v>
      </c>
      <c r="M86" s="1" t="n">
        <v>50</v>
      </c>
      <c r="N86" s="1" t="s">
        <v>39</v>
      </c>
    </row>
    <row r="87" customFormat="false" ht="15" hidden="false" customHeight="true" outlineLevel="0" collapsed="false">
      <c r="A87" s="1" t="s">
        <v>371</v>
      </c>
      <c r="B87" s="1" t="s">
        <v>372</v>
      </c>
      <c r="C87" s="1" t="s">
        <v>373</v>
      </c>
      <c r="D87" s="1" t="s">
        <v>130</v>
      </c>
      <c r="E87" s="1" t="s">
        <v>50</v>
      </c>
      <c r="F87" s="1" t="s">
        <v>59</v>
      </c>
      <c r="G87" s="23" t="n">
        <v>45677</v>
      </c>
      <c r="H87" s="1" t="n">
        <v>53</v>
      </c>
      <c r="I87" s="24" t="n">
        <v>0</v>
      </c>
      <c r="K87" s="1" t="s">
        <v>64</v>
      </c>
      <c r="L87" s="1" t="s">
        <v>69</v>
      </c>
      <c r="M87" s="1" t="n">
        <v>4</v>
      </c>
      <c r="N87" s="1" t="s">
        <v>39</v>
      </c>
    </row>
    <row r="88" customFormat="false" ht="15" hidden="false" customHeight="true" outlineLevel="0" collapsed="false">
      <c r="A88" s="1" t="s">
        <v>374</v>
      </c>
      <c r="B88" s="1" t="s">
        <v>375</v>
      </c>
      <c r="C88" s="1" t="s">
        <v>376</v>
      </c>
      <c r="D88" s="1" t="s">
        <v>165</v>
      </c>
      <c r="E88" s="1" t="s">
        <v>52</v>
      </c>
      <c r="F88" s="1" t="s">
        <v>56</v>
      </c>
      <c r="G88" s="23" t="n">
        <v>45756</v>
      </c>
      <c r="H88" s="1" t="n">
        <v>43</v>
      </c>
      <c r="I88" s="24" t="n">
        <v>0</v>
      </c>
      <c r="K88" s="1" t="s">
        <v>64</v>
      </c>
      <c r="L88" s="1" t="s">
        <v>69</v>
      </c>
      <c r="M88" s="1" t="n">
        <v>20</v>
      </c>
      <c r="N88" s="1" t="s">
        <v>39</v>
      </c>
    </row>
    <row r="89" customFormat="false" ht="15" hidden="false" customHeight="true" outlineLevel="0" collapsed="false">
      <c r="A89" s="1" t="s">
        <v>377</v>
      </c>
      <c r="B89" s="1" t="s">
        <v>378</v>
      </c>
      <c r="C89" s="1" t="s">
        <v>379</v>
      </c>
      <c r="D89" s="1" t="s">
        <v>116</v>
      </c>
      <c r="E89" s="1" t="s">
        <v>51</v>
      </c>
      <c r="F89" s="1" t="s">
        <v>59</v>
      </c>
      <c r="G89" s="23" t="n">
        <v>45689</v>
      </c>
      <c r="H89" s="1" t="n">
        <v>11</v>
      </c>
      <c r="I89" s="24" t="n">
        <v>0</v>
      </c>
      <c r="K89" s="1" t="s">
        <v>65</v>
      </c>
      <c r="L89" s="1" t="s">
        <v>69</v>
      </c>
      <c r="M89" s="1" t="n">
        <v>18</v>
      </c>
      <c r="N89" s="1" t="s">
        <v>39</v>
      </c>
    </row>
    <row r="90" customFormat="false" ht="15" hidden="false" customHeight="true" outlineLevel="0" collapsed="false">
      <c r="A90" s="1" t="s">
        <v>380</v>
      </c>
      <c r="B90" s="1" t="s">
        <v>381</v>
      </c>
      <c r="C90" s="1" t="s">
        <v>382</v>
      </c>
      <c r="D90" s="1" t="s">
        <v>116</v>
      </c>
      <c r="E90" s="1" t="s">
        <v>52</v>
      </c>
      <c r="F90" s="1" t="s">
        <v>59</v>
      </c>
      <c r="G90" s="23" t="n">
        <v>45719</v>
      </c>
      <c r="H90" s="1" t="n">
        <v>100</v>
      </c>
      <c r="I90" s="24" t="n">
        <v>0</v>
      </c>
      <c r="K90" s="1" t="s">
        <v>64</v>
      </c>
      <c r="L90" s="1" t="s">
        <v>69</v>
      </c>
      <c r="M90" s="1" t="n">
        <v>50</v>
      </c>
      <c r="N90" s="1" t="s">
        <v>39</v>
      </c>
    </row>
    <row r="91" customFormat="false" ht="15" hidden="false" customHeight="true" outlineLevel="0" collapsed="false">
      <c r="A91" s="1" t="s">
        <v>383</v>
      </c>
      <c r="B91" s="1" t="s">
        <v>384</v>
      </c>
      <c r="C91" s="1" t="s">
        <v>385</v>
      </c>
      <c r="D91" s="1" t="s">
        <v>125</v>
      </c>
      <c r="E91" s="1" t="s">
        <v>51</v>
      </c>
      <c r="F91" s="1" t="s">
        <v>57</v>
      </c>
      <c r="G91" s="23" t="n">
        <v>45715</v>
      </c>
      <c r="H91" s="1" t="n">
        <v>54</v>
      </c>
      <c r="I91" s="24" t="n">
        <v>35.79</v>
      </c>
      <c r="J91" s="1" t="s">
        <v>241</v>
      </c>
      <c r="K91" s="1" t="s">
        <v>64</v>
      </c>
      <c r="L91" s="1" t="s">
        <v>70</v>
      </c>
      <c r="M91" s="1" t="n">
        <v>42</v>
      </c>
      <c r="N91" s="1" t="s">
        <v>39</v>
      </c>
    </row>
    <row r="92" customFormat="false" ht="15" hidden="false" customHeight="true" outlineLevel="0" collapsed="false">
      <c r="A92" s="1" t="s">
        <v>386</v>
      </c>
      <c r="B92" s="1" t="s">
        <v>387</v>
      </c>
      <c r="C92" s="1" t="s">
        <v>388</v>
      </c>
      <c r="D92" s="1" t="s">
        <v>120</v>
      </c>
      <c r="E92" s="1" t="s">
        <v>50</v>
      </c>
      <c r="F92" s="1" t="s">
        <v>56</v>
      </c>
      <c r="G92" s="23" t="n">
        <v>45651</v>
      </c>
      <c r="H92" s="1" t="n">
        <v>92</v>
      </c>
      <c r="I92" s="24" t="n">
        <v>0</v>
      </c>
      <c r="K92" s="1" t="s">
        <v>67</v>
      </c>
      <c r="L92" s="1" t="s">
        <v>69</v>
      </c>
      <c r="M92" s="1" t="n">
        <v>21</v>
      </c>
      <c r="N92" s="1" t="s">
        <v>39</v>
      </c>
    </row>
    <row r="93" customFormat="false" ht="15" hidden="false" customHeight="true" outlineLevel="0" collapsed="false">
      <c r="A93" s="1" t="s">
        <v>389</v>
      </c>
      <c r="B93" s="1" t="s">
        <v>390</v>
      </c>
      <c r="C93" s="1" t="s">
        <v>391</v>
      </c>
      <c r="D93" s="1" t="s">
        <v>165</v>
      </c>
      <c r="E93" s="1" t="s">
        <v>50</v>
      </c>
      <c r="F93" s="1" t="s">
        <v>58</v>
      </c>
      <c r="G93" s="23" t="n">
        <v>45661</v>
      </c>
      <c r="H93" s="1" t="n">
        <v>115</v>
      </c>
      <c r="I93" s="24" t="n">
        <v>0</v>
      </c>
      <c r="K93" s="1" t="s">
        <v>64</v>
      </c>
      <c r="L93" s="1" t="s">
        <v>69</v>
      </c>
      <c r="M93" s="1" t="n">
        <v>17</v>
      </c>
      <c r="N93" s="1" t="s">
        <v>39</v>
      </c>
    </row>
    <row r="94" customFormat="false" ht="15" hidden="false" customHeight="true" outlineLevel="0" collapsed="false">
      <c r="A94" s="1" t="s">
        <v>392</v>
      </c>
      <c r="B94" s="1" t="s">
        <v>393</v>
      </c>
      <c r="C94" s="1" t="s">
        <v>394</v>
      </c>
      <c r="D94" s="1" t="s">
        <v>130</v>
      </c>
      <c r="E94" s="1" t="s">
        <v>52</v>
      </c>
      <c r="F94" s="1" t="s">
        <v>60</v>
      </c>
      <c r="G94" s="23" t="n">
        <v>45809</v>
      </c>
      <c r="H94" s="1" t="n">
        <v>76</v>
      </c>
      <c r="I94" s="24" t="n">
        <v>0</v>
      </c>
      <c r="K94" s="1" t="s">
        <v>64</v>
      </c>
      <c r="L94" s="1" t="s">
        <v>69</v>
      </c>
      <c r="M94" s="1" t="n">
        <v>44</v>
      </c>
      <c r="N94" s="1" t="s">
        <v>39</v>
      </c>
    </row>
    <row r="95" customFormat="false" ht="15" hidden="false" customHeight="true" outlineLevel="0" collapsed="false">
      <c r="A95" s="1" t="s">
        <v>395</v>
      </c>
      <c r="B95" s="1" t="s">
        <v>300</v>
      </c>
      <c r="C95" s="1" t="s">
        <v>396</v>
      </c>
      <c r="D95" s="1" t="s">
        <v>116</v>
      </c>
      <c r="E95" s="1" t="s">
        <v>52</v>
      </c>
      <c r="F95" s="1" t="s">
        <v>59</v>
      </c>
      <c r="G95" s="23" t="n">
        <v>45770</v>
      </c>
      <c r="H95" s="1" t="n">
        <v>81</v>
      </c>
      <c r="I95" s="24" t="n">
        <v>0</v>
      </c>
      <c r="K95" s="1" t="s">
        <v>65</v>
      </c>
      <c r="L95" s="1" t="s">
        <v>69</v>
      </c>
      <c r="M95" s="1" t="n">
        <v>46</v>
      </c>
      <c r="N95" s="1" t="s">
        <v>39</v>
      </c>
    </row>
    <row r="96" customFormat="false" ht="15" hidden="false" customHeight="true" outlineLevel="0" collapsed="false">
      <c r="A96" s="1" t="s">
        <v>397</v>
      </c>
      <c r="B96" s="1" t="s">
        <v>398</v>
      </c>
      <c r="C96" s="1" t="s">
        <v>399</v>
      </c>
      <c r="D96" s="1" t="s">
        <v>116</v>
      </c>
      <c r="E96" s="1" t="s">
        <v>50</v>
      </c>
      <c r="F96" s="1" t="s">
        <v>57</v>
      </c>
      <c r="G96" s="23" t="n">
        <v>45646</v>
      </c>
      <c r="H96" s="1" t="n">
        <v>154</v>
      </c>
      <c r="I96" s="24" t="n">
        <v>0</v>
      </c>
      <c r="K96" s="1" t="s">
        <v>64</v>
      </c>
      <c r="L96" s="1" t="s">
        <v>69</v>
      </c>
      <c r="M96" s="1" t="n">
        <v>11</v>
      </c>
      <c r="N96" s="1" t="s">
        <v>38</v>
      </c>
    </row>
    <row r="97" customFormat="false" ht="15" hidden="false" customHeight="true" outlineLevel="0" collapsed="false">
      <c r="A97" s="1" t="s">
        <v>400</v>
      </c>
      <c r="B97" s="1" t="s">
        <v>401</v>
      </c>
      <c r="C97" s="1" t="s">
        <v>402</v>
      </c>
      <c r="D97" s="1" t="s">
        <v>125</v>
      </c>
      <c r="E97" s="1" t="s">
        <v>52</v>
      </c>
      <c r="F97" s="1" t="s">
        <v>58</v>
      </c>
      <c r="G97" s="23" t="n">
        <v>45731</v>
      </c>
      <c r="H97" s="1" t="n">
        <v>143</v>
      </c>
      <c r="I97" s="24" t="n">
        <v>0</v>
      </c>
      <c r="K97" s="1" t="s">
        <v>66</v>
      </c>
      <c r="L97" s="1" t="s">
        <v>69</v>
      </c>
      <c r="M97" s="1" t="n">
        <v>10</v>
      </c>
      <c r="N97" s="1" t="s">
        <v>39</v>
      </c>
    </row>
    <row r="98" customFormat="false" ht="15" hidden="false" customHeight="true" outlineLevel="0" collapsed="false">
      <c r="A98" s="1" t="s">
        <v>403</v>
      </c>
      <c r="B98" s="1" t="s">
        <v>404</v>
      </c>
      <c r="C98" s="1" t="s">
        <v>405</v>
      </c>
      <c r="D98" s="1" t="s">
        <v>130</v>
      </c>
      <c r="E98" s="1" t="s">
        <v>51</v>
      </c>
      <c r="F98" s="1" t="s">
        <v>59</v>
      </c>
      <c r="G98" s="23" t="n">
        <v>45779</v>
      </c>
      <c r="H98" s="1" t="n">
        <v>123</v>
      </c>
      <c r="I98" s="24" t="n">
        <v>26.85</v>
      </c>
      <c r="J98" s="1" t="s">
        <v>140</v>
      </c>
      <c r="K98" s="1" t="s">
        <v>65</v>
      </c>
      <c r="L98" s="1" t="s">
        <v>70</v>
      </c>
      <c r="M98" s="1" t="n">
        <v>32</v>
      </c>
      <c r="N98" s="1" t="s">
        <v>39</v>
      </c>
    </row>
    <row r="99" customFormat="false" ht="15" hidden="false" customHeight="true" outlineLevel="0" collapsed="false">
      <c r="A99" s="1" t="s">
        <v>406</v>
      </c>
      <c r="B99" s="1" t="s">
        <v>407</v>
      </c>
      <c r="C99" s="1" t="s">
        <v>408</v>
      </c>
      <c r="D99" s="1" t="s">
        <v>125</v>
      </c>
      <c r="E99" s="1" t="s">
        <v>52</v>
      </c>
      <c r="F99" s="1" t="s">
        <v>55</v>
      </c>
      <c r="G99" s="23" t="n">
        <v>45712</v>
      </c>
      <c r="H99" s="1" t="n">
        <v>158</v>
      </c>
      <c r="I99" s="24" t="n">
        <v>0</v>
      </c>
      <c r="K99" s="1" t="s">
        <v>64</v>
      </c>
      <c r="L99" s="1" t="s">
        <v>70</v>
      </c>
      <c r="M99" s="1" t="n">
        <v>17</v>
      </c>
      <c r="N99" s="1" t="s">
        <v>38</v>
      </c>
    </row>
    <row r="100" customFormat="false" ht="15" hidden="false" customHeight="true" outlineLevel="0" collapsed="false">
      <c r="A100" s="1" t="s">
        <v>409</v>
      </c>
      <c r="B100" s="1" t="s">
        <v>410</v>
      </c>
      <c r="C100" s="1" t="s">
        <v>411</v>
      </c>
      <c r="D100" s="1" t="s">
        <v>120</v>
      </c>
      <c r="E100" s="1" t="s">
        <v>51</v>
      </c>
      <c r="F100" s="1" t="s">
        <v>60</v>
      </c>
      <c r="G100" s="23" t="n">
        <v>45710</v>
      </c>
      <c r="H100" s="1" t="n">
        <v>122</v>
      </c>
      <c r="I100" s="24" t="n">
        <v>0</v>
      </c>
      <c r="K100" s="1" t="s">
        <v>64</v>
      </c>
      <c r="L100" s="1" t="s">
        <v>69</v>
      </c>
      <c r="M100" s="1" t="n">
        <v>9</v>
      </c>
      <c r="N100" s="1" t="s">
        <v>39</v>
      </c>
    </row>
    <row r="101" customFormat="false" ht="15" hidden="false" customHeight="true" outlineLevel="0" collapsed="false">
      <c r="A101" s="1" t="s">
        <v>412</v>
      </c>
      <c r="B101" s="1" t="s">
        <v>413</v>
      </c>
      <c r="C101" s="1" t="s">
        <v>414</v>
      </c>
      <c r="D101" s="1" t="s">
        <v>125</v>
      </c>
      <c r="E101" s="1" t="s">
        <v>52</v>
      </c>
      <c r="F101" s="1" t="s">
        <v>58</v>
      </c>
      <c r="G101" s="23" t="n">
        <v>45646</v>
      </c>
      <c r="H101" s="1" t="n">
        <v>164</v>
      </c>
      <c r="I101" s="24" t="n">
        <v>0</v>
      </c>
      <c r="K101" s="1" t="s">
        <v>64</v>
      </c>
      <c r="L101" s="1" t="s">
        <v>70</v>
      </c>
      <c r="M101" s="1" t="n">
        <v>19</v>
      </c>
      <c r="N101" s="1" t="s">
        <v>38</v>
      </c>
    </row>
    <row r="102" customFormat="false" ht="15" hidden="false" customHeight="true" outlineLevel="0" collapsed="false">
      <c r="A102" s="1" t="s">
        <v>415</v>
      </c>
      <c r="B102" s="1" t="s">
        <v>416</v>
      </c>
      <c r="C102" s="1" t="s">
        <v>417</v>
      </c>
      <c r="D102" s="1" t="s">
        <v>165</v>
      </c>
      <c r="E102" s="1" t="s">
        <v>52</v>
      </c>
      <c r="F102" s="1" t="s">
        <v>56</v>
      </c>
      <c r="G102" s="23" t="n">
        <v>45738</v>
      </c>
      <c r="H102" s="1" t="n">
        <v>173</v>
      </c>
      <c r="I102" s="24" t="n">
        <v>0</v>
      </c>
      <c r="K102" s="1" t="s">
        <v>64</v>
      </c>
      <c r="L102" s="1" t="s">
        <v>69</v>
      </c>
      <c r="M102" s="1" t="n">
        <v>37</v>
      </c>
      <c r="N102" s="1" t="s">
        <v>38</v>
      </c>
    </row>
    <row r="103" customFormat="false" ht="15" hidden="false" customHeight="true" outlineLevel="0" collapsed="false">
      <c r="A103" s="1" t="s">
        <v>418</v>
      </c>
      <c r="B103" s="1" t="s">
        <v>419</v>
      </c>
      <c r="C103" s="1" t="s">
        <v>420</v>
      </c>
      <c r="D103" s="1" t="s">
        <v>165</v>
      </c>
      <c r="E103" s="1" t="s">
        <v>52</v>
      </c>
      <c r="F103" s="1" t="s">
        <v>56</v>
      </c>
      <c r="G103" s="23" t="n">
        <v>45787</v>
      </c>
      <c r="H103" s="1" t="n">
        <v>107</v>
      </c>
      <c r="I103" s="24" t="n">
        <v>0</v>
      </c>
      <c r="K103" s="1" t="s">
        <v>67</v>
      </c>
      <c r="L103" s="1" t="s">
        <v>69</v>
      </c>
      <c r="M103" s="1" t="n">
        <v>13</v>
      </c>
      <c r="N103" s="1" t="s">
        <v>39</v>
      </c>
    </row>
    <row r="104" customFormat="false" ht="15" hidden="false" customHeight="true" outlineLevel="0" collapsed="false">
      <c r="A104" s="1" t="s">
        <v>421</v>
      </c>
      <c r="B104" s="1" t="s">
        <v>422</v>
      </c>
      <c r="C104" s="1" t="s">
        <v>423</v>
      </c>
      <c r="D104" s="1" t="s">
        <v>116</v>
      </c>
      <c r="E104" s="1" t="s">
        <v>50</v>
      </c>
      <c r="F104" s="1" t="s">
        <v>57</v>
      </c>
      <c r="G104" s="23" t="n">
        <v>45750</v>
      </c>
      <c r="H104" s="1" t="n">
        <v>34</v>
      </c>
      <c r="I104" s="24" t="n">
        <v>15.26</v>
      </c>
      <c r="J104" s="1" t="s">
        <v>241</v>
      </c>
      <c r="K104" s="1" t="s">
        <v>64</v>
      </c>
      <c r="L104" s="1" t="s">
        <v>70</v>
      </c>
      <c r="M104" s="1" t="n">
        <v>11</v>
      </c>
      <c r="N104" s="1" t="s">
        <v>39</v>
      </c>
    </row>
    <row r="105" customFormat="false" ht="15" hidden="false" customHeight="true" outlineLevel="0" collapsed="false">
      <c r="A105" s="1" t="s">
        <v>424</v>
      </c>
      <c r="B105" s="1" t="s">
        <v>425</v>
      </c>
      <c r="C105" s="1" t="s">
        <v>426</v>
      </c>
      <c r="D105" s="1" t="s">
        <v>120</v>
      </c>
      <c r="E105" s="1" t="s">
        <v>50</v>
      </c>
      <c r="F105" s="1" t="s">
        <v>56</v>
      </c>
      <c r="G105" s="23" t="n">
        <v>45677</v>
      </c>
      <c r="H105" s="1" t="n">
        <v>180</v>
      </c>
      <c r="I105" s="24" t="n">
        <v>0</v>
      </c>
      <c r="K105" s="1" t="s">
        <v>64</v>
      </c>
      <c r="L105" s="1" t="s">
        <v>69</v>
      </c>
      <c r="M105" s="1" t="n">
        <v>28</v>
      </c>
      <c r="N105" s="1" t="s">
        <v>38</v>
      </c>
    </row>
    <row r="106" customFormat="false" ht="15" hidden="false" customHeight="true" outlineLevel="0" collapsed="false">
      <c r="A106" s="1" t="s">
        <v>427</v>
      </c>
      <c r="B106" s="1" t="s">
        <v>428</v>
      </c>
      <c r="C106" s="1" t="s">
        <v>429</v>
      </c>
      <c r="D106" s="1" t="s">
        <v>165</v>
      </c>
      <c r="E106" s="1" t="s">
        <v>50</v>
      </c>
      <c r="F106" s="1" t="s">
        <v>58</v>
      </c>
      <c r="G106" s="23" t="n">
        <v>45668</v>
      </c>
      <c r="H106" s="1" t="n">
        <v>41</v>
      </c>
      <c r="I106" s="24" t="n">
        <v>0</v>
      </c>
      <c r="K106" s="1" t="s">
        <v>66</v>
      </c>
      <c r="L106" s="1" t="s">
        <v>69</v>
      </c>
      <c r="M106" s="1" t="n">
        <v>47</v>
      </c>
      <c r="N106" s="1" t="s">
        <v>39</v>
      </c>
    </row>
    <row r="107" customFormat="false" ht="15" hidden="false" customHeight="true" outlineLevel="0" collapsed="false">
      <c r="A107" s="1" t="s">
        <v>430</v>
      </c>
      <c r="B107" s="1" t="s">
        <v>431</v>
      </c>
      <c r="C107" s="1" t="s">
        <v>432</v>
      </c>
      <c r="D107" s="1" t="s">
        <v>165</v>
      </c>
      <c r="E107" s="1" t="s">
        <v>52</v>
      </c>
      <c r="F107" s="1" t="s">
        <v>60</v>
      </c>
      <c r="G107" s="23" t="n">
        <v>45795</v>
      </c>
      <c r="H107" s="1" t="n">
        <v>90</v>
      </c>
      <c r="I107" s="24" t="n">
        <v>0</v>
      </c>
      <c r="K107" s="1" t="s">
        <v>64</v>
      </c>
      <c r="L107" s="1" t="s">
        <v>69</v>
      </c>
      <c r="M107" s="1" t="n">
        <v>3</v>
      </c>
      <c r="N107" s="1" t="s">
        <v>39</v>
      </c>
    </row>
    <row r="108" customFormat="false" ht="15" hidden="false" customHeight="true" outlineLevel="0" collapsed="false">
      <c r="A108" s="1" t="s">
        <v>433</v>
      </c>
      <c r="B108" s="1" t="s">
        <v>434</v>
      </c>
      <c r="C108" s="1" t="s">
        <v>435</v>
      </c>
      <c r="D108" s="1" t="s">
        <v>130</v>
      </c>
      <c r="E108" s="1" t="s">
        <v>52</v>
      </c>
      <c r="F108" s="1" t="s">
        <v>55</v>
      </c>
      <c r="G108" s="23" t="n">
        <v>45799</v>
      </c>
      <c r="H108" s="1" t="n">
        <v>64</v>
      </c>
      <c r="I108" s="24" t="n">
        <v>0</v>
      </c>
      <c r="K108" s="1" t="s">
        <v>64</v>
      </c>
      <c r="L108" s="1" t="s">
        <v>69</v>
      </c>
      <c r="M108" s="1" t="n">
        <v>50</v>
      </c>
      <c r="N108" s="1" t="s">
        <v>39</v>
      </c>
    </row>
    <row r="109" customFormat="false" ht="15" hidden="false" customHeight="true" outlineLevel="0" collapsed="false">
      <c r="A109" s="1" t="s">
        <v>436</v>
      </c>
      <c r="B109" s="1" t="s">
        <v>437</v>
      </c>
      <c r="C109" s="1" t="s">
        <v>438</v>
      </c>
      <c r="D109" s="1" t="s">
        <v>116</v>
      </c>
      <c r="E109" s="1" t="s">
        <v>50</v>
      </c>
      <c r="F109" s="1" t="s">
        <v>55</v>
      </c>
      <c r="G109" s="23" t="n">
        <v>45685</v>
      </c>
      <c r="H109" s="1" t="n">
        <v>101</v>
      </c>
      <c r="I109" s="24" t="n">
        <v>0</v>
      </c>
      <c r="K109" s="1" t="s">
        <v>64</v>
      </c>
      <c r="L109" s="1" t="s">
        <v>69</v>
      </c>
      <c r="M109" s="1" t="n">
        <v>6</v>
      </c>
      <c r="N109" s="1" t="s">
        <v>39</v>
      </c>
    </row>
    <row r="110" customFormat="false" ht="15" hidden="false" customHeight="true" outlineLevel="0" collapsed="false">
      <c r="A110" s="1" t="s">
        <v>439</v>
      </c>
      <c r="B110" s="1" t="s">
        <v>440</v>
      </c>
      <c r="C110" s="1" t="s">
        <v>441</v>
      </c>
      <c r="D110" s="1" t="s">
        <v>116</v>
      </c>
      <c r="E110" s="1" t="s">
        <v>51</v>
      </c>
      <c r="F110" s="1" t="s">
        <v>57</v>
      </c>
      <c r="G110" s="23" t="n">
        <v>45762</v>
      </c>
      <c r="H110" s="1" t="n">
        <v>21</v>
      </c>
      <c r="I110" s="24" t="n">
        <v>36.34</v>
      </c>
      <c r="J110" s="1" t="s">
        <v>126</v>
      </c>
      <c r="K110" s="1" t="s">
        <v>64</v>
      </c>
      <c r="L110" s="1" t="s">
        <v>70</v>
      </c>
      <c r="M110" s="1" t="n">
        <v>24</v>
      </c>
      <c r="N110" s="1" t="s">
        <v>39</v>
      </c>
    </row>
    <row r="111" customFormat="false" ht="15" hidden="false" customHeight="true" outlineLevel="0" collapsed="false">
      <c r="A111" s="1" t="s">
        <v>442</v>
      </c>
      <c r="B111" s="1" t="s">
        <v>157</v>
      </c>
      <c r="C111" s="1" t="s">
        <v>443</v>
      </c>
      <c r="D111" s="1" t="s">
        <v>165</v>
      </c>
      <c r="E111" s="1" t="s">
        <v>52</v>
      </c>
      <c r="F111" s="1" t="s">
        <v>60</v>
      </c>
      <c r="G111" s="23" t="n">
        <v>45747</v>
      </c>
      <c r="H111" s="1" t="n">
        <v>153</v>
      </c>
      <c r="I111" s="24" t="n">
        <v>0</v>
      </c>
      <c r="K111" s="1" t="s">
        <v>65</v>
      </c>
      <c r="L111" s="1" t="s">
        <v>69</v>
      </c>
      <c r="M111" s="1" t="n">
        <v>25</v>
      </c>
      <c r="N111" s="1" t="s">
        <v>38</v>
      </c>
    </row>
    <row r="112" customFormat="false" ht="15" hidden="false" customHeight="true" outlineLevel="0" collapsed="false">
      <c r="A112" s="1" t="s">
        <v>444</v>
      </c>
      <c r="B112" s="1" t="s">
        <v>445</v>
      </c>
      <c r="C112" s="1" t="s">
        <v>446</v>
      </c>
      <c r="D112" s="1" t="s">
        <v>165</v>
      </c>
      <c r="E112" s="1" t="s">
        <v>51</v>
      </c>
      <c r="F112" s="1" t="s">
        <v>58</v>
      </c>
      <c r="G112" s="23" t="n">
        <v>45819</v>
      </c>
      <c r="H112" s="1" t="n">
        <v>153</v>
      </c>
      <c r="I112" s="24" t="n">
        <v>0</v>
      </c>
      <c r="K112" s="1" t="s">
        <v>64</v>
      </c>
      <c r="L112" s="1" t="s">
        <v>69</v>
      </c>
      <c r="M112" s="1" t="n">
        <v>48</v>
      </c>
      <c r="N112" s="1" t="s">
        <v>38</v>
      </c>
    </row>
    <row r="113" customFormat="false" ht="15" hidden="false" customHeight="true" outlineLevel="0" collapsed="false">
      <c r="A113" s="1" t="s">
        <v>447</v>
      </c>
      <c r="B113" s="1" t="s">
        <v>448</v>
      </c>
      <c r="C113" s="1" t="s">
        <v>449</v>
      </c>
      <c r="D113" s="1" t="s">
        <v>116</v>
      </c>
      <c r="E113" s="1" t="s">
        <v>51</v>
      </c>
      <c r="F113" s="1" t="s">
        <v>57</v>
      </c>
      <c r="G113" s="23" t="n">
        <v>45798</v>
      </c>
      <c r="H113" s="1" t="n">
        <v>164</v>
      </c>
      <c r="I113" s="24" t="n">
        <v>0</v>
      </c>
      <c r="K113" s="1" t="s">
        <v>65</v>
      </c>
      <c r="L113" s="1" t="s">
        <v>70</v>
      </c>
      <c r="M113" s="1" t="n">
        <v>39</v>
      </c>
      <c r="N113" s="1" t="s">
        <v>38</v>
      </c>
    </row>
    <row r="114" customFormat="false" ht="15" hidden="false" customHeight="true" outlineLevel="0" collapsed="false">
      <c r="A114" s="1" t="s">
        <v>450</v>
      </c>
      <c r="B114" s="1" t="s">
        <v>451</v>
      </c>
      <c r="C114" s="1" t="s">
        <v>452</v>
      </c>
      <c r="D114" s="1" t="s">
        <v>116</v>
      </c>
      <c r="E114" s="1" t="s">
        <v>51</v>
      </c>
      <c r="F114" s="1" t="s">
        <v>55</v>
      </c>
      <c r="G114" s="23" t="n">
        <v>45656</v>
      </c>
      <c r="H114" s="1" t="n">
        <v>165</v>
      </c>
      <c r="I114" s="24" t="n">
        <v>0</v>
      </c>
      <c r="K114" s="1" t="s">
        <v>65</v>
      </c>
      <c r="L114" s="1" t="s">
        <v>69</v>
      </c>
      <c r="M114" s="1" t="n">
        <v>48</v>
      </c>
      <c r="N114" s="1" t="s">
        <v>38</v>
      </c>
    </row>
    <row r="115" customFormat="false" ht="15" hidden="false" customHeight="true" outlineLevel="0" collapsed="false">
      <c r="A115" s="1" t="s">
        <v>453</v>
      </c>
      <c r="B115" s="1" t="s">
        <v>454</v>
      </c>
      <c r="C115" s="1" t="s">
        <v>455</v>
      </c>
      <c r="D115" s="1" t="s">
        <v>116</v>
      </c>
      <c r="E115" s="1" t="s">
        <v>50</v>
      </c>
      <c r="F115" s="1" t="s">
        <v>55</v>
      </c>
      <c r="G115" s="23" t="n">
        <v>45802</v>
      </c>
      <c r="H115" s="1" t="n">
        <v>172</v>
      </c>
      <c r="I115" s="24" t="n">
        <v>0</v>
      </c>
      <c r="K115" s="1" t="s">
        <v>64</v>
      </c>
      <c r="L115" s="1" t="s">
        <v>69</v>
      </c>
      <c r="M115" s="1" t="n">
        <v>50</v>
      </c>
      <c r="N115" s="1" t="s">
        <v>38</v>
      </c>
    </row>
    <row r="116" customFormat="false" ht="15" hidden="false" customHeight="true" outlineLevel="0" collapsed="false">
      <c r="A116" s="1" t="s">
        <v>456</v>
      </c>
      <c r="B116" s="1" t="s">
        <v>457</v>
      </c>
      <c r="C116" s="1" t="s">
        <v>458</v>
      </c>
      <c r="D116" s="1" t="s">
        <v>116</v>
      </c>
      <c r="E116" s="1" t="s">
        <v>51</v>
      </c>
      <c r="F116" s="1" t="s">
        <v>57</v>
      </c>
      <c r="G116" s="23" t="n">
        <v>45715</v>
      </c>
      <c r="H116" s="1" t="n">
        <v>33</v>
      </c>
      <c r="I116" s="24" t="n">
        <v>0</v>
      </c>
      <c r="K116" s="1" t="s">
        <v>64</v>
      </c>
      <c r="L116" s="1" t="s">
        <v>69</v>
      </c>
      <c r="M116" s="1" t="n">
        <v>46</v>
      </c>
      <c r="N116" s="1" t="s">
        <v>39</v>
      </c>
    </row>
    <row r="117" customFormat="false" ht="15" hidden="false" customHeight="true" outlineLevel="0" collapsed="false">
      <c r="A117" s="1" t="s">
        <v>459</v>
      </c>
      <c r="B117" s="1" t="s">
        <v>460</v>
      </c>
      <c r="C117" s="1" t="s">
        <v>461</v>
      </c>
      <c r="D117" s="1" t="s">
        <v>120</v>
      </c>
      <c r="E117" s="1" t="s">
        <v>50</v>
      </c>
      <c r="F117" s="1" t="s">
        <v>55</v>
      </c>
      <c r="G117" s="23" t="n">
        <v>45644</v>
      </c>
      <c r="H117" s="1" t="n">
        <v>89</v>
      </c>
      <c r="I117" s="24" t="n">
        <v>30.92</v>
      </c>
      <c r="J117" s="1" t="s">
        <v>121</v>
      </c>
      <c r="K117" s="1" t="s">
        <v>64</v>
      </c>
      <c r="L117" s="1" t="s">
        <v>70</v>
      </c>
      <c r="M117" s="1" t="n">
        <v>48</v>
      </c>
      <c r="N117" s="1" t="s">
        <v>39</v>
      </c>
    </row>
    <row r="118" customFormat="false" ht="15" hidden="false" customHeight="true" outlineLevel="0" collapsed="false">
      <c r="A118" s="1" t="s">
        <v>462</v>
      </c>
      <c r="B118" s="1" t="s">
        <v>463</v>
      </c>
      <c r="C118" s="1" t="s">
        <v>464</v>
      </c>
      <c r="D118" s="1" t="s">
        <v>120</v>
      </c>
      <c r="E118" s="1" t="s">
        <v>50</v>
      </c>
      <c r="F118" s="1" t="s">
        <v>59</v>
      </c>
      <c r="G118" s="23" t="n">
        <v>45703</v>
      </c>
      <c r="H118" s="1" t="n">
        <v>22</v>
      </c>
      <c r="I118" s="24" t="n">
        <v>28.43</v>
      </c>
      <c r="J118" s="1" t="s">
        <v>140</v>
      </c>
      <c r="K118" s="1" t="s">
        <v>65</v>
      </c>
      <c r="L118" s="1" t="s">
        <v>70</v>
      </c>
      <c r="M118" s="1" t="n">
        <v>36</v>
      </c>
      <c r="N118" s="1" t="s">
        <v>39</v>
      </c>
    </row>
    <row r="119" customFormat="false" ht="15" hidden="false" customHeight="true" outlineLevel="0" collapsed="false">
      <c r="A119" s="1" t="s">
        <v>465</v>
      </c>
      <c r="B119" s="1" t="s">
        <v>466</v>
      </c>
      <c r="C119" s="1" t="s">
        <v>467</v>
      </c>
      <c r="D119" s="1" t="s">
        <v>120</v>
      </c>
      <c r="E119" s="1" t="s">
        <v>52</v>
      </c>
      <c r="F119" s="1" t="s">
        <v>58</v>
      </c>
      <c r="G119" s="23" t="n">
        <v>45749</v>
      </c>
      <c r="H119" s="1" t="n">
        <v>65</v>
      </c>
      <c r="I119" s="24" t="n">
        <v>0</v>
      </c>
      <c r="K119" s="1" t="s">
        <v>64</v>
      </c>
      <c r="L119" s="1" t="s">
        <v>69</v>
      </c>
      <c r="M119" s="1" t="n">
        <v>8</v>
      </c>
      <c r="N119" s="1" t="s">
        <v>39</v>
      </c>
    </row>
    <row r="120" customFormat="false" ht="15" hidden="false" customHeight="true" outlineLevel="0" collapsed="false">
      <c r="A120" s="1" t="s">
        <v>468</v>
      </c>
      <c r="B120" s="1" t="s">
        <v>469</v>
      </c>
      <c r="C120" s="1" t="s">
        <v>470</v>
      </c>
      <c r="D120" s="1" t="s">
        <v>116</v>
      </c>
      <c r="E120" s="1" t="s">
        <v>51</v>
      </c>
      <c r="F120" s="1" t="s">
        <v>59</v>
      </c>
      <c r="G120" s="23" t="n">
        <v>45707</v>
      </c>
      <c r="H120" s="1" t="n">
        <v>22</v>
      </c>
      <c r="I120" s="24" t="n">
        <v>0</v>
      </c>
      <c r="K120" s="1" t="s">
        <v>64</v>
      </c>
      <c r="L120" s="1" t="s">
        <v>69</v>
      </c>
      <c r="M120" s="1" t="n">
        <v>7</v>
      </c>
      <c r="N120" s="1" t="s">
        <v>39</v>
      </c>
    </row>
    <row r="121" customFormat="false" ht="15" hidden="false" customHeight="true" outlineLevel="0" collapsed="false">
      <c r="A121" s="1" t="s">
        <v>471</v>
      </c>
      <c r="B121" s="1" t="s">
        <v>472</v>
      </c>
      <c r="C121" s="1" t="s">
        <v>473</v>
      </c>
      <c r="D121" s="1" t="s">
        <v>165</v>
      </c>
      <c r="E121" s="1" t="s">
        <v>50</v>
      </c>
      <c r="F121" s="1" t="s">
        <v>58</v>
      </c>
      <c r="G121" s="23" t="n">
        <v>45791</v>
      </c>
      <c r="H121" s="1" t="n">
        <v>98</v>
      </c>
      <c r="I121" s="24" t="n">
        <v>0</v>
      </c>
      <c r="K121" s="1" t="s">
        <v>65</v>
      </c>
      <c r="L121" s="1" t="s">
        <v>69</v>
      </c>
      <c r="M121" s="1" t="n">
        <v>7</v>
      </c>
      <c r="N121" s="1" t="s">
        <v>39</v>
      </c>
    </row>
    <row r="122" customFormat="false" ht="15" hidden="false" customHeight="true" outlineLevel="0" collapsed="false">
      <c r="A122" s="1" t="s">
        <v>474</v>
      </c>
      <c r="B122" s="1" t="s">
        <v>475</v>
      </c>
      <c r="C122" s="1" t="s">
        <v>476</v>
      </c>
      <c r="D122" s="1" t="s">
        <v>116</v>
      </c>
      <c r="E122" s="1" t="s">
        <v>52</v>
      </c>
      <c r="F122" s="1" t="s">
        <v>57</v>
      </c>
      <c r="G122" s="23" t="n">
        <v>45781</v>
      </c>
      <c r="H122" s="1" t="n">
        <v>63</v>
      </c>
      <c r="I122" s="24" t="n">
        <v>0</v>
      </c>
      <c r="K122" s="1" t="s">
        <v>64</v>
      </c>
      <c r="L122" s="1" t="s">
        <v>69</v>
      </c>
      <c r="M122" s="1" t="n">
        <v>13</v>
      </c>
      <c r="N122" s="1" t="s">
        <v>39</v>
      </c>
    </row>
    <row r="123" customFormat="false" ht="15" hidden="false" customHeight="true" outlineLevel="0" collapsed="false">
      <c r="A123" s="1" t="s">
        <v>477</v>
      </c>
      <c r="B123" s="1" t="s">
        <v>478</v>
      </c>
      <c r="C123" s="1" t="s">
        <v>479</v>
      </c>
      <c r="D123" s="1" t="s">
        <v>130</v>
      </c>
      <c r="E123" s="1" t="s">
        <v>51</v>
      </c>
      <c r="F123" s="1" t="s">
        <v>57</v>
      </c>
      <c r="G123" s="23" t="n">
        <v>45726</v>
      </c>
      <c r="H123" s="1" t="n">
        <v>45</v>
      </c>
      <c r="I123" s="24" t="n">
        <v>31.67</v>
      </c>
      <c r="J123" s="1" t="s">
        <v>126</v>
      </c>
      <c r="K123" s="1" t="s">
        <v>64</v>
      </c>
      <c r="L123" s="1" t="s">
        <v>70</v>
      </c>
      <c r="M123" s="1" t="n">
        <v>45</v>
      </c>
      <c r="N123" s="1" t="s">
        <v>39</v>
      </c>
    </row>
    <row r="124" customFormat="false" ht="15" hidden="false" customHeight="true" outlineLevel="0" collapsed="false">
      <c r="A124" s="1" t="s">
        <v>480</v>
      </c>
      <c r="B124" s="1" t="s">
        <v>481</v>
      </c>
      <c r="C124" s="1" t="s">
        <v>482</v>
      </c>
      <c r="D124" s="1" t="s">
        <v>130</v>
      </c>
      <c r="E124" s="1" t="s">
        <v>52</v>
      </c>
      <c r="F124" s="1" t="s">
        <v>57</v>
      </c>
      <c r="G124" s="23" t="n">
        <v>45688</v>
      </c>
      <c r="H124" s="1" t="n">
        <v>142</v>
      </c>
      <c r="I124" s="24" t="n">
        <v>0</v>
      </c>
      <c r="K124" s="1" t="s">
        <v>64</v>
      </c>
      <c r="L124" s="1" t="s">
        <v>69</v>
      </c>
      <c r="M124" s="1" t="n">
        <v>3</v>
      </c>
      <c r="N124" s="1" t="s">
        <v>39</v>
      </c>
    </row>
    <row r="125" customFormat="false" ht="15" hidden="false" customHeight="true" outlineLevel="0" collapsed="false">
      <c r="A125" s="1" t="s">
        <v>483</v>
      </c>
      <c r="B125" s="1" t="s">
        <v>484</v>
      </c>
      <c r="C125" s="1" t="s">
        <v>485</v>
      </c>
      <c r="D125" s="1" t="s">
        <v>125</v>
      </c>
      <c r="E125" s="1" t="s">
        <v>52</v>
      </c>
      <c r="F125" s="1" t="s">
        <v>55</v>
      </c>
      <c r="G125" s="23" t="n">
        <v>45817</v>
      </c>
      <c r="H125" s="1" t="n">
        <v>56</v>
      </c>
      <c r="I125" s="24" t="n">
        <v>4.07</v>
      </c>
      <c r="J125" s="1" t="s">
        <v>126</v>
      </c>
      <c r="K125" s="1" t="s">
        <v>64</v>
      </c>
      <c r="L125" s="1" t="s">
        <v>70</v>
      </c>
      <c r="M125" s="1" t="n">
        <v>45</v>
      </c>
      <c r="N125" s="1" t="s">
        <v>39</v>
      </c>
    </row>
    <row r="126" customFormat="false" ht="15" hidden="false" customHeight="true" outlineLevel="0" collapsed="false">
      <c r="A126" s="1" t="s">
        <v>486</v>
      </c>
      <c r="B126" s="1" t="s">
        <v>487</v>
      </c>
      <c r="C126" s="1" t="s">
        <v>488</v>
      </c>
      <c r="D126" s="1" t="s">
        <v>120</v>
      </c>
      <c r="E126" s="1" t="s">
        <v>50</v>
      </c>
      <c r="F126" s="1" t="s">
        <v>59</v>
      </c>
      <c r="G126" s="23" t="n">
        <v>45648</v>
      </c>
      <c r="H126" s="1" t="n">
        <v>156</v>
      </c>
      <c r="I126" s="24" t="n">
        <v>0</v>
      </c>
      <c r="K126" s="1" t="s">
        <v>64</v>
      </c>
      <c r="L126" s="1" t="s">
        <v>70</v>
      </c>
      <c r="M126" s="1" t="n">
        <v>45</v>
      </c>
      <c r="N126" s="1" t="s">
        <v>38</v>
      </c>
    </row>
    <row r="127" customFormat="false" ht="15" hidden="false" customHeight="true" outlineLevel="0" collapsed="false">
      <c r="A127" s="1" t="s">
        <v>489</v>
      </c>
      <c r="B127" s="1" t="s">
        <v>490</v>
      </c>
      <c r="C127" s="1" t="s">
        <v>491</v>
      </c>
      <c r="D127" s="1" t="s">
        <v>165</v>
      </c>
      <c r="E127" s="1" t="s">
        <v>51</v>
      </c>
      <c r="F127" s="1" t="s">
        <v>59</v>
      </c>
      <c r="G127" s="23" t="n">
        <v>45667</v>
      </c>
      <c r="H127" s="1" t="n">
        <v>123</v>
      </c>
      <c r="I127" s="24" t="n">
        <v>0</v>
      </c>
      <c r="K127" s="1" t="s">
        <v>65</v>
      </c>
      <c r="L127" s="1" t="s">
        <v>69</v>
      </c>
      <c r="M127" s="1" t="n">
        <v>12</v>
      </c>
      <c r="N127" s="1" t="s">
        <v>39</v>
      </c>
    </row>
    <row r="128" customFormat="false" ht="15" hidden="false" customHeight="true" outlineLevel="0" collapsed="false">
      <c r="A128" s="1" t="s">
        <v>492</v>
      </c>
      <c r="B128" s="1" t="s">
        <v>493</v>
      </c>
      <c r="C128" s="1" t="s">
        <v>494</v>
      </c>
      <c r="D128" s="1" t="s">
        <v>120</v>
      </c>
      <c r="E128" s="1" t="s">
        <v>51</v>
      </c>
      <c r="F128" s="1" t="s">
        <v>59</v>
      </c>
      <c r="G128" s="23" t="n">
        <v>45819</v>
      </c>
      <c r="H128" s="1" t="n">
        <v>172</v>
      </c>
      <c r="I128" s="24" t="n">
        <v>0</v>
      </c>
      <c r="K128" s="1" t="s">
        <v>66</v>
      </c>
      <c r="L128" s="1" t="s">
        <v>69</v>
      </c>
      <c r="M128" s="1" t="n">
        <v>21</v>
      </c>
      <c r="N128" s="1" t="s">
        <v>38</v>
      </c>
    </row>
    <row r="129" customFormat="false" ht="15" hidden="false" customHeight="true" outlineLevel="0" collapsed="false">
      <c r="A129" s="1" t="s">
        <v>495</v>
      </c>
      <c r="B129" s="1" t="s">
        <v>496</v>
      </c>
      <c r="C129" s="1" t="s">
        <v>497</v>
      </c>
      <c r="D129" s="1" t="s">
        <v>120</v>
      </c>
      <c r="E129" s="1" t="s">
        <v>50</v>
      </c>
      <c r="F129" s="1" t="s">
        <v>56</v>
      </c>
      <c r="G129" s="23" t="n">
        <v>45686</v>
      </c>
      <c r="H129" s="1" t="n">
        <v>46</v>
      </c>
      <c r="I129" s="24" t="n">
        <v>14.47</v>
      </c>
      <c r="J129" s="1" t="s">
        <v>121</v>
      </c>
      <c r="K129" s="1" t="s">
        <v>66</v>
      </c>
      <c r="L129" s="1" t="s">
        <v>70</v>
      </c>
      <c r="M129" s="1" t="n">
        <v>30</v>
      </c>
      <c r="N129" s="1" t="s">
        <v>39</v>
      </c>
    </row>
    <row r="130" customFormat="false" ht="15" hidden="false" customHeight="true" outlineLevel="0" collapsed="false">
      <c r="A130" s="1" t="s">
        <v>498</v>
      </c>
      <c r="B130" s="1" t="s">
        <v>499</v>
      </c>
      <c r="C130" s="1" t="s">
        <v>500</v>
      </c>
      <c r="D130" s="1" t="s">
        <v>116</v>
      </c>
      <c r="E130" s="1" t="s">
        <v>52</v>
      </c>
      <c r="F130" s="1" t="s">
        <v>60</v>
      </c>
      <c r="G130" s="23" t="n">
        <v>45661</v>
      </c>
      <c r="H130" s="1" t="n">
        <v>153</v>
      </c>
      <c r="I130" s="24" t="n">
        <v>0</v>
      </c>
      <c r="K130" s="1" t="s">
        <v>66</v>
      </c>
      <c r="L130" s="1" t="s">
        <v>69</v>
      </c>
      <c r="M130" s="1" t="n">
        <v>15</v>
      </c>
      <c r="N130" s="1" t="s">
        <v>38</v>
      </c>
    </row>
    <row r="131" customFormat="false" ht="15" hidden="false" customHeight="true" outlineLevel="0" collapsed="false">
      <c r="A131" s="1" t="s">
        <v>501</v>
      </c>
      <c r="B131" s="1" t="s">
        <v>502</v>
      </c>
      <c r="C131" s="1" t="s">
        <v>503</v>
      </c>
      <c r="D131" s="1" t="s">
        <v>116</v>
      </c>
      <c r="E131" s="1" t="s">
        <v>50</v>
      </c>
      <c r="F131" s="1" t="s">
        <v>58</v>
      </c>
      <c r="G131" s="23" t="n">
        <v>45815</v>
      </c>
      <c r="H131" s="1" t="n">
        <v>128</v>
      </c>
      <c r="I131" s="24" t="n">
        <v>0</v>
      </c>
      <c r="K131" s="1" t="s">
        <v>65</v>
      </c>
      <c r="L131" s="1" t="s">
        <v>69</v>
      </c>
      <c r="M131" s="1" t="n">
        <v>32</v>
      </c>
      <c r="N131" s="1" t="s">
        <v>39</v>
      </c>
    </row>
    <row r="132" customFormat="false" ht="15" hidden="false" customHeight="true" outlineLevel="0" collapsed="false">
      <c r="A132" s="1" t="s">
        <v>504</v>
      </c>
      <c r="B132" s="1" t="s">
        <v>505</v>
      </c>
      <c r="C132" s="1" t="s">
        <v>506</v>
      </c>
      <c r="D132" s="1" t="s">
        <v>120</v>
      </c>
      <c r="E132" s="1" t="s">
        <v>51</v>
      </c>
      <c r="F132" s="1" t="s">
        <v>59</v>
      </c>
      <c r="G132" s="23" t="n">
        <v>45814</v>
      </c>
      <c r="H132" s="1" t="n">
        <v>54</v>
      </c>
      <c r="I132" s="24" t="n">
        <v>0</v>
      </c>
      <c r="K132" s="1" t="s">
        <v>64</v>
      </c>
      <c r="L132" s="1" t="s">
        <v>69</v>
      </c>
      <c r="M132" s="1" t="n">
        <v>15</v>
      </c>
      <c r="N132" s="1" t="s">
        <v>39</v>
      </c>
    </row>
    <row r="133" customFormat="false" ht="15" hidden="false" customHeight="true" outlineLevel="0" collapsed="false">
      <c r="A133" s="1" t="s">
        <v>507</v>
      </c>
      <c r="B133" s="1" t="s">
        <v>508</v>
      </c>
      <c r="C133" s="1" t="s">
        <v>509</v>
      </c>
      <c r="D133" s="1" t="s">
        <v>120</v>
      </c>
      <c r="E133" s="1" t="s">
        <v>50</v>
      </c>
      <c r="F133" s="1" t="s">
        <v>56</v>
      </c>
      <c r="G133" s="23" t="n">
        <v>45670</v>
      </c>
      <c r="H133" s="1" t="n">
        <v>133</v>
      </c>
      <c r="I133" s="24" t="n">
        <v>0</v>
      </c>
      <c r="K133" s="1" t="s">
        <v>64</v>
      </c>
      <c r="L133" s="1" t="s">
        <v>69</v>
      </c>
      <c r="M133" s="1" t="n">
        <v>35</v>
      </c>
      <c r="N133" s="1" t="s">
        <v>39</v>
      </c>
    </row>
    <row r="134" customFormat="false" ht="15" hidden="false" customHeight="true" outlineLevel="0" collapsed="false">
      <c r="A134" s="1" t="s">
        <v>510</v>
      </c>
      <c r="B134" s="1" t="s">
        <v>511</v>
      </c>
      <c r="C134" s="1" t="s">
        <v>512</v>
      </c>
      <c r="D134" s="1" t="s">
        <v>130</v>
      </c>
      <c r="E134" s="1" t="s">
        <v>50</v>
      </c>
      <c r="F134" s="1" t="s">
        <v>59</v>
      </c>
      <c r="G134" s="23" t="n">
        <v>45778</v>
      </c>
      <c r="H134" s="1" t="n">
        <v>116</v>
      </c>
      <c r="I134" s="24" t="n">
        <v>0</v>
      </c>
      <c r="K134" s="1" t="s">
        <v>65</v>
      </c>
      <c r="L134" s="1" t="s">
        <v>69</v>
      </c>
      <c r="M134" s="1" t="n">
        <v>30</v>
      </c>
      <c r="N134" s="1" t="s">
        <v>39</v>
      </c>
    </row>
    <row r="135" customFormat="false" ht="15" hidden="false" customHeight="true" outlineLevel="0" collapsed="false">
      <c r="A135" s="1" t="s">
        <v>513</v>
      </c>
      <c r="B135" s="1" t="s">
        <v>514</v>
      </c>
      <c r="C135" s="1" t="s">
        <v>515</v>
      </c>
      <c r="D135" s="1" t="s">
        <v>120</v>
      </c>
      <c r="E135" s="1" t="s">
        <v>52</v>
      </c>
      <c r="F135" s="1" t="s">
        <v>58</v>
      </c>
      <c r="G135" s="23" t="n">
        <v>45644</v>
      </c>
      <c r="H135" s="1" t="n">
        <v>95</v>
      </c>
      <c r="I135" s="24" t="n">
        <v>0</v>
      </c>
      <c r="K135" s="1" t="s">
        <v>64</v>
      </c>
      <c r="L135" s="1" t="s">
        <v>69</v>
      </c>
      <c r="M135" s="1" t="n">
        <v>20</v>
      </c>
      <c r="N135" s="1" t="s">
        <v>39</v>
      </c>
    </row>
    <row r="136" customFormat="false" ht="15" hidden="false" customHeight="true" outlineLevel="0" collapsed="false">
      <c r="A136" s="1" t="s">
        <v>516</v>
      </c>
      <c r="B136" s="1" t="s">
        <v>517</v>
      </c>
      <c r="C136" s="1" t="s">
        <v>518</v>
      </c>
      <c r="D136" s="1" t="s">
        <v>125</v>
      </c>
      <c r="E136" s="1" t="s">
        <v>51</v>
      </c>
      <c r="F136" s="1" t="s">
        <v>57</v>
      </c>
      <c r="G136" s="23" t="n">
        <v>45648</v>
      </c>
      <c r="H136" s="1" t="n">
        <v>107</v>
      </c>
      <c r="I136" s="24" t="n">
        <v>0</v>
      </c>
      <c r="K136" s="1" t="s">
        <v>67</v>
      </c>
      <c r="L136" s="1" t="s">
        <v>69</v>
      </c>
      <c r="M136" s="1" t="n">
        <v>7</v>
      </c>
      <c r="N136" s="1" t="s">
        <v>39</v>
      </c>
    </row>
    <row r="137" customFormat="false" ht="15" hidden="false" customHeight="true" outlineLevel="0" collapsed="false">
      <c r="A137" s="1" t="s">
        <v>519</v>
      </c>
      <c r="B137" s="1" t="s">
        <v>520</v>
      </c>
      <c r="C137" s="1" t="s">
        <v>521</v>
      </c>
      <c r="D137" s="1" t="s">
        <v>125</v>
      </c>
      <c r="E137" s="1" t="s">
        <v>51</v>
      </c>
      <c r="F137" s="1" t="s">
        <v>57</v>
      </c>
      <c r="G137" s="23" t="n">
        <v>45748</v>
      </c>
      <c r="H137" s="1" t="n">
        <v>150</v>
      </c>
      <c r="I137" s="24" t="n">
        <v>0</v>
      </c>
      <c r="K137" s="1" t="s">
        <v>64</v>
      </c>
      <c r="L137" s="1" t="s">
        <v>69</v>
      </c>
      <c r="M137" s="1" t="n">
        <v>47</v>
      </c>
      <c r="N137" s="1" t="s">
        <v>39</v>
      </c>
    </row>
    <row r="138" customFormat="false" ht="15" hidden="false" customHeight="true" outlineLevel="0" collapsed="false">
      <c r="A138" s="1" t="s">
        <v>522</v>
      </c>
      <c r="B138" s="1" t="s">
        <v>523</v>
      </c>
      <c r="C138" s="1" t="s">
        <v>524</v>
      </c>
      <c r="D138" s="1" t="s">
        <v>125</v>
      </c>
      <c r="E138" s="1" t="s">
        <v>51</v>
      </c>
      <c r="F138" s="1" t="s">
        <v>56</v>
      </c>
      <c r="G138" s="23" t="n">
        <v>45658</v>
      </c>
      <c r="H138" s="1" t="n">
        <v>175</v>
      </c>
      <c r="I138" s="24" t="n">
        <v>0</v>
      </c>
      <c r="K138" s="1" t="s">
        <v>64</v>
      </c>
      <c r="L138" s="1" t="s">
        <v>69</v>
      </c>
      <c r="M138" s="1" t="n">
        <v>49</v>
      </c>
      <c r="N138" s="1" t="s">
        <v>38</v>
      </c>
    </row>
    <row r="139" customFormat="false" ht="15" hidden="false" customHeight="true" outlineLevel="0" collapsed="false">
      <c r="A139" s="1" t="s">
        <v>525</v>
      </c>
      <c r="B139" s="1" t="s">
        <v>526</v>
      </c>
      <c r="C139" s="1" t="s">
        <v>527</v>
      </c>
      <c r="D139" s="1" t="s">
        <v>120</v>
      </c>
      <c r="E139" s="1" t="s">
        <v>51</v>
      </c>
      <c r="F139" s="1" t="s">
        <v>57</v>
      </c>
      <c r="G139" s="23" t="n">
        <v>45679</v>
      </c>
      <c r="H139" s="1" t="n">
        <v>26</v>
      </c>
      <c r="I139" s="24" t="n">
        <v>23.57</v>
      </c>
      <c r="J139" s="1" t="s">
        <v>140</v>
      </c>
      <c r="K139" s="1" t="s">
        <v>64</v>
      </c>
      <c r="L139" s="1" t="s">
        <v>70</v>
      </c>
      <c r="M139" s="1" t="n">
        <v>10</v>
      </c>
      <c r="N139" s="1" t="s">
        <v>39</v>
      </c>
    </row>
    <row r="140" customFormat="false" ht="15" hidden="false" customHeight="true" outlineLevel="0" collapsed="false">
      <c r="A140" s="1" t="s">
        <v>528</v>
      </c>
      <c r="B140" s="1" t="s">
        <v>529</v>
      </c>
      <c r="C140" s="1" t="s">
        <v>530</v>
      </c>
      <c r="D140" s="1" t="s">
        <v>125</v>
      </c>
      <c r="E140" s="1" t="s">
        <v>51</v>
      </c>
      <c r="F140" s="1" t="s">
        <v>55</v>
      </c>
      <c r="G140" s="23" t="n">
        <v>45794</v>
      </c>
      <c r="H140" s="1" t="n">
        <v>115</v>
      </c>
      <c r="I140" s="24" t="n">
        <v>0</v>
      </c>
      <c r="K140" s="1" t="s">
        <v>65</v>
      </c>
      <c r="L140" s="1" t="s">
        <v>69</v>
      </c>
      <c r="M140" s="1" t="n">
        <v>42</v>
      </c>
      <c r="N140" s="1" t="s">
        <v>39</v>
      </c>
    </row>
    <row r="141" customFormat="false" ht="15" hidden="false" customHeight="true" outlineLevel="0" collapsed="false">
      <c r="A141" s="1" t="s">
        <v>531</v>
      </c>
      <c r="B141" s="1" t="s">
        <v>437</v>
      </c>
      <c r="C141" s="1" t="s">
        <v>532</v>
      </c>
      <c r="D141" s="1" t="s">
        <v>116</v>
      </c>
      <c r="E141" s="1" t="s">
        <v>51</v>
      </c>
      <c r="F141" s="1" t="s">
        <v>57</v>
      </c>
      <c r="G141" s="23" t="n">
        <v>45774</v>
      </c>
      <c r="H141" s="1" t="n">
        <v>72</v>
      </c>
      <c r="I141" s="24" t="n">
        <v>0</v>
      </c>
      <c r="K141" s="1" t="s">
        <v>64</v>
      </c>
      <c r="L141" s="1" t="s">
        <v>70</v>
      </c>
      <c r="M141" s="1" t="n">
        <v>6</v>
      </c>
      <c r="N141" s="1" t="s">
        <v>39</v>
      </c>
    </row>
    <row r="142" customFormat="false" ht="15" hidden="false" customHeight="true" outlineLevel="0" collapsed="false">
      <c r="A142" s="1" t="s">
        <v>533</v>
      </c>
      <c r="B142" s="1" t="s">
        <v>534</v>
      </c>
      <c r="C142" s="1" t="s">
        <v>535</v>
      </c>
      <c r="D142" s="1" t="s">
        <v>130</v>
      </c>
      <c r="E142" s="1" t="s">
        <v>52</v>
      </c>
      <c r="F142" s="1" t="s">
        <v>60</v>
      </c>
      <c r="G142" s="23" t="n">
        <v>45814</v>
      </c>
      <c r="H142" s="1" t="n">
        <v>137</v>
      </c>
      <c r="I142" s="24" t="n">
        <v>0</v>
      </c>
      <c r="K142" s="1" t="s">
        <v>67</v>
      </c>
      <c r="L142" s="1" t="s">
        <v>69</v>
      </c>
      <c r="M142" s="1" t="n">
        <v>28</v>
      </c>
      <c r="N142" s="1" t="s">
        <v>39</v>
      </c>
    </row>
    <row r="143" customFormat="false" ht="15" hidden="false" customHeight="true" outlineLevel="0" collapsed="false">
      <c r="A143" s="1" t="s">
        <v>536</v>
      </c>
      <c r="B143" s="1" t="s">
        <v>537</v>
      </c>
      <c r="C143" s="1" t="s">
        <v>538</v>
      </c>
      <c r="D143" s="1" t="s">
        <v>125</v>
      </c>
      <c r="E143" s="1" t="s">
        <v>52</v>
      </c>
      <c r="F143" s="1" t="s">
        <v>60</v>
      </c>
      <c r="G143" s="23" t="n">
        <v>45759</v>
      </c>
      <c r="H143" s="1" t="n">
        <v>145</v>
      </c>
      <c r="I143" s="24" t="n">
        <v>0</v>
      </c>
      <c r="K143" s="1" t="s">
        <v>64</v>
      </c>
      <c r="L143" s="1" t="s">
        <v>70</v>
      </c>
      <c r="M143" s="1" t="n">
        <v>36</v>
      </c>
      <c r="N143" s="1" t="s">
        <v>39</v>
      </c>
    </row>
    <row r="144" customFormat="false" ht="15" hidden="false" customHeight="true" outlineLevel="0" collapsed="false">
      <c r="A144" s="1" t="s">
        <v>539</v>
      </c>
      <c r="B144" s="1" t="s">
        <v>540</v>
      </c>
      <c r="C144" s="1" t="s">
        <v>541</v>
      </c>
      <c r="D144" s="1" t="s">
        <v>125</v>
      </c>
      <c r="E144" s="1" t="s">
        <v>50</v>
      </c>
      <c r="F144" s="1" t="s">
        <v>58</v>
      </c>
      <c r="G144" s="23" t="n">
        <v>45741</v>
      </c>
      <c r="H144" s="1" t="n">
        <v>46</v>
      </c>
      <c r="I144" s="24" t="n">
        <v>0</v>
      </c>
      <c r="K144" s="1" t="s">
        <v>64</v>
      </c>
      <c r="L144" s="1" t="s">
        <v>69</v>
      </c>
      <c r="M144" s="1" t="n">
        <v>17</v>
      </c>
      <c r="N144" s="1" t="s">
        <v>39</v>
      </c>
    </row>
    <row r="145" customFormat="false" ht="15" hidden="false" customHeight="true" outlineLevel="0" collapsed="false">
      <c r="A145" s="1" t="s">
        <v>542</v>
      </c>
      <c r="B145" s="1" t="s">
        <v>543</v>
      </c>
      <c r="C145" s="1" t="s">
        <v>544</v>
      </c>
      <c r="D145" s="1" t="s">
        <v>130</v>
      </c>
      <c r="E145" s="1" t="s">
        <v>51</v>
      </c>
      <c r="F145" s="1" t="s">
        <v>60</v>
      </c>
      <c r="G145" s="23" t="n">
        <v>45685</v>
      </c>
      <c r="H145" s="1" t="n">
        <v>106</v>
      </c>
      <c r="I145" s="24" t="n">
        <v>0</v>
      </c>
      <c r="K145" s="1" t="s">
        <v>64</v>
      </c>
      <c r="L145" s="1" t="s">
        <v>69</v>
      </c>
      <c r="M145" s="1" t="n">
        <v>15</v>
      </c>
      <c r="N145" s="1" t="s">
        <v>39</v>
      </c>
    </row>
    <row r="146" customFormat="false" ht="15" hidden="false" customHeight="true" outlineLevel="0" collapsed="false">
      <c r="A146" s="1" t="s">
        <v>545</v>
      </c>
      <c r="B146" s="1" t="s">
        <v>546</v>
      </c>
      <c r="C146" s="1" t="s">
        <v>547</v>
      </c>
      <c r="D146" s="1" t="s">
        <v>116</v>
      </c>
      <c r="E146" s="1" t="s">
        <v>50</v>
      </c>
      <c r="F146" s="1" t="s">
        <v>58</v>
      </c>
      <c r="G146" s="23" t="n">
        <v>45705</v>
      </c>
      <c r="H146" s="1" t="n">
        <v>48</v>
      </c>
      <c r="I146" s="24" t="n">
        <v>46.63</v>
      </c>
      <c r="J146" s="1" t="s">
        <v>140</v>
      </c>
      <c r="K146" s="1" t="s">
        <v>64</v>
      </c>
      <c r="L146" s="1" t="s">
        <v>70</v>
      </c>
      <c r="M146" s="1" t="n">
        <v>42</v>
      </c>
      <c r="N146" s="1" t="s">
        <v>38</v>
      </c>
    </row>
    <row r="147" customFormat="false" ht="15" hidden="false" customHeight="true" outlineLevel="0" collapsed="false">
      <c r="A147" s="1" t="s">
        <v>548</v>
      </c>
      <c r="B147" s="1" t="s">
        <v>549</v>
      </c>
      <c r="C147" s="1" t="s">
        <v>550</v>
      </c>
      <c r="D147" s="1" t="s">
        <v>120</v>
      </c>
      <c r="E147" s="1" t="s">
        <v>52</v>
      </c>
      <c r="F147" s="1" t="s">
        <v>60</v>
      </c>
      <c r="G147" s="23" t="n">
        <v>45769</v>
      </c>
      <c r="H147" s="1" t="n">
        <v>83</v>
      </c>
      <c r="I147" s="24" t="n">
        <v>0</v>
      </c>
      <c r="K147" s="1" t="s">
        <v>64</v>
      </c>
      <c r="L147" s="1" t="s">
        <v>69</v>
      </c>
      <c r="M147" s="1" t="n">
        <v>25</v>
      </c>
      <c r="N147" s="1" t="s">
        <v>39</v>
      </c>
    </row>
    <row r="148" customFormat="false" ht="15" hidden="false" customHeight="true" outlineLevel="0" collapsed="false">
      <c r="A148" s="1" t="s">
        <v>551</v>
      </c>
      <c r="B148" s="1" t="s">
        <v>552</v>
      </c>
      <c r="C148" s="1" t="s">
        <v>553</v>
      </c>
      <c r="D148" s="1" t="s">
        <v>130</v>
      </c>
      <c r="E148" s="1" t="s">
        <v>52</v>
      </c>
      <c r="F148" s="1" t="s">
        <v>55</v>
      </c>
      <c r="G148" s="23" t="n">
        <v>45650</v>
      </c>
      <c r="H148" s="1" t="n">
        <v>146</v>
      </c>
      <c r="I148" s="24" t="n">
        <v>0</v>
      </c>
      <c r="K148" s="1" t="s">
        <v>64</v>
      </c>
      <c r="L148" s="1" t="s">
        <v>69</v>
      </c>
      <c r="M148" s="1" t="n">
        <v>28</v>
      </c>
      <c r="N148" s="1" t="s">
        <v>39</v>
      </c>
    </row>
    <row r="149" customFormat="false" ht="15" hidden="false" customHeight="true" outlineLevel="0" collapsed="false">
      <c r="A149" s="1" t="s">
        <v>554</v>
      </c>
      <c r="B149" s="1" t="s">
        <v>555</v>
      </c>
      <c r="C149" s="1" t="s">
        <v>556</v>
      </c>
      <c r="D149" s="1" t="s">
        <v>130</v>
      </c>
      <c r="E149" s="1" t="s">
        <v>52</v>
      </c>
      <c r="F149" s="1" t="s">
        <v>57</v>
      </c>
      <c r="G149" s="23" t="n">
        <v>45713</v>
      </c>
      <c r="H149" s="1" t="n">
        <v>18</v>
      </c>
      <c r="I149" s="24" t="n">
        <v>0</v>
      </c>
      <c r="K149" s="1" t="s">
        <v>64</v>
      </c>
      <c r="L149" s="1" t="s">
        <v>69</v>
      </c>
      <c r="M149" s="1" t="n">
        <v>47</v>
      </c>
      <c r="N149" s="1" t="s">
        <v>39</v>
      </c>
    </row>
    <row r="150" customFormat="false" ht="15" hidden="false" customHeight="true" outlineLevel="0" collapsed="false">
      <c r="A150" s="1" t="s">
        <v>557</v>
      </c>
      <c r="B150" s="1" t="s">
        <v>558</v>
      </c>
      <c r="C150" s="1" t="s">
        <v>559</v>
      </c>
      <c r="D150" s="1" t="s">
        <v>125</v>
      </c>
      <c r="E150" s="1" t="s">
        <v>51</v>
      </c>
      <c r="F150" s="1" t="s">
        <v>57</v>
      </c>
      <c r="G150" s="23" t="n">
        <v>45770</v>
      </c>
      <c r="H150" s="1" t="n">
        <v>136</v>
      </c>
      <c r="I150" s="24" t="n">
        <v>0</v>
      </c>
      <c r="K150" s="1" t="s">
        <v>64</v>
      </c>
      <c r="L150" s="1" t="s">
        <v>69</v>
      </c>
      <c r="M150" s="1" t="n">
        <v>23</v>
      </c>
      <c r="N150" s="1" t="s">
        <v>39</v>
      </c>
    </row>
    <row r="151" customFormat="false" ht="15" hidden="false" customHeight="true" outlineLevel="0" collapsed="false">
      <c r="A151" s="1" t="s">
        <v>560</v>
      </c>
      <c r="B151" s="1" t="s">
        <v>561</v>
      </c>
      <c r="C151" s="1" t="s">
        <v>562</v>
      </c>
      <c r="D151" s="1" t="s">
        <v>165</v>
      </c>
      <c r="E151" s="1" t="s">
        <v>52</v>
      </c>
      <c r="F151" s="1" t="s">
        <v>56</v>
      </c>
      <c r="G151" s="23" t="n">
        <v>45683</v>
      </c>
      <c r="H151" s="1" t="n">
        <v>99</v>
      </c>
      <c r="I151" s="24" t="n">
        <v>0</v>
      </c>
      <c r="K151" s="1" t="s">
        <v>64</v>
      </c>
      <c r="L151" s="1" t="s">
        <v>69</v>
      </c>
      <c r="M151" s="1" t="n">
        <v>2</v>
      </c>
      <c r="N151" s="1" t="s">
        <v>39</v>
      </c>
    </row>
    <row r="152" customFormat="false" ht="15" hidden="false" customHeight="true" outlineLevel="0" collapsed="false">
      <c r="A152" s="1" t="s">
        <v>563</v>
      </c>
      <c r="B152" s="1" t="s">
        <v>564</v>
      </c>
      <c r="C152" s="1" t="s">
        <v>565</v>
      </c>
      <c r="D152" s="1" t="s">
        <v>165</v>
      </c>
      <c r="E152" s="1" t="s">
        <v>50</v>
      </c>
      <c r="F152" s="1" t="s">
        <v>55</v>
      </c>
      <c r="G152" s="23" t="n">
        <v>45693</v>
      </c>
      <c r="H152" s="1" t="n">
        <v>133</v>
      </c>
      <c r="I152" s="24" t="n">
        <v>0</v>
      </c>
      <c r="K152" s="1" t="s">
        <v>64</v>
      </c>
      <c r="L152" s="1" t="s">
        <v>69</v>
      </c>
      <c r="M152" s="1" t="n">
        <v>26</v>
      </c>
      <c r="N152" s="1" t="s">
        <v>39</v>
      </c>
    </row>
    <row r="153" customFormat="false" ht="15" hidden="false" customHeight="true" outlineLevel="0" collapsed="false">
      <c r="A153" s="1" t="s">
        <v>566</v>
      </c>
      <c r="B153" s="1" t="s">
        <v>567</v>
      </c>
      <c r="C153" s="1" t="s">
        <v>568</v>
      </c>
      <c r="D153" s="1" t="s">
        <v>116</v>
      </c>
      <c r="E153" s="1" t="s">
        <v>52</v>
      </c>
      <c r="F153" s="1" t="s">
        <v>55</v>
      </c>
      <c r="G153" s="23" t="n">
        <v>45728</v>
      </c>
      <c r="H153" s="1" t="n">
        <v>54</v>
      </c>
      <c r="I153" s="24" t="n">
        <v>0</v>
      </c>
      <c r="K153" s="1" t="s">
        <v>64</v>
      </c>
      <c r="L153" s="1" t="s">
        <v>69</v>
      </c>
      <c r="M153" s="1" t="n">
        <v>5</v>
      </c>
      <c r="N153" s="1" t="s">
        <v>39</v>
      </c>
    </row>
    <row r="154" customFormat="false" ht="15" hidden="false" customHeight="true" outlineLevel="0" collapsed="false">
      <c r="A154" s="1" t="s">
        <v>569</v>
      </c>
      <c r="B154" s="1" t="s">
        <v>570</v>
      </c>
      <c r="C154" s="1" t="s">
        <v>571</v>
      </c>
      <c r="D154" s="1" t="s">
        <v>165</v>
      </c>
      <c r="E154" s="1" t="s">
        <v>51</v>
      </c>
      <c r="F154" s="1" t="s">
        <v>57</v>
      </c>
      <c r="G154" s="23" t="n">
        <v>45666</v>
      </c>
      <c r="H154" s="1" t="n">
        <v>169</v>
      </c>
      <c r="I154" s="24" t="n">
        <v>0</v>
      </c>
      <c r="K154" s="1" t="s">
        <v>64</v>
      </c>
      <c r="L154" s="1" t="s">
        <v>69</v>
      </c>
      <c r="M154" s="1" t="n">
        <v>30</v>
      </c>
      <c r="N154" s="1" t="s">
        <v>38</v>
      </c>
    </row>
    <row r="155" customFormat="false" ht="15" hidden="false" customHeight="true" outlineLevel="0" collapsed="false">
      <c r="A155" s="1" t="s">
        <v>572</v>
      </c>
      <c r="B155" s="1" t="s">
        <v>573</v>
      </c>
      <c r="C155" s="1" t="s">
        <v>574</v>
      </c>
      <c r="D155" s="1" t="s">
        <v>165</v>
      </c>
      <c r="E155" s="1" t="s">
        <v>52</v>
      </c>
      <c r="F155" s="1" t="s">
        <v>60</v>
      </c>
      <c r="G155" s="23" t="n">
        <v>45737</v>
      </c>
      <c r="H155" s="1" t="n">
        <v>8</v>
      </c>
      <c r="I155" s="24" t="n">
        <v>39.12</v>
      </c>
      <c r="J155" s="1" t="s">
        <v>121</v>
      </c>
      <c r="K155" s="1" t="s">
        <v>64</v>
      </c>
      <c r="L155" s="1" t="s">
        <v>70</v>
      </c>
      <c r="M155" s="1" t="n">
        <v>48</v>
      </c>
      <c r="N155" s="1" t="s">
        <v>39</v>
      </c>
    </row>
    <row r="156" customFormat="false" ht="15" hidden="false" customHeight="true" outlineLevel="0" collapsed="false">
      <c r="A156" s="1" t="s">
        <v>575</v>
      </c>
      <c r="B156" s="1" t="s">
        <v>576</v>
      </c>
      <c r="C156" s="1" t="s">
        <v>577</v>
      </c>
      <c r="D156" s="1" t="s">
        <v>130</v>
      </c>
      <c r="E156" s="1" t="s">
        <v>52</v>
      </c>
      <c r="F156" s="1" t="s">
        <v>60</v>
      </c>
      <c r="G156" s="23" t="n">
        <v>45695</v>
      </c>
      <c r="H156" s="1" t="n">
        <v>27</v>
      </c>
      <c r="I156" s="24" t="n">
        <v>2.64</v>
      </c>
      <c r="J156" s="1" t="s">
        <v>126</v>
      </c>
      <c r="K156" s="1" t="s">
        <v>64</v>
      </c>
      <c r="L156" s="1" t="s">
        <v>70</v>
      </c>
      <c r="M156" s="1" t="n">
        <v>3</v>
      </c>
      <c r="N156" s="1" t="s">
        <v>39</v>
      </c>
    </row>
    <row r="157" customFormat="false" ht="15" hidden="false" customHeight="true" outlineLevel="0" collapsed="false">
      <c r="A157" s="1" t="s">
        <v>578</v>
      </c>
      <c r="B157" s="1" t="s">
        <v>579</v>
      </c>
      <c r="C157" s="1" t="s">
        <v>580</v>
      </c>
      <c r="D157" s="1" t="s">
        <v>116</v>
      </c>
      <c r="E157" s="1" t="s">
        <v>50</v>
      </c>
      <c r="F157" s="1" t="s">
        <v>60</v>
      </c>
      <c r="G157" s="23" t="n">
        <v>45721</v>
      </c>
      <c r="H157" s="1" t="n">
        <v>118</v>
      </c>
      <c r="I157" s="24" t="n">
        <v>46.55</v>
      </c>
      <c r="J157" s="1" t="s">
        <v>140</v>
      </c>
      <c r="K157" s="1" t="s">
        <v>64</v>
      </c>
      <c r="L157" s="1" t="s">
        <v>70</v>
      </c>
      <c r="M157" s="1" t="n">
        <v>45</v>
      </c>
      <c r="N157" s="1" t="s">
        <v>38</v>
      </c>
    </row>
    <row r="158" customFormat="false" ht="15" hidden="false" customHeight="true" outlineLevel="0" collapsed="false">
      <c r="A158" s="1" t="s">
        <v>581</v>
      </c>
      <c r="B158" s="1" t="s">
        <v>582</v>
      </c>
      <c r="C158" s="1" t="s">
        <v>583</v>
      </c>
      <c r="D158" s="1" t="s">
        <v>120</v>
      </c>
      <c r="E158" s="1" t="s">
        <v>50</v>
      </c>
      <c r="F158" s="1" t="s">
        <v>58</v>
      </c>
      <c r="G158" s="23" t="n">
        <v>45792</v>
      </c>
      <c r="H158" s="1" t="n">
        <v>171</v>
      </c>
      <c r="I158" s="24" t="n">
        <v>18.03</v>
      </c>
      <c r="J158" s="1" t="s">
        <v>241</v>
      </c>
      <c r="K158" s="1" t="s">
        <v>64</v>
      </c>
      <c r="L158" s="1" t="s">
        <v>70</v>
      </c>
      <c r="M158" s="1" t="n">
        <v>43</v>
      </c>
      <c r="N158" s="1" t="s">
        <v>38</v>
      </c>
    </row>
    <row r="159" customFormat="false" ht="15" hidden="false" customHeight="true" outlineLevel="0" collapsed="false">
      <c r="A159" s="1" t="s">
        <v>584</v>
      </c>
      <c r="B159" s="1" t="s">
        <v>585</v>
      </c>
      <c r="C159" s="1" t="s">
        <v>586</v>
      </c>
      <c r="D159" s="1" t="s">
        <v>130</v>
      </c>
      <c r="E159" s="1" t="s">
        <v>50</v>
      </c>
      <c r="F159" s="1" t="s">
        <v>57</v>
      </c>
      <c r="G159" s="23" t="n">
        <v>45756</v>
      </c>
      <c r="H159" s="1" t="n">
        <v>55</v>
      </c>
      <c r="I159" s="24" t="n">
        <v>0</v>
      </c>
      <c r="K159" s="1" t="s">
        <v>64</v>
      </c>
      <c r="L159" s="1" t="s">
        <v>69</v>
      </c>
      <c r="M159" s="1" t="n">
        <v>29</v>
      </c>
      <c r="N159" s="1" t="s">
        <v>39</v>
      </c>
    </row>
    <row r="160" customFormat="false" ht="15" hidden="false" customHeight="true" outlineLevel="0" collapsed="false">
      <c r="A160" s="1" t="s">
        <v>587</v>
      </c>
      <c r="B160" s="1" t="s">
        <v>588</v>
      </c>
      <c r="C160" s="1" t="s">
        <v>589</v>
      </c>
      <c r="D160" s="1" t="s">
        <v>116</v>
      </c>
      <c r="E160" s="1" t="s">
        <v>52</v>
      </c>
      <c r="F160" s="1" t="s">
        <v>58</v>
      </c>
      <c r="G160" s="23" t="n">
        <v>45709</v>
      </c>
      <c r="H160" s="1" t="n">
        <v>37</v>
      </c>
      <c r="I160" s="24" t="n">
        <v>0</v>
      </c>
      <c r="K160" s="1" t="s">
        <v>66</v>
      </c>
      <c r="L160" s="1" t="s">
        <v>69</v>
      </c>
      <c r="M160" s="1" t="n">
        <v>1</v>
      </c>
      <c r="N160" s="1" t="s">
        <v>39</v>
      </c>
    </row>
    <row r="161" customFormat="false" ht="15" hidden="false" customHeight="true" outlineLevel="0" collapsed="false">
      <c r="A161" s="1" t="s">
        <v>590</v>
      </c>
      <c r="B161" s="1" t="s">
        <v>591</v>
      </c>
      <c r="C161" s="1" t="s">
        <v>592</v>
      </c>
      <c r="D161" s="1" t="s">
        <v>165</v>
      </c>
      <c r="E161" s="1" t="s">
        <v>52</v>
      </c>
      <c r="F161" s="1" t="s">
        <v>60</v>
      </c>
      <c r="G161" s="23" t="n">
        <v>45700</v>
      </c>
      <c r="H161" s="1" t="n">
        <v>79</v>
      </c>
      <c r="I161" s="24" t="n">
        <v>0</v>
      </c>
      <c r="K161" s="1" t="s">
        <v>64</v>
      </c>
      <c r="L161" s="1" t="s">
        <v>69</v>
      </c>
      <c r="M161" s="1" t="n">
        <v>44</v>
      </c>
      <c r="N161" s="1" t="s">
        <v>39</v>
      </c>
    </row>
    <row r="162" customFormat="false" ht="15" hidden="false" customHeight="true" outlineLevel="0" collapsed="false">
      <c r="A162" s="1" t="s">
        <v>593</v>
      </c>
      <c r="B162" s="1" t="s">
        <v>594</v>
      </c>
      <c r="C162" s="1" t="s">
        <v>595</v>
      </c>
      <c r="D162" s="1" t="s">
        <v>130</v>
      </c>
      <c r="E162" s="1" t="s">
        <v>52</v>
      </c>
      <c r="F162" s="1" t="s">
        <v>59</v>
      </c>
      <c r="G162" s="23" t="n">
        <v>45690</v>
      </c>
      <c r="H162" s="1" t="n">
        <v>50</v>
      </c>
      <c r="I162" s="24" t="n">
        <v>0</v>
      </c>
      <c r="K162" s="1" t="s">
        <v>64</v>
      </c>
      <c r="L162" s="1" t="s">
        <v>69</v>
      </c>
      <c r="M162" s="1" t="n">
        <v>21</v>
      </c>
      <c r="N162" s="1" t="s">
        <v>39</v>
      </c>
    </row>
    <row r="163" customFormat="false" ht="15" hidden="false" customHeight="true" outlineLevel="0" collapsed="false">
      <c r="A163" s="1" t="s">
        <v>596</v>
      </c>
      <c r="B163" s="1" t="s">
        <v>597</v>
      </c>
      <c r="C163" s="1" t="s">
        <v>598</v>
      </c>
      <c r="D163" s="1" t="s">
        <v>165</v>
      </c>
      <c r="E163" s="1" t="s">
        <v>50</v>
      </c>
      <c r="F163" s="1" t="s">
        <v>57</v>
      </c>
      <c r="G163" s="23" t="n">
        <v>45700</v>
      </c>
      <c r="H163" s="1" t="n">
        <v>57</v>
      </c>
      <c r="I163" s="24" t="n">
        <v>0</v>
      </c>
      <c r="K163" s="1" t="s">
        <v>64</v>
      </c>
      <c r="L163" s="1" t="s">
        <v>69</v>
      </c>
      <c r="M163" s="1" t="n">
        <v>13</v>
      </c>
      <c r="N163" s="1" t="s">
        <v>39</v>
      </c>
    </row>
    <row r="164" customFormat="false" ht="15" hidden="false" customHeight="true" outlineLevel="0" collapsed="false">
      <c r="A164" s="1" t="s">
        <v>599</v>
      </c>
      <c r="B164" s="1" t="s">
        <v>600</v>
      </c>
      <c r="C164" s="1" t="s">
        <v>601</v>
      </c>
      <c r="D164" s="1" t="s">
        <v>120</v>
      </c>
      <c r="E164" s="1" t="s">
        <v>52</v>
      </c>
      <c r="F164" s="1" t="s">
        <v>60</v>
      </c>
      <c r="G164" s="23" t="n">
        <v>45765</v>
      </c>
      <c r="H164" s="1" t="n">
        <v>116</v>
      </c>
      <c r="I164" s="24" t="n">
        <v>17.05</v>
      </c>
      <c r="J164" s="1" t="s">
        <v>126</v>
      </c>
      <c r="K164" s="1" t="s">
        <v>66</v>
      </c>
      <c r="L164" s="1" t="s">
        <v>70</v>
      </c>
      <c r="M164" s="1" t="n">
        <v>17</v>
      </c>
      <c r="N164" s="1" t="s">
        <v>39</v>
      </c>
    </row>
    <row r="165" customFormat="false" ht="15" hidden="false" customHeight="true" outlineLevel="0" collapsed="false">
      <c r="A165" s="1" t="s">
        <v>602</v>
      </c>
      <c r="B165" s="1" t="s">
        <v>603</v>
      </c>
      <c r="C165" s="1" t="s">
        <v>604</v>
      </c>
      <c r="D165" s="1" t="s">
        <v>165</v>
      </c>
      <c r="E165" s="1" t="s">
        <v>50</v>
      </c>
      <c r="F165" s="1" t="s">
        <v>58</v>
      </c>
      <c r="G165" s="23" t="n">
        <v>45701</v>
      </c>
      <c r="H165" s="1" t="n">
        <v>8</v>
      </c>
      <c r="I165" s="24" t="n">
        <v>0</v>
      </c>
      <c r="K165" s="1" t="s">
        <v>66</v>
      </c>
      <c r="L165" s="1" t="s">
        <v>69</v>
      </c>
      <c r="M165" s="1" t="n">
        <v>31</v>
      </c>
      <c r="N165" s="1" t="s">
        <v>39</v>
      </c>
    </row>
    <row r="166" customFormat="false" ht="15" hidden="false" customHeight="true" outlineLevel="0" collapsed="false">
      <c r="A166" s="1" t="s">
        <v>605</v>
      </c>
      <c r="B166" s="1" t="s">
        <v>606</v>
      </c>
      <c r="C166" s="1" t="s">
        <v>607</v>
      </c>
      <c r="D166" s="1" t="s">
        <v>130</v>
      </c>
      <c r="E166" s="1" t="s">
        <v>52</v>
      </c>
      <c r="F166" s="1" t="s">
        <v>58</v>
      </c>
      <c r="G166" s="23" t="n">
        <v>45658</v>
      </c>
      <c r="H166" s="1" t="n">
        <v>38</v>
      </c>
      <c r="I166" s="24" t="n">
        <v>0</v>
      </c>
      <c r="K166" s="1" t="s">
        <v>64</v>
      </c>
      <c r="L166" s="1" t="s">
        <v>69</v>
      </c>
      <c r="M166" s="1" t="n">
        <v>21</v>
      </c>
      <c r="N166" s="1" t="s">
        <v>39</v>
      </c>
    </row>
    <row r="167" customFormat="false" ht="15" hidden="false" customHeight="true" outlineLevel="0" collapsed="false">
      <c r="A167" s="1" t="s">
        <v>608</v>
      </c>
      <c r="B167" s="1" t="s">
        <v>609</v>
      </c>
      <c r="C167" s="1" t="s">
        <v>610</v>
      </c>
      <c r="D167" s="1" t="s">
        <v>116</v>
      </c>
      <c r="E167" s="1" t="s">
        <v>51</v>
      </c>
      <c r="F167" s="1" t="s">
        <v>58</v>
      </c>
      <c r="G167" s="23" t="n">
        <v>45782</v>
      </c>
      <c r="H167" s="1" t="n">
        <v>94</v>
      </c>
      <c r="I167" s="24" t="n">
        <v>0</v>
      </c>
      <c r="K167" s="1" t="s">
        <v>66</v>
      </c>
      <c r="L167" s="1" t="s">
        <v>69</v>
      </c>
      <c r="M167" s="1" t="n">
        <v>23</v>
      </c>
      <c r="N167" s="1" t="s">
        <v>39</v>
      </c>
    </row>
    <row r="168" customFormat="false" ht="15" hidden="false" customHeight="true" outlineLevel="0" collapsed="false">
      <c r="A168" s="1" t="s">
        <v>611</v>
      </c>
      <c r="B168" s="1" t="s">
        <v>612</v>
      </c>
      <c r="C168" s="1" t="s">
        <v>613</v>
      </c>
      <c r="D168" s="1" t="s">
        <v>116</v>
      </c>
      <c r="E168" s="1" t="s">
        <v>51</v>
      </c>
      <c r="F168" s="1" t="s">
        <v>56</v>
      </c>
      <c r="G168" s="23" t="n">
        <v>45738</v>
      </c>
      <c r="H168" s="1" t="n">
        <v>139</v>
      </c>
      <c r="I168" s="24" t="n">
        <v>0</v>
      </c>
      <c r="K168" s="1" t="s">
        <v>64</v>
      </c>
      <c r="L168" s="1" t="s">
        <v>69</v>
      </c>
      <c r="M168" s="1" t="n">
        <v>26</v>
      </c>
      <c r="N168" s="1" t="s">
        <v>39</v>
      </c>
    </row>
    <row r="169" customFormat="false" ht="15" hidden="false" customHeight="true" outlineLevel="0" collapsed="false">
      <c r="A169" s="1" t="s">
        <v>614</v>
      </c>
      <c r="B169" s="1" t="s">
        <v>615</v>
      </c>
      <c r="C169" s="1" t="s">
        <v>616</v>
      </c>
      <c r="D169" s="1" t="s">
        <v>116</v>
      </c>
      <c r="E169" s="1" t="s">
        <v>52</v>
      </c>
      <c r="F169" s="1" t="s">
        <v>56</v>
      </c>
      <c r="G169" s="23" t="n">
        <v>45794</v>
      </c>
      <c r="H169" s="1" t="n">
        <v>153</v>
      </c>
      <c r="I169" s="24" t="n">
        <v>0</v>
      </c>
      <c r="K169" s="1" t="s">
        <v>64</v>
      </c>
      <c r="L169" s="1" t="s">
        <v>69</v>
      </c>
      <c r="M169" s="1" t="n">
        <v>45</v>
      </c>
      <c r="N169" s="1" t="s">
        <v>38</v>
      </c>
    </row>
    <row r="170" customFormat="false" ht="15" hidden="false" customHeight="true" outlineLevel="0" collapsed="false">
      <c r="A170" s="1" t="s">
        <v>617</v>
      </c>
      <c r="B170" s="1" t="s">
        <v>618</v>
      </c>
      <c r="C170" s="1" t="s">
        <v>619</v>
      </c>
      <c r="D170" s="1" t="s">
        <v>116</v>
      </c>
      <c r="E170" s="1" t="s">
        <v>50</v>
      </c>
      <c r="F170" s="1" t="s">
        <v>60</v>
      </c>
      <c r="G170" s="23" t="n">
        <v>45763</v>
      </c>
      <c r="H170" s="1" t="n">
        <v>116</v>
      </c>
      <c r="I170" s="24" t="n">
        <v>47.47</v>
      </c>
      <c r="J170" s="1" t="s">
        <v>126</v>
      </c>
      <c r="K170" s="1" t="s">
        <v>64</v>
      </c>
      <c r="L170" s="1" t="s">
        <v>70</v>
      </c>
      <c r="M170" s="1" t="n">
        <v>1</v>
      </c>
      <c r="N170" s="1" t="s">
        <v>38</v>
      </c>
    </row>
    <row r="171" customFormat="false" ht="15" hidden="false" customHeight="true" outlineLevel="0" collapsed="false">
      <c r="A171" s="1" t="s">
        <v>620</v>
      </c>
      <c r="B171" s="1" t="s">
        <v>621</v>
      </c>
      <c r="C171" s="1" t="s">
        <v>622</v>
      </c>
      <c r="D171" s="1" t="s">
        <v>125</v>
      </c>
      <c r="E171" s="1" t="s">
        <v>51</v>
      </c>
      <c r="F171" s="1" t="s">
        <v>58</v>
      </c>
      <c r="G171" s="23" t="n">
        <v>45725</v>
      </c>
      <c r="H171" s="1" t="n">
        <v>82</v>
      </c>
      <c r="I171" s="24" t="n">
        <v>0</v>
      </c>
      <c r="K171" s="1" t="s">
        <v>66</v>
      </c>
      <c r="L171" s="1" t="s">
        <v>69</v>
      </c>
      <c r="M171" s="1" t="n">
        <v>17</v>
      </c>
      <c r="N171" s="1" t="s">
        <v>39</v>
      </c>
    </row>
    <row r="172" customFormat="false" ht="15" hidden="false" customHeight="true" outlineLevel="0" collapsed="false">
      <c r="A172" s="1" t="s">
        <v>623</v>
      </c>
      <c r="B172" s="1" t="s">
        <v>624</v>
      </c>
      <c r="C172" s="1" t="s">
        <v>625</v>
      </c>
      <c r="D172" s="1" t="s">
        <v>125</v>
      </c>
      <c r="E172" s="1" t="s">
        <v>50</v>
      </c>
      <c r="F172" s="1" t="s">
        <v>57</v>
      </c>
      <c r="G172" s="23" t="n">
        <v>45762</v>
      </c>
      <c r="H172" s="1" t="n">
        <v>35</v>
      </c>
      <c r="I172" s="24" t="n">
        <v>0</v>
      </c>
      <c r="K172" s="1" t="s">
        <v>64</v>
      </c>
      <c r="L172" s="1" t="s">
        <v>69</v>
      </c>
      <c r="M172" s="1" t="n">
        <v>46</v>
      </c>
      <c r="N172" s="1" t="s">
        <v>39</v>
      </c>
    </row>
    <row r="173" customFormat="false" ht="15" hidden="false" customHeight="true" outlineLevel="0" collapsed="false">
      <c r="A173" s="1" t="s">
        <v>626</v>
      </c>
      <c r="B173" s="1" t="s">
        <v>627</v>
      </c>
      <c r="C173" s="1" t="s">
        <v>628</v>
      </c>
      <c r="D173" s="1" t="s">
        <v>120</v>
      </c>
      <c r="E173" s="1" t="s">
        <v>51</v>
      </c>
      <c r="F173" s="1" t="s">
        <v>60</v>
      </c>
      <c r="G173" s="23" t="n">
        <v>45816</v>
      </c>
      <c r="H173" s="1" t="n">
        <v>168</v>
      </c>
      <c r="I173" s="24" t="n">
        <v>0</v>
      </c>
      <c r="K173" s="1" t="s">
        <v>64</v>
      </c>
      <c r="L173" s="1" t="s">
        <v>69</v>
      </c>
      <c r="M173" s="1" t="n">
        <v>18</v>
      </c>
      <c r="N173" s="1" t="s">
        <v>38</v>
      </c>
    </row>
    <row r="174" customFormat="false" ht="15" hidden="false" customHeight="true" outlineLevel="0" collapsed="false">
      <c r="A174" s="1" t="s">
        <v>629</v>
      </c>
      <c r="B174" s="1" t="s">
        <v>630</v>
      </c>
      <c r="C174" s="1" t="s">
        <v>631</v>
      </c>
      <c r="D174" s="1" t="s">
        <v>130</v>
      </c>
      <c r="E174" s="1" t="s">
        <v>52</v>
      </c>
      <c r="F174" s="1" t="s">
        <v>58</v>
      </c>
      <c r="G174" s="23" t="n">
        <v>45756</v>
      </c>
      <c r="H174" s="1" t="n">
        <v>123</v>
      </c>
      <c r="I174" s="24" t="n">
        <v>0</v>
      </c>
      <c r="K174" s="1" t="s">
        <v>65</v>
      </c>
      <c r="L174" s="1" t="s">
        <v>70</v>
      </c>
      <c r="M174" s="1" t="n">
        <v>47</v>
      </c>
      <c r="N174" s="1" t="s">
        <v>39</v>
      </c>
    </row>
    <row r="175" customFormat="false" ht="15" hidden="false" customHeight="true" outlineLevel="0" collapsed="false">
      <c r="A175" s="1" t="s">
        <v>632</v>
      </c>
      <c r="B175" s="1" t="s">
        <v>633</v>
      </c>
      <c r="C175" s="1" t="s">
        <v>634</v>
      </c>
      <c r="D175" s="1" t="s">
        <v>130</v>
      </c>
      <c r="E175" s="1" t="s">
        <v>50</v>
      </c>
      <c r="F175" s="1" t="s">
        <v>60</v>
      </c>
      <c r="G175" s="23" t="n">
        <v>45790</v>
      </c>
      <c r="H175" s="1" t="n">
        <v>41</v>
      </c>
      <c r="I175" s="24" t="n">
        <v>33.29</v>
      </c>
      <c r="J175" s="1" t="s">
        <v>121</v>
      </c>
      <c r="K175" s="1" t="s">
        <v>64</v>
      </c>
      <c r="L175" s="1" t="s">
        <v>70</v>
      </c>
      <c r="M175" s="1" t="n">
        <v>29</v>
      </c>
      <c r="N175" s="1" t="s">
        <v>39</v>
      </c>
    </row>
    <row r="176" customFormat="false" ht="15" hidden="false" customHeight="true" outlineLevel="0" collapsed="false">
      <c r="A176" s="1" t="s">
        <v>635</v>
      </c>
      <c r="B176" s="1" t="s">
        <v>636</v>
      </c>
      <c r="C176" s="1" t="s">
        <v>637</v>
      </c>
      <c r="D176" s="1" t="s">
        <v>120</v>
      </c>
      <c r="E176" s="1" t="s">
        <v>52</v>
      </c>
      <c r="F176" s="1" t="s">
        <v>55</v>
      </c>
      <c r="G176" s="23" t="n">
        <v>45656</v>
      </c>
      <c r="H176" s="1" t="n">
        <v>156</v>
      </c>
      <c r="I176" s="24" t="n">
        <v>0</v>
      </c>
      <c r="K176" s="1" t="s">
        <v>64</v>
      </c>
      <c r="L176" s="1" t="s">
        <v>69</v>
      </c>
      <c r="M176" s="1" t="n">
        <v>34</v>
      </c>
      <c r="N176" s="1" t="s">
        <v>38</v>
      </c>
    </row>
    <row r="177" customFormat="false" ht="15" hidden="false" customHeight="true" outlineLevel="0" collapsed="false">
      <c r="A177" s="1" t="s">
        <v>638</v>
      </c>
      <c r="B177" s="1" t="s">
        <v>639</v>
      </c>
      <c r="C177" s="1" t="s">
        <v>640</v>
      </c>
      <c r="D177" s="1" t="s">
        <v>130</v>
      </c>
      <c r="E177" s="1" t="s">
        <v>51</v>
      </c>
      <c r="F177" s="1" t="s">
        <v>60</v>
      </c>
      <c r="G177" s="23" t="n">
        <v>45716</v>
      </c>
      <c r="H177" s="1" t="n">
        <v>84</v>
      </c>
      <c r="I177" s="24" t="n">
        <v>0</v>
      </c>
      <c r="K177" s="1" t="s">
        <v>64</v>
      </c>
      <c r="L177" s="1" t="s">
        <v>69</v>
      </c>
      <c r="M177" s="1" t="n">
        <v>15</v>
      </c>
      <c r="N177" s="1" t="s">
        <v>39</v>
      </c>
    </row>
    <row r="178" customFormat="false" ht="15" hidden="false" customHeight="true" outlineLevel="0" collapsed="false">
      <c r="A178" s="1" t="s">
        <v>641</v>
      </c>
      <c r="B178" s="1" t="s">
        <v>642</v>
      </c>
      <c r="C178" s="1" t="s">
        <v>643</v>
      </c>
      <c r="D178" s="1" t="s">
        <v>125</v>
      </c>
      <c r="E178" s="1" t="s">
        <v>52</v>
      </c>
      <c r="F178" s="1" t="s">
        <v>56</v>
      </c>
      <c r="G178" s="23" t="n">
        <v>45715</v>
      </c>
      <c r="H178" s="1" t="n">
        <v>138</v>
      </c>
      <c r="I178" s="24" t="n">
        <v>27.01</v>
      </c>
      <c r="J178" s="1" t="s">
        <v>121</v>
      </c>
      <c r="K178" s="1" t="s">
        <v>64</v>
      </c>
      <c r="L178" s="1" t="s">
        <v>70</v>
      </c>
      <c r="M178" s="1" t="n">
        <v>18</v>
      </c>
      <c r="N178" s="1" t="s">
        <v>39</v>
      </c>
    </row>
    <row r="179" customFormat="false" ht="15" hidden="false" customHeight="true" outlineLevel="0" collapsed="false">
      <c r="A179" s="1" t="s">
        <v>644</v>
      </c>
      <c r="B179" s="1" t="s">
        <v>645</v>
      </c>
      <c r="C179" s="1" t="s">
        <v>646</v>
      </c>
      <c r="D179" s="1" t="s">
        <v>165</v>
      </c>
      <c r="E179" s="1" t="s">
        <v>50</v>
      </c>
      <c r="F179" s="1" t="s">
        <v>60</v>
      </c>
      <c r="G179" s="23" t="n">
        <v>45794</v>
      </c>
      <c r="H179" s="1" t="n">
        <v>26</v>
      </c>
      <c r="I179" s="24" t="n">
        <v>0</v>
      </c>
      <c r="K179" s="1" t="s">
        <v>64</v>
      </c>
      <c r="L179" s="1" t="s">
        <v>69</v>
      </c>
      <c r="M179" s="1" t="n">
        <v>22</v>
      </c>
      <c r="N179" s="1" t="s">
        <v>39</v>
      </c>
    </row>
    <row r="180" customFormat="false" ht="15" hidden="false" customHeight="true" outlineLevel="0" collapsed="false">
      <c r="A180" s="1" t="s">
        <v>647</v>
      </c>
      <c r="B180" s="1" t="s">
        <v>648</v>
      </c>
      <c r="C180" s="1" t="s">
        <v>649</v>
      </c>
      <c r="D180" s="1" t="s">
        <v>130</v>
      </c>
      <c r="E180" s="1" t="s">
        <v>50</v>
      </c>
      <c r="F180" s="1" t="s">
        <v>56</v>
      </c>
      <c r="G180" s="23" t="n">
        <v>45806</v>
      </c>
      <c r="H180" s="1" t="n">
        <v>111</v>
      </c>
      <c r="I180" s="24" t="n">
        <v>0</v>
      </c>
      <c r="K180" s="1" t="s">
        <v>64</v>
      </c>
      <c r="L180" s="1" t="s">
        <v>69</v>
      </c>
      <c r="M180" s="1" t="n">
        <v>26</v>
      </c>
      <c r="N180" s="1" t="s">
        <v>39</v>
      </c>
    </row>
    <row r="181" customFormat="false" ht="15" hidden="false" customHeight="true" outlineLevel="0" collapsed="false">
      <c r="A181" s="1" t="s">
        <v>650</v>
      </c>
      <c r="B181" s="1" t="s">
        <v>651</v>
      </c>
      <c r="C181" s="1" t="s">
        <v>652</v>
      </c>
      <c r="D181" s="1" t="s">
        <v>165</v>
      </c>
      <c r="E181" s="1" t="s">
        <v>50</v>
      </c>
      <c r="F181" s="1" t="s">
        <v>57</v>
      </c>
      <c r="G181" s="23" t="n">
        <v>45662</v>
      </c>
      <c r="H181" s="1" t="n">
        <v>100</v>
      </c>
      <c r="I181" s="24" t="n">
        <v>0</v>
      </c>
      <c r="K181" s="1" t="s">
        <v>64</v>
      </c>
      <c r="L181" s="1" t="s">
        <v>69</v>
      </c>
      <c r="M181" s="1" t="n">
        <v>7</v>
      </c>
      <c r="N181" s="1" t="s">
        <v>39</v>
      </c>
    </row>
    <row r="182" customFormat="false" ht="15" hidden="false" customHeight="true" outlineLevel="0" collapsed="false">
      <c r="A182" s="1" t="s">
        <v>653</v>
      </c>
      <c r="B182" s="1" t="s">
        <v>654</v>
      </c>
      <c r="C182" s="1" t="s">
        <v>655</v>
      </c>
      <c r="D182" s="1" t="s">
        <v>165</v>
      </c>
      <c r="E182" s="1" t="s">
        <v>50</v>
      </c>
      <c r="F182" s="1" t="s">
        <v>60</v>
      </c>
      <c r="G182" s="23" t="n">
        <v>45801</v>
      </c>
      <c r="H182" s="1" t="n">
        <v>84</v>
      </c>
      <c r="I182" s="24" t="n">
        <v>0</v>
      </c>
      <c r="K182" s="1" t="s">
        <v>64</v>
      </c>
      <c r="L182" s="1" t="s">
        <v>69</v>
      </c>
      <c r="M182" s="1" t="n">
        <v>36</v>
      </c>
      <c r="N182" s="1" t="s">
        <v>39</v>
      </c>
    </row>
    <row r="183" customFormat="false" ht="15" hidden="false" customHeight="true" outlineLevel="0" collapsed="false">
      <c r="A183" s="1" t="s">
        <v>656</v>
      </c>
      <c r="B183" s="1" t="s">
        <v>657</v>
      </c>
      <c r="C183" s="1" t="s">
        <v>658</v>
      </c>
      <c r="D183" s="1" t="s">
        <v>120</v>
      </c>
      <c r="E183" s="1" t="s">
        <v>51</v>
      </c>
      <c r="F183" s="1" t="s">
        <v>59</v>
      </c>
      <c r="G183" s="23" t="n">
        <v>45743</v>
      </c>
      <c r="H183" s="1" t="n">
        <v>90</v>
      </c>
      <c r="I183" s="24" t="n">
        <v>33.43</v>
      </c>
      <c r="J183" s="1" t="s">
        <v>121</v>
      </c>
      <c r="K183" s="1" t="s">
        <v>66</v>
      </c>
      <c r="L183" s="1" t="s">
        <v>70</v>
      </c>
      <c r="M183" s="1" t="n">
        <v>50</v>
      </c>
      <c r="N183" s="1" t="s">
        <v>39</v>
      </c>
    </row>
    <row r="184" customFormat="false" ht="15" hidden="false" customHeight="true" outlineLevel="0" collapsed="false">
      <c r="A184" s="1" t="s">
        <v>659</v>
      </c>
      <c r="B184" s="1" t="s">
        <v>660</v>
      </c>
      <c r="C184" s="1" t="s">
        <v>661</v>
      </c>
      <c r="D184" s="1" t="s">
        <v>165</v>
      </c>
      <c r="E184" s="1" t="s">
        <v>51</v>
      </c>
      <c r="F184" s="1" t="s">
        <v>57</v>
      </c>
      <c r="G184" s="23" t="n">
        <v>45799</v>
      </c>
      <c r="H184" s="1" t="n">
        <v>61</v>
      </c>
      <c r="I184" s="24" t="n">
        <v>23.71</v>
      </c>
      <c r="J184" s="1" t="s">
        <v>140</v>
      </c>
      <c r="K184" s="1" t="s">
        <v>64</v>
      </c>
      <c r="L184" s="1" t="s">
        <v>70</v>
      </c>
      <c r="M184" s="1" t="n">
        <v>37</v>
      </c>
      <c r="N184" s="1" t="s">
        <v>39</v>
      </c>
    </row>
    <row r="185" customFormat="false" ht="15" hidden="false" customHeight="true" outlineLevel="0" collapsed="false">
      <c r="A185" s="1" t="s">
        <v>662</v>
      </c>
      <c r="B185" s="1" t="s">
        <v>663</v>
      </c>
      <c r="C185" s="1" t="s">
        <v>664</v>
      </c>
      <c r="D185" s="1" t="s">
        <v>120</v>
      </c>
      <c r="E185" s="1" t="s">
        <v>52</v>
      </c>
      <c r="F185" s="1" t="s">
        <v>57</v>
      </c>
      <c r="G185" s="23" t="n">
        <v>45748</v>
      </c>
      <c r="H185" s="1" t="n">
        <v>88</v>
      </c>
      <c r="I185" s="24" t="n">
        <v>0</v>
      </c>
      <c r="K185" s="1" t="s">
        <v>64</v>
      </c>
      <c r="L185" s="1" t="s">
        <v>69</v>
      </c>
      <c r="M185" s="1" t="n">
        <v>39</v>
      </c>
      <c r="N185" s="1" t="s">
        <v>39</v>
      </c>
    </row>
    <row r="186" customFormat="false" ht="15" hidden="false" customHeight="true" outlineLevel="0" collapsed="false">
      <c r="A186" s="1" t="s">
        <v>665</v>
      </c>
      <c r="B186" s="1" t="s">
        <v>666</v>
      </c>
      <c r="C186" s="1" t="s">
        <v>667</v>
      </c>
      <c r="D186" s="1" t="s">
        <v>116</v>
      </c>
      <c r="E186" s="1" t="s">
        <v>52</v>
      </c>
      <c r="F186" s="1" t="s">
        <v>55</v>
      </c>
      <c r="G186" s="23" t="n">
        <v>45682</v>
      </c>
      <c r="H186" s="1" t="n">
        <v>56</v>
      </c>
      <c r="I186" s="24" t="n">
        <v>0</v>
      </c>
      <c r="K186" s="1" t="s">
        <v>64</v>
      </c>
      <c r="L186" s="1" t="s">
        <v>69</v>
      </c>
      <c r="M186" s="1" t="n">
        <v>1</v>
      </c>
      <c r="N186" s="1" t="s">
        <v>39</v>
      </c>
    </row>
    <row r="187" customFormat="false" ht="15" hidden="false" customHeight="true" outlineLevel="0" collapsed="false">
      <c r="A187" s="1" t="s">
        <v>668</v>
      </c>
      <c r="B187" s="1" t="s">
        <v>669</v>
      </c>
      <c r="C187" s="1" t="s">
        <v>670</v>
      </c>
      <c r="D187" s="1" t="s">
        <v>165</v>
      </c>
      <c r="E187" s="1" t="s">
        <v>52</v>
      </c>
      <c r="F187" s="1" t="s">
        <v>55</v>
      </c>
      <c r="G187" s="23" t="n">
        <v>45693</v>
      </c>
      <c r="H187" s="1" t="n">
        <v>54</v>
      </c>
      <c r="I187" s="24" t="n">
        <v>0</v>
      </c>
      <c r="K187" s="1" t="s">
        <v>64</v>
      </c>
      <c r="L187" s="1" t="s">
        <v>69</v>
      </c>
      <c r="M187" s="1" t="n">
        <v>49</v>
      </c>
      <c r="N187" s="1" t="s">
        <v>39</v>
      </c>
    </row>
    <row r="188" customFormat="false" ht="15" hidden="false" customHeight="true" outlineLevel="0" collapsed="false">
      <c r="A188" s="1" t="s">
        <v>671</v>
      </c>
      <c r="B188" s="1" t="s">
        <v>672</v>
      </c>
      <c r="C188" s="1" t="s">
        <v>673</v>
      </c>
      <c r="D188" s="1" t="s">
        <v>130</v>
      </c>
      <c r="E188" s="1" t="s">
        <v>51</v>
      </c>
      <c r="F188" s="1" t="s">
        <v>58</v>
      </c>
      <c r="G188" s="23" t="n">
        <v>45713</v>
      </c>
      <c r="H188" s="1" t="n">
        <v>27</v>
      </c>
      <c r="I188" s="24" t="n">
        <v>0</v>
      </c>
      <c r="K188" s="1" t="s">
        <v>64</v>
      </c>
      <c r="L188" s="1" t="s">
        <v>70</v>
      </c>
      <c r="M188" s="1" t="n">
        <v>29</v>
      </c>
      <c r="N188" s="1" t="s">
        <v>39</v>
      </c>
    </row>
    <row r="189" customFormat="false" ht="15" hidden="false" customHeight="true" outlineLevel="0" collapsed="false">
      <c r="A189" s="1" t="s">
        <v>674</v>
      </c>
      <c r="B189" s="1" t="s">
        <v>675</v>
      </c>
      <c r="C189" s="1" t="s">
        <v>676</v>
      </c>
      <c r="D189" s="1" t="s">
        <v>125</v>
      </c>
      <c r="E189" s="1" t="s">
        <v>51</v>
      </c>
      <c r="F189" s="1" t="s">
        <v>60</v>
      </c>
      <c r="G189" s="23" t="n">
        <v>45644</v>
      </c>
      <c r="H189" s="1" t="n">
        <v>30</v>
      </c>
      <c r="I189" s="24" t="n">
        <v>27.43</v>
      </c>
      <c r="J189" s="1" t="s">
        <v>126</v>
      </c>
      <c r="K189" s="1" t="s">
        <v>64</v>
      </c>
      <c r="L189" s="1" t="s">
        <v>70</v>
      </c>
      <c r="M189" s="1" t="n">
        <v>1</v>
      </c>
      <c r="N189" s="1" t="s">
        <v>39</v>
      </c>
    </row>
    <row r="190" customFormat="false" ht="15" hidden="false" customHeight="true" outlineLevel="0" collapsed="false">
      <c r="A190" s="1" t="s">
        <v>677</v>
      </c>
      <c r="B190" s="1" t="s">
        <v>678</v>
      </c>
      <c r="C190" s="1" t="s">
        <v>679</v>
      </c>
      <c r="D190" s="1" t="s">
        <v>116</v>
      </c>
      <c r="E190" s="1" t="s">
        <v>51</v>
      </c>
      <c r="F190" s="1" t="s">
        <v>60</v>
      </c>
      <c r="G190" s="23" t="n">
        <v>45714</v>
      </c>
      <c r="H190" s="1" t="n">
        <v>128</v>
      </c>
      <c r="I190" s="24" t="n">
        <v>0</v>
      </c>
      <c r="K190" s="1" t="s">
        <v>65</v>
      </c>
      <c r="L190" s="1" t="s">
        <v>69</v>
      </c>
      <c r="M190" s="1" t="n">
        <v>36</v>
      </c>
      <c r="N190" s="1" t="s">
        <v>39</v>
      </c>
    </row>
    <row r="191" customFormat="false" ht="15" hidden="false" customHeight="true" outlineLevel="0" collapsed="false">
      <c r="A191" s="1" t="s">
        <v>680</v>
      </c>
      <c r="B191" s="1" t="s">
        <v>282</v>
      </c>
      <c r="C191" s="1" t="s">
        <v>681</v>
      </c>
      <c r="D191" s="1" t="s">
        <v>116</v>
      </c>
      <c r="E191" s="1" t="s">
        <v>52</v>
      </c>
      <c r="F191" s="1" t="s">
        <v>57</v>
      </c>
      <c r="G191" s="23" t="n">
        <v>45716</v>
      </c>
      <c r="H191" s="1" t="n">
        <v>16</v>
      </c>
      <c r="I191" s="24" t="n">
        <v>36</v>
      </c>
      <c r="J191" s="1" t="s">
        <v>241</v>
      </c>
      <c r="K191" s="1" t="s">
        <v>64</v>
      </c>
      <c r="L191" s="1" t="s">
        <v>70</v>
      </c>
      <c r="M191" s="1" t="n">
        <v>40</v>
      </c>
      <c r="N191" s="1" t="s">
        <v>39</v>
      </c>
    </row>
    <row r="192" customFormat="false" ht="15" hidden="false" customHeight="true" outlineLevel="0" collapsed="false">
      <c r="A192" s="1" t="s">
        <v>682</v>
      </c>
      <c r="B192" s="1" t="s">
        <v>683</v>
      </c>
      <c r="C192" s="1" t="s">
        <v>684</v>
      </c>
      <c r="D192" s="1" t="s">
        <v>130</v>
      </c>
      <c r="E192" s="1" t="s">
        <v>52</v>
      </c>
      <c r="F192" s="1" t="s">
        <v>55</v>
      </c>
      <c r="G192" s="23" t="n">
        <v>45800</v>
      </c>
      <c r="H192" s="1" t="n">
        <v>57</v>
      </c>
      <c r="I192" s="24" t="n">
        <v>0</v>
      </c>
      <c r="K192" s="1" t="s">
        <v>64</v>
      </c>
      <c r="L192" s="1" t="s">
        <v>69</v>
      </c>
      <c r="M192" s="1" t="n">
        <v>18</v>
      </c>
      <c r="N192" s="1" t="s">
        <v>39</v>
      </c>
    </row>
    <row r="193" customFormat="false" ht="15" hidden="false" customHeight="true" outlineLevel="0" collapsed="false">
      <c r="A193" s="1" t="s">
        <v>685</v>
      </c>
      <c r="B193" s="1" t="s">
        <v>686</v>
      </c>
      <c r="C193" s="1" t="s">
        <v>687</v>
      </c>
      <c r="D193" s="1" t="s">
        <v>116</v>
      </c>
      <c r="E193" s="1" t="s">
        <v>52</v>
      </c>
      <c r="F193" s="1" t="s">
        <v>60</v>
      </c>
      <c r="G193" s="23" t="n">
        <v>45797</v>
      </c>
      <c r="H193" s="1" t="n">
        <v>153</v>
      </c>
      <c r="I193" s="24" t="n">
        <v>0</v>
      </c>
      <c r="K193" s="1" t="s">
        <v>64</v>
      </c>
      <c r="L193" s="1" t="s">
        <v>69</v>
      </c>
      <c r="M193" s="1" t="n">
        <v>1</v>
      </c>
      <c r="N193" s="1" t="s">
        <v>38</v>
      </c>
    </row>
    <row r="194" customFormat="false" ht="15" hidden="false" customHeight="true" outlineLevel="0" collapsed="false">
      <c r="A194" s="1" t="s">
        <v>688</v>
      </c>
      <c r="B194" s="1" t="s">
        <v>621</v>
      </c>
      <c r="C194" s="1" t="s">
        <v>689</v>
      </c>
      <c r="D194" s="1" t="s">
        <v>116</v>
      </c>
      <c r="E194" s="1" t="s">
        <v>50</v>
      </c>
      <c r="F194" s="1" t="s">
        <v>60</v>
      </c>
      <c r="G194" s="23" t="n">
        <v>45682</v>
      </c>
      <c r="H194" s="1" t="n">
        <v>130</v>
      </c>
      <c r="I194" s="24" t="n">
        <v>0</v>
      </c>
      <c r="K194" s="1" t="s">
        <v>64</v>
      </c>
      <c r="L194" s="1" t="s">
        <v>70</v>
      </c>
      <c r="M194" s="1" t="n">
        <v>8</v>
      </c>
      <c r="N194" s="1" t="s">
        <v>39</v>
      </c>
    </row>
    <row r="195" customFormat="false" ht="15" hidden="false" customHeight="true" outlineLevel="0" collapsed="false">
      <c r="A195" s="1" t="s">
        <v>690</v>
      </c>
      <c r="B195" s="1" t="s">
        <v>691</v>
      </c>
      <c r="C195" s="1" t="s">
        <v>692</v>
      </c>
      <c r="D195" s="1" t="s">
        <v>165</v>
      </c>
      <c r="E195" s="1" t="s">
        <v>51</v>
      </c>
      <c r="F195" s="1" t="s">
        <v>56</v>
      </c>
      <c r="G195" s="23" t="n">
        <v>45650</v>
      </c>
      <c r="H195" s="1" t="n">
        <v>47</v>
      </c>
      <c r="I195" s="24" t="n">
        <v>12.41</v>
      </c>
      <c r="J195" s="1" t="s">
        <v>126</v>
      </c>
      <c r="K195" s="1" t="s">
        <v>64</v>
      </c>
      <c r="L195" s="1" t="s">
        <v>70</v>
      </c>
      <c r="M195" s="1" t="n">
        <v>36</v>
      </c>
      <c r="N195" s="1" t="s">
        <v>39</v>
      </c>
    </row>
    <row r="196" customFormat="false" ht="15" hidden="false" customHeight="true" outlineLevel="0" collapsed="false">
      <c r="A196" s="1" t="s">
        <v>693</v>
      </c>
      <c r="B196" s="1" t="s">
        <v>694</v>
      </c>
      <c r="C196" s="1" t="s">
        <v>695</v>
      </c>
      <c r="D196" s="1" t="s">
        <v>130</v>
      </c>
      <c r="E196" s="1" t="s">
        <v>51</v>
      </c>
      <c r="F196" s="1" t="s">
        <v>58</v>
      </c>
      <c r="G196" s="23" t="n">
        <v>45717</v>
      </c>
      <c r="H196" s="1" t="n">
        <v>53</v>
      </c>
      <c r="I196" s="24" t="n">
        <v>0</v>
      </c>
      <c r="K196" s="1" t="s">
        <v>67</v>
      </c>
      <c r="L196" s="1" t="s">
        <v>69</v>
      </c>
      <c r="M196" s="1" t="n">
        <v>28</v>
      </c>
      <c r="N196" s="1" t="s">
        <v>39</v>
      </c>
    </row>
    <row r="197" customFormat="false" ht="15" hidden="false" customHeight="true" outlineLevel="0" collapsed="false">
      <c r="A197" s="1" t="s">
        <v>696</v>
      </c>
      <c r="B197" s="1" t="s">
        <v>697</v>
      </c>
      <c r="C197" s="1" t="s">
        <v>698</v>
      </c>
      <c r="D197" s="1" t="s">
        <v>116</v>
      </c>
      <c r="E197" s="1" t="s">
        <v>51</v>
      </c>
      <c r="F197" s="1" t="s">
        <v>59</v>
      </c>
      <c r="G197" s="23" t="n">
        <v>45746</v>
      </c>
      <c r="H197" s="1" t="n">
        <v>19</v>
      </c>
      <c r="I197" s="24" t="n">
        <v>0</v>
      </c>
      <c r="K197" s="1" t="s">
        <v>64</v>
      </c>
      <c r="L197" s="1" t="s">
        <v>69</v>
      </c>
      <c r="M197" s="1" t="n">
        <v>27</v>
      </c>
      <c r="N197" s="1" t="s">
        <v>39</v>
      </c>
    </row>
    <row r="198" customFormat="false" ht="15" hidden="false" customHeight="true" outlineLevel="0" collapsed="false">
      <c r="A198" s="1" t="s">
        <v>699</v>
      </c>
      <c r="B198" s="1" t="s">
        <v>700</v>
      </c>
      <c r="C198" s="1" t="s">
        <v>701</v>
      </c>
      <c r="D198" s="1" t="s">
        <v>120</v>
      </c>
      <c r="E198" s="1" t="s">
        <v>50</v>
      </c>
      <c r="F198" s="1" t="s">
        <v>56</v>
      </c>
      <c r="G198" s="23" t="n">
        <v>45654</v>
      </c>
      <c r="H198" s="1" t="n">
        <v>117</v>
      </c>
      <c r="I198" s="24" t="n">
        <v>0</v>
      </c>
      <c r="K198" s="1" t="s">
        <v>64</v>
      </c>
      <c r="L198" s="1" t="s">
        <v>69</v>
      </c>
      <c r="M198" s="1" t="n">
        <v>17</v>
      </c>
      <c r="N198" s="1" t="s">
        <v>39</v>
      </c>
    </row>
    <row r="199" customFormat="false" ht="15" hidden="false" customHeight="true" outlineLevel="0" collapsed="false">
      <c r="A199" s="1" t="s">
        <v>702</v>
      </c>
      <c r="B199" s="1" t="s">
        <v>703</v>
      </c>
      <c r="C199" s="1" t="s">
        <v>704</v>
      </c>
      <c r="D199" s="1" t="s">
        <v>116</v>
      </c>
      <c r="E199" s="1" t="s">
        <v>52</v>
      </c>
      <c r="F199" s="1" t="s">
        <v>55</v>
      </c>
      <c r="G199" s="23" t="n">
        <v>45659</v>
      </c>
      <c r="H199" s="1" t="n">
        <v>35</v>
      </c>
      <c r="I199" s="24" t="n">
        <v>18.72</v>
      </c>
      <c r="J199" s="1" t="s">
        <v>241</v>
      </c>
      <c r="K199" s="1" t="s">
        <v>64</v>
      </c>
      <c r="L199" s="1" t="s">
        <v>70</v>
      </c>
      <c r="M199" s="1" t="n">
        <v>20</v>
      </c>
      <c r="N199" s="1" t="s">
        <v>39</v>
      </c>
    </row>
    <row r="200" customFormat="false" ht="15" hidden="false" customHeight="true" outlineLevel="0" collapsed="false">
      <c r="A200" s="1" t="s">
        <v>705</v>
      </c>
      <c r="B200" s="1" t="s">
        <v>706</v>
      </c>
      <c r="C200" s="1" t="s">
        <v>707</v>
      </c>
      <c r="D200" s="1" t="s">
        <v>120</v>
      </c>
      <c r="E200" s="1" t="s">
        <v>50</v>
      </c>
      <c r="F200" s="1" t="s">
        <v>57</v>
      </c>
      <c r="G200" s="23" t="n">
        <v>45788</v>
      </c>
      <c r="H200" s="1" t="n">
        <v>138</v>
      </c>
      <c r="I200" s="24" t="n">
        <v>0</v>
      </c>
      <c r="K200" s="1" t="s">
        <v>64</v>
      </c>
      <c r="L200" s="1" t="s">
        <v>69</v>
      </c>
      <c r="M200" s="1" t="n">
        <v>47</v>
      </c>
      <c r="N200" s="1" t="s">
        <v>39</v>
      </c>
    </row>
    <row r="201" customFormat="false" ht="15" hidden="false" customHeight="true" outlineLevel="0" collapsed="false">
      <c r="A201" s="1" t="s">
        <v>708</v>
      </c>
      <c r="B201" s="1" t="s">
        <v>709</v>
      </c>
      <c r="C201" s="1" t="s">
        <v>710</v>
      </c>
      <c r="D201" s="1" t="s">
        <v>165</v>
      </c>
      <c r="E201" s="1" t="s">
        <v>52</v>
      </c>
      <c r="F201" s="1" t="s">
        <v>59</v>
      </c>
      <c r="G201" s="23" t="n">
        <v>45687</v>
      </c>
      <c r="H201" s="1" t="n">
        <v>45</v>
      </c>
      <c r="I201" s="24" t="n">
        <v>0</v>
      </c>
      <c r="K201" s="1" t="s">
        <v>64</v>
      </c>
      <c r="L201" s="1" t="s">
        <v>69</v>
      </c>
      <c r="M201" s="1" t="n">
        <v>24</v>
      </c>
      <c r="N201" s="1" t="s">
        <v>39</v>
      </c>
    </row>
    <row r="202" customFormat="false" ht="15" hidden="false" customHeight="true" outlineLevel="0" collapsed="false">
      <c r="A202" s="1" t="s">
        <v>711</v>
      </c>
      <c r="B202" s="1" t="s">
        <v>712</v>
      </c>
      <c r="C202" s="1" t="s">
        <v>713</v>
      </c>
      <c r="D202" s="1" t="s">
        <v>125</v>
      </c>
      <c r="E202" s="1" t="s">
        <v>52</v>
      </c>
      <c r="F202" s="1" t="s">
        <v>60</v>
      </c>
      <c r="G202" s="23" t="n">
        <v>45808</v>
      </c>
      <c r="H202" s="1" t="n">
        <v>97</v>
      </c>
      <c r="I202" s="24" t="n">
        <v>0</v>
      </c>
      <c r="K202" s="1" t="s">
        <v>64</v>
      </c>
      <c r="L202" s="1" t="s">
        <v>69</v>
      </c>
      <c r="M202" s="1" t="n">
        <v>5</v>
      </c>
      <c r="N202" s="1" t="s">
        <v>39</v>
      </c>
    </row>
    <row r="203" customFormat="false" ht="15" hidden="false" customHeight="true" outlineLevel="0" collapsed="false">
      <c r="A203" s="1" t="s">
        <v>714</v>
      </c>
      <c r="B203" s="1" t="s">
        <v>715</v>
      </c>
      <c r="C203" s="1" t="s">
        <v>716</v>
      </c>
      <c r="D203" s="1" t="s">
        <v>125</v>
      </c>
      <c r="E203" s="1" t="s">
        <v>50</v>
      </c>
      <c r="F203" s="1" t="s">
        <v>55</v>
      </c>
      <c r="G203" s="23" t="n">
        <v>45692</v>
      </c>
      <c r="H203" s="1" t="n">
        <v>18</v>
      </c>
      <c r="I203" s="24" t="n">
        <v>0</v>
      </c>
      <c r="K203" s="1" t="s">
        <v>64</v>
      </c>
      <c r="L203" s="1" t="s">
        <v>69</v>
      </c>
      <c r="M203" s="1" t="n">
        <v>14</v>
      </c>
      <c r="N203" s="1" t="s">
        <v>39</v>
      </c>
    </row>
    <row r="204" customFormat="false" ht="15" hidden="false" customHeight="true" outlineLevel="0" collapsed="false">
      <c r="A204" s="1" t="s">
        <v>717</v>
      </c>
      <c r="B204" s="1" t="s">
        <v>718</v>
      </c>
      <c r="C204" s="1" t="s">
        <v>719</v>
      </c>
      <c r="D204" s="1" t="s">
        <v>125</v>
      </c>
      <c r="E204" s="1" t="s">
        <v>50</v>
      </c>
      <c r="F204" s="1" t="s">
        <v>60</v>
      </c>
      <c r="G204" s="23" t="n">
        <v>45751</v>
      </c>
      <c r="H204" s="1" t="n">
        <v>7</v>
      </c>
      <c r="I204" s="24" t="n">
        <v>0</v>
      </c>
      <c r="K204" s="1" t="s">
        <v>67</v>
      </c>
      <c r="L204" s="1" t="s">
        <v>69</v>
      </c>
      <c r="M204" s="1" t="n">
        <v>22</v>
      </c>
      <c r="N204" s="1" t="s">
        <v>39</v>
      </c>
    </row>
    <row r="205" customFormat="false" ht="15" hidden="false" customHeight="true" outlineLevel="0" collapsed="false">
      <c r="A205" s="1" t="s">
        <v>720</v>
      </c>
      <c r="B205" s="1" t="s">
        <v>721</v>
      </c>
      <c r="C205" s="1" t="s">
        <v>722</v>
      </c>
      <c r="D205" s="1" t="s">
        <v>165</v>
      </c>
      <c r="E205" s="1" t="s">
        <v>51</v>
      </c>
      <c r="F205" s="1" t="s">
        <v>58</v>
      </c>
      <c r="G205" s="23" t="n">
        <v>45742</v>
      </c>
      <c r="H205" s="1" t="n">
        <v>42</v>
      </c>
      <c r="I205" s="24" t="n">
        <v>32.85</v>
      </c>
      <c r="J205" s="1" t="s">
        <v>126</v>
      </c>
      <c r="K205" s="1" t="s">
        <v>67</v>
      </c>
      <c r="L205" s="1" t="s">
        <v>70</v>
      </c>
      <c r="M205" s="1" t="n">
        <v>38</v>
      </c>
      <c r="N205" s="1" t="s">
        <v>39</v>
      </c>
    </row>
    <row r="206" customFormat="false" ht="15" hidden="false" customHeight="true" outlineLevel="0" collapsed="false">
      <c r="A206" s="1" t="s">
        <v>723</v>
      </c>
      <c r="B206" s="1" t="s">
        <v>724</v>
      </c>
      <c r="C206" s="1" t="s">
        <v>725</v>
      </c>
      <c r="D206" s="1" t="s">
        <v>120</v>
      </c>
      <c r="E206" s="1" t="s">
        <v>51</v>
      </c>
      <c r="F206" s="1" t="s">
        <v>57</v>
      </c>
      <c r="G206" s="23" t="n">
        <v>45758</v>
      </c>
      <c r="H206" s="1" t="n">
        <v>111</v>
      </c>
      <c r="I206" s="24" t="n">
        <v>0</v>
      </c>
      <c r="K206" s="1" t="s">
        <v>64</v>
      </c>
      <c r="L206" s="1" t="s">
        <v>69</v>
      </c>
      <c r="M206" s="1" t="n">
        <v>39</v>
      </c>
      <c r="N206" s="1" t="s">
        <v>39</v>
      </c>
    </row>
    <row r="207" customFormat="false" ht="15" hidden="false" customHeight="true" outlineLevel="0" collapsed="false">
      <c r="A207" s="1" t="s">
        <v>726</v>
      </c>
      <c r="B207" s="1" t="s">
        <v>727</v>
      </c>
      <c r="C207" s="1" t="s">
        <v>728</v>
      </c>
      <c r="D207" s="1" t="s">
        <v>120</v>
      </c>
      <c r="E207" s="1" t="s">
        <v>51</v>
      </c>
      <c r="F207" s="1" t="s">
        <v>56</v>
      </c>
      <c r="G207" s="23" t="n">
        <v>45782</v>
      </c>
      <c r="H207" s="1" t="n">
        <v>32</v>
      </c>
      <c r="I207" s="24" t="n">
        <v>0</v>
      </c>
      <c r="K207" s="1" t="s">
        <v>67</v>
      </c>
      <c r="L207" s="1" t="s">
        <v>69</v>
      </c>
      <c r="M207" s="1" t="n">
        <v>22</v>
      </c>
      <c r="N207" s="1" t="s">
        <v>39</v>
      </c>
    </row>
    <row r="208" customFormat="false" ht="15" hidden="false" customHeight="true" outlineLevel="0" collapsed="false">
      <c r="A208" s="1" t="s">
        <v>729</v>
      </c>
      <c r="B208" s="1" t="s">
        <v>730</v>
      </c>
      <c r="C208" s="1" t="s">
        <v>731</v>
      </c>
      <c r="D208" s="1" t="s">
        <v>116</v>
      </c>
      <c r="E208" s="1" t="s">
        <v>50</v>
      </c>
      <c r="F208" s="1" t="s">
        <v>57</v>
      </c>
      <c r="G208" s="23" t="n">
        <v>45805</v>
      </c>
      <c r="H208" s="1" t="n">
        <v>46</v>
      </c>
      <c r="I208" s="24" t="n">
        <v>0</v>
      </c>
      <c r="K208" s="1" t="s">
        <v>64</v>
      </c>
      <c r="L208" s="1" t="s">
        <v>70</v>
      </c>
      <c r="M208" s="1" t="n">
        <v>42</v>
      </c>
      <c r="N208" s="1" t="s">
        <v>39</v>
      </c>
    </row>
    <row r="209" customFormat="false" ht="15" hidden="false" customHeight="true" outlineLevel="0" collapsed="false">
      <c r="A209" s="1" t="s">
        <v>732</v>
      </c>
      <c r="B209" s="1" t="s">
        <v>733</v>
      </c>
      <c r="C209" s="1" t="s">
        <v>734</v>
      </c>
      <c r="D209" s="1" t="s">
        <v>165</v>
      </c>
      <c r="E209" s="1" t="s">
        <v>52</v>
      </c>
      <c r="F209" s="1" t="s">
        <v>55</v>
      </c>
      <c r="G209" s="23" t="n">
        <v>45802</v>
      </c>
      <c r="H209" s="1" t="n">
        <v>98</v>
      </c>
      <c r="I209" s="24" t="n">
        <v>0</v>
      </c>
      <c r="K209" s="1" t="s">
        <v>64</v>
      </c>
      <c r="L209" s="1" t="s">
        <v>70</v>
      </c>
      <c r="M209" s="1" t="n">
        <v>30</v>
      </c>
      <c r="N209" s="1" t="s">
        <v>39</v>
      </c>
    </row>
    <row r="210" customFormat="false" ht="15" hidden="false" customHeight="true" outlineLevel="0" collapsed="false">
      <c r="A210" s="1" t="s">
        <v>735</v>
      </c>
      <c r="B210" s="1" t="s">
        <v>736</v>
      </c>
      <c r="C210" s="1" t="s">
        <v>737</v>
      </c>
      <c r="D210" s="1" t="s">
        <v>165</v>
      </c>
      <c r="E210" s="1" t="s">
        <v>52</v>
      </c>
      <c r="F210" s="1" t="s">
        <v>60</v>
      </c>
      <c r="G210" s="23" t="n">
        <v>45791</v>
      </c>
      <c r="H210" s="1" t="n">
        <v>85</v>
      </c>
      <c r="I210" s="24" t="n">
        <v>0</v>
      </c>
      <c r="K210" s="1" t="s">
        <v>64</v>
      </c>
      <c r="L210" s="1" t="s">
        <v>69</v>
      </c>
      <c r="M210" s="1" t="n">
        <v>4</v>
      </c>
      <c r="N210" s="1" t="s">
        <v>39</v>
      </c>
    </row>
    <row r="211" customFormat="false" ht="15" hidden="false" customHeight="true" outlineLevel="0" collapsed="false">
      <c r="A211" s="1" t="s">
        <v>738</v>
      </c>
      <c r="B211" s="1" t="s">
        <v>739</v>
      </c>
      <c r="C211" s="1" t="s">
        <v>740</v>
      </c>
      <c r="D211" s="1" t="s">
        <v>165</v>
      </c>
      <c r="E211" s="1" t="s">
        <v>52</v>
      </c>
      <c r="F211" s="1" t="s">
        <v>57</v>
      </c>
      <c r="G211" s="23" t="n">
        <v>45790</v>
      </c>
      <c r="H211" s="1" t="n">
        <v>135</v>
      </c>
      <c r="I211" s="24" t="n">
        <v>0</v>
      </c>
      <c r="K211" s="1" t="s">
        <v>64</v>
      </c>
      <c r="L211" s="1" t="s">
        <v>70</v>
      </c>
      <c r="M211" s="1" t="n">
        <v>42</v>
      </c>
      <c r="N211" s="1" t="s">
        <v>39</v>
      </c>
    </row>
    <row r="212" customFormat="false" ht="15" hidden="false" customHeight="true" outlineLevel="0" collapsed="false">
      <c r="A212" s="1" t="s">
        <v>741</v>
      </c>
      <c r="B212" s="1" t="s">
        <v>742</v>
      </c>
      <c r="C212" s="1" t="s">
        <v>743</v>
      </c>
      <c r="D212" s="1" t="s">
        <v>165</v>
      </c>
      <c r="E212" s="1" t="s">
        <v>50</v>
      </c>
      <c r="F212" s="1" t="s">
        <v>58</v>
      </c>
      <c r="G212" s="23" t="n">
        <v>45641</v>
      </c>
      <c r="H212" s="1" t="n">
        <v>109</v>
      </c>
      <c r="I212" s="24" t="n">
        <v>0</v>
      </c>
      <c r="K212" s="1" t="s">
        <v>64</v>
      </c>
      <c r="L212" s="1" t="s">
        <v>69</v>
      </c>
      <c r="M212" s="1" t="n">
        <v>15</v>
      </c>
      <c r="N212" s="1" t="s">
        <v>39</v>
      </c>
    </row>
    <row r="213" customFormat="false" ht="15" hidden="false" customHeight="true" outlineLevel="0" collapsed="false">
      <c r="A213" s="1" t="s">
        <v>744</v>
      </c>
      <c r="B213" s="1" t="s">
        <v>745</v>
      </c>
      <c r="C213" s="1" t="s">
        <v>746</v>
      </c>
      <c r="D213" s="1" t="s">
        <v>130</v>
      </c>
      <c r="E213" s="1" t="s">
        <v>51</v>
      </c>
      <c r="F213" s="1" t="s">
        <v>58</v>
      </c>
      <c r="G213" s="23" t="n">
        <v>45790</v>
      </c>
      <c r="H213" s="1" t="n">
        <v>41</v>
      </c>
      <c r="I213" s="24" t="n">
        <v>0</v>
      </c>
      <c r="K213" s="1" t="s">
        <v>64</v>
      </c>
      <c r="L213" s="1" t="s">
        <v>69</v>
      </c>
      <c r="M213" s="1" t="n">
        <v>14</v>
      </c>
      <c r="N213" s="1" t="s">
        <v>39</v>
      </c>
    </row>
    <row r="214" customFormat="false" ht="15" hidden="false" customHeight="true" outlineLevel="0" collapsed="false">
      <c r="A214" s="1" t="s">
        <v>747</v>
      </c>
      <c r="B214" s="1" t="s">
        <v>748</v>
      </c>
      <c r="C214" s="1" t="s">
        <v>749</v>
      </c>
      <c r="D214" s="1" t="s">
        <v>120</v>
      </c>
      <c r="E214" s="1" t="s">
        <v>52</v>
      </c>
      <c r="F214" s="1" t="s">
        <v>60</v>
      </c>
      <c r="G214" s="23" t="n">
        <v>45686</v>
      </c>
      <c r="H214" s="1" t="n">
        <v>47</v>
      </c>
      <c r="I214" s="24" t="n">
        <v>8.61</v>
      </c>
      <c r="J214" s="1" t="s">
        <v>126</v>
      </c>
      <c r="K214" s="1" t="s">
        <v>64</v>
      </c>
      <c r="L214" s="1" t="s">
        <v>70</v>
      </c>
      <c r="M214" s="1" t="n">
        <v>1</v>
      </c>
      <c r="N214" s="1" t="s">
        <v>39</v>
      </c>
    </row>
    <row r="215" customFormat="false" ht="15" hidden="false" customHeight="true" outlineLevel="0" collapsed="false">
      <c r="A215" s="1" t="s">
        <v>750</v>
      </c>
      <c r="B215" s="1" t="s">
        <v>751</v>
      </c>
      <c r="C215" s="1" t="s">
        <v>752</v>
      </c>
      <c r="D215" s="1" t="s">
        <v>116</v>
      </c>
      <c r="E215" s="1" t="s">
        <v>52</v>
      </c>
      <c r="F215" s="1" t="s">
        <v>55</v>
      </c>
      <c r="G215" s="23" t="n">
        <v>45738</v>
      </c>
      <c r="H215" s="1" t="n">
        <v>141</v>
      </c>
      <c r="I215" s="24" t="n">
        <v>0</v>
      </c>
      <c r="K215" s="1" t="s">
        <v>64</v>
      </c>
      <c r="L215" s="1" t="s">
        <v>69</v>
      </c>
      <c r="M215" s="1" t="n">
        <v>17</v>
      </c>
      <c r="N215" s="1" t="s">
        <v>39</v>
      </c>
    </row>
    <row r="216" customFormat="false" ht="15" hidden="false" customHeight="true" outlineLevel="0" collapsed="false">
      <c r="A216" s="1" t="s">
        <v>753</v>
      </c>
      <c r="B216" s="1" t="s">
        <v>754</v>
      </c>
      <c r="C216" s="1" t="s">
        <v>755</v>
      </c>
      <c r="D216" s="1" t="s">
        <v>125</v>
      </c>
      <c r="E216" s="1" t="s">
        <v>50</v>
      </c>
      <c r="F216" s="1" t="s">
        <v>56</v>
      </c>
      <c r="G216" s="23" t="n">
        <v>45722</v>
      </c>
      <c r="H216" s="1" t="n">
        <v>56</v>
      </c>
      <c r="I216" s="24" t="n">
        <v>15.9</v>
      </c>
      <c r="J216" s="1" t="s">
        <v>121</v>
      </c>
      <c r="K216" s="1" t="s">
        <v>66</v>
      </c>
      <c r="L216" s="1" t="s">
        <v>70</v>
      </c>
      <c r="M216" s="1" t="n">
        <v>28</v>
      </c>
      <c r="N216" s="1" t="s">
        <v>39</v>
      </c>
    </row>
    <row r="217" customFormat="false" ht="15" hidden="false" customHeight="true" outlineLevel="0" collapsed="false">
      <c r="A217" s="1" t="s">
        <v>756</v>
      </c>
      <c r="B217" s="1" t="s">
        <v>757</v>
      </c>
      <c r="C217" s="1" t="s">
        <v>758</v>
      </c>
      <c r="D217" s="1" t="s">
        <v>125</v>
      </c>
      <c r="E217" s="1" t="s">
        <v>50</v>
      </c>
      <c r="F217" s="1" t="s">
        <v>60</v>
      </c>
      <c r="G217" s="23" t="n">
        <v>45817</v>
      </c>
      <c r="H217" s="1" t="n">
        <v>93</v>
      </c>
      <c r="I217" s="24" t="n">
        <v>0</v>
      </c>
      <c r="K217" s="1" t="s">
        <v>64</v>
      </c>
      <c r="L217" s="1" t="s">
        <v>69</v>
      </c>
      <c r="M217" s="1" t="n">
        <v>21</v>
      </c>
      <c r="N217" s="1" t="s">
        <v>39</v>
      </c>
    </row>
    <row r="218" customFormat="false" ht="15" hidden="false" customHeight="true" outlineLevel="0" collapsed="false">
      <c r="A218" s="1" t="s">
        <v>759</v>
      </c>
      <c r="B218" s="1" t="s">
        <v>760</v>
      </c>
      <c r="C218" s="1" t="s">
        <v>761</v>
      </c>
      <c r="D218" s="1" t="s">
        <v>130</v>
      </c>
      <c r="E218" s="1" t="s">
        <v>51</v>
      </c>
      <c r="F218" s="1" t="s">
        <v>55</v>
      </c>
      <c r="G218" s="23" t="n">
        <v>45688</v>
      </c>
      <c r="H218" s="1" t="n">
        <v>147</v>
      </c>
      <c r="I218" s="24" t="n">
        <v>0</v>
      </c>
      <c r="K218" s="1" t="s">
        <v>64</v>
      </c>
      <c r="L218" s="1" t="s">
        <v>69</v>
      </c>
      <c r="M218" s="1" t="n">
        <v>48</v>
      </c>
      <c r="N218" s="1" t="s">
        <v>39</v>
      </c>
    </row>
    <row r="219" customFormat="false" ht="15" hidden="false" customHeight="true" outlineLevel="0" collapsed="false">
      <c r="A219" s="1" t="s">
        <v>762</v>
      </c>
      <c r="B219" s="1" t="s">
        <v>763</v>
      </c>
      <c r="C219" s="1" t="s">
        <v>764</v>
      </c>
      <c r="D219" s="1" t="s">
        <v>120</v>
      </c>
      <c r="E219" s="1" t="s">
        <v>52</v>
      </c>
      <c r="F219" s="1" t="s">
        <v>60</v>
      </c>
      <c r="G219" s="23" t="n">
        <v>45688</v>
      </c>
      <c r="H219" s="1" t="n">
        <v>34</v>
      </c>
      <c r="I219" s="24" t="n">
        <v>0</v>
      </c>
      <c r="K219" s="1" t="s">
        <v>64</v>
      </c>
      <c r="L219" s="1" t="s">
        <v>69</v>
      </c>
      <c r="M219" s="1" t="n">
        <v>50</v>
      </c>
      <c r="N219" s="1" t="s">
        <v>39</v>
      </c>
    </row>
    <row r="220" customFormat="false" ht="15" hidden="false" customHeight="true" outlineLevel="0" collapsed="false">
      <c r="A220" s="1" t="s">
        <v>765</v>
      </c>
      <c r="B220" s="1" t="s">
        <v>766</v>
      </c>
      <c r="C220" s="1" t="s">
        <v>767</v>
      </c>
      <c r="D220" s="1" t="s">
        <v>125</v>
      </c>
      <c r="E220" s="1" t="s">
        <v>52</v>
      </c>
      <c r="F220" s="1" t="s">
        <v>58</v>
      </c>
      <c r="G220" s="23" t="n">
        <v>45764</v>
      </c>
      <c r="H220" s="1" t="n">
        <v>51</v>
      </c>
      <c r="I220" s="24" t="n">
        <v>0</v>
      </c>
      <c r="K220" s="1" t="s">
        <v>65</v>
      </c>
      <c r="L220" s="1" t="s">
        <v>69</v>
      </c>
      <c r="M220" s="1" t="n">
        <v>2</v>
      </c>
      <c r="N220" s="1" t="s">
        <v>39</v>
      </c>
    </row>
    <row r="221" customFormat="false" ht="15" hidden="false" customHeight="true" outlineLevel="0" collapsed="false">
      <c r="A221" s="1" t="s">
        <v>768</v>
      </c>
      <c r="B221" s="1" t="s">
        <v>769</v>
      </c>
      <c r="C221" s="1" t="s">
        <v>770</v>
      </c>
      <c r="D221" s="1" t="s">
        <v>130</v>
      </c>
      <c r="E221" s="1" t="s">
        <v>52</v>
      </c>
      <c r="F221" s="1" t="s">
        <v>57</v>
      </c>
      <c r="G221" s="23" t="n">
        <v>45811</v>
      </c>
      <c r="H221" s="1" t="n">
        <v>44</v>
      </c>
      <c r="I221" s="24" t="n">
        <v>0</v>
      </c>
      <c r="K221" s="1" t="s">
        <v>67</v>
      </c>
      <c r="L221" s="1" t="s">
        <v>69</v>
      </c>
      <c r="M221" s="1" t="n">
        <v>27</v>
      </c>
      <c r="N221" s="1" t="s">
        <v>39</v>
      </c>
    </row>
    <row r="222" customFormat="false" ht="15" hidden="false" customHeight="true" outlineLevel="0" collapsed="false">
      <c r="A222" s="1" t="s">
        <v>771</v>
      </c>
      <c r="B222" s="1" t="s">
        <v>772</v>
      </c>
      <c r="C222" s="1" t="s">
        <v>773</v>
      </c>
      <c r="D222" s="1" t="s">
        <v>116</v>
      </c>
      <c r="E222" s="1" t="s">
        <v>50</v>
      </c>
      <c r="F222" s="1" t="s">
        <v>60</v>
      </c>
      <c r="G222" s="23" t="n">
        <v>45642</v>
      </c>
      <c r="H222" s="1" t="n">
        <v>114</v>
      </c>
      <c r="I222" s="24" t="n">
        <v>5.31</v>
      </c>
      <c r="J222" s="1" t="s">
        <v>121</v>
      </c>
      <c r="K222" s="1" t="s">
        <v>64</v>
      </c>
      <c r="L222" s="1" t="s">
        <v>70</v>
      </c>
      <c r="M222" s="1" t="n">
        <v>9</v>
      </c>
      <c r="N222" s="1" t="s">
        <v>39</v>
      </c>
    </row>
    <row r="223" customFormat="false" ht="15" hidden="false" customHeight="true" outlineLevel="0" collapsed="false">
      <c r="A223" s="1" t="s">
        <v>774</v>
      </c>
      <c r="B223" s="1" t="s">
        <v>775</v>
      </c>
      <c r="C223" s="1" t="s">
        <v>776</v>
      </c>
      <c r="D223" s="1" t="s">
        <v>165</v>
      </c>
      <c r="E223" s="1" t="s">
        <v>52</v>
      </c>
      <c r="F223" s="1" t="s">
        <v>55</v>
      </c>
      <c r="G223" s="23" t="n">
        <v>45720</v>
      </c>
      <c r="H223" s="1" t="n">
        <v>154</v>
      </c>
      <c r="I223" s="24" t="n">
        <v>0</v>
      </c>
      <c r="K223" s="1" t="s">
        <v>64</v>
      </c>
      <c r="L223" s="1" t="s">
        <v>69</v>
      </c>
      <c r="M223" s="1" t="n">
        <v>26</v>
      </c>
      <c r="N223" s="1" t="s">
        <v>38</v>
      </c>
    </row>
    <row r="224" customFormat="false" ht="15" hidden="false" customHeight="true" outlineLevel="0" collapsed="false">
      <c r="A224" s="1" t="s">
        <v>777</v>
      </c>
      <c r="B224" s="1" t="s">
        <v>778</v>
      </c>
      <c r="C224" s="1" t="s">
        <v>779</v>
      </c>
      <c r="D224" s="1" t="s">
        <v>130</v>
      </c>
      <c r="E224" s="1" t="s">
        <v>51</v>
      </c>
      <c r="F224" s="1" t="s">
        <v>55</v>
      </c>
      <c r="G224" s="23" t="n">
        <v>45775</v>
      </c>
      <c r="H224" s="1" t="n">
        <v>105</v>
      </c>
      <c r="I224" s="24" t="n">
        <v>0</v>
      </c>
      <c r="K224" s="1" t="s">
        <v>64</v>
      </c>
      <c r="L224" s="1" t="s">
        <v>69</v>
      </c>
      <c r="M224" s="1" t="n">
        <v>38</v>
      </c>
      <c r="N224" s="1" t="s">
        <v>39</v>
      </c>
    </row>
    <row r="225" customFormat="false" ht="15" hidden="false" customHeight="true" outlineLevel="0" collapsed="false">
      <c r="A225" s="1" t="s">
        <v>780</v>
      </c>
      <c r="B225" s="1" t="s">
        <v>781</v>
      </c>
      <c r="C225" s="1" t="s">
        <v>782</v>
      </c>
      <c r="D225" s="1" t="s">
        <v>125</v>
      </c>
      <c r="E225" s="1" t="s">
        <v>51</v>
      </c>
      <c r="F225" s="1" t="s">
        <v>56</v>
      </c>
      <c r="G225" s="23" t="n">
        <v>45683</v>
      </c>
      <c r="H225" s="1" t="n">
        <v>80</v>
      </c>
      <c r="I225" s="24" t="n">
        <v>0</v>
      </c>
      <c r="K225" s="1" t="s">
        <v>66</v>
      </c>
      <c r="L225" s="1" t="s">
        <v>69</v>
      </c>
      <c r="M225" s="1" t="n">
        <v>39</v>
      </c>
      <c r="N225" s="1" t="s">
        <v>39</v>
      </c>
    </row>
    <row r="226" customFormat="false" ht="15" hidden="false" customHeight="true" outlineLevel="0" collapsed="false">
      <c r="A226" s="1" t="s">
        <v>783</v>
      </c>
      <c r="B226" s="1" t="s">
        <v>784</v>
      </c>
      <c r="C226" s="1" t="s">
        <v>785</v>
      </c>
      <c r="D226" s="1" t="s">
        <v>125</v>
      </c>
      <c r="E226" s="1" t="s">
        <v>51</v>
      </c>
      <c r="F226" s="1" t="s">
        <v>56</v>
      </c>
      <c r="G226" s="23" t="n">
        <v>45756</v>
      </c>
      <c r="H226" s="1" t="n">
        <v>92</v>
      </c>
      <c r="I226" s="24" t="n">
        <v>0</v>
      </c>
      <c r="K226" s="1" t="s">
        <v>64</v>
      </c>
      <c r="L226" s="1" t="s">
        <v>69</v>
      </c>
      <c r="M226" s="1" t="n">
        <v>11</v>
      </c>
      <c r="N226" s="1" t="s">
        <v>39</v>
      </c>
    </row>
    <row r="227" customFormat="false" ht="15" hidden="false" customHeight="true" outlineLevel="0" collapsed="false">
      <c r="A227" s="1" t="s">
        <v>786</v>
      </c>
      <c r="B227" s="1" t="s">
        <v>787</v>
      </c>
      <c r="C227" s="1" t="s">
        <v>788</v>
      </c>
      <c r="D227" s="1" t="s">
        <v>130</v>
      </c>
      <c r="E227" s="1" t="s">
        <v>50</v>
      </c>
      <c r="F227" s="1" t="s">
        <v>55</v>
      </c>
      <c r="G227" s="23" t="n">
        <v>45683</v>
      </c>
      <c r="H227" s="1" t="n">
        <v>113</v>
      </c>
      <c r="I227" s="24" t="n">
        <v>0</v>
      </c>
      <c r="K227" s="1" t="s">
        <v>64</v>
      </c>
      <c r="L227" s="1" t="s">
        <v>69</v>
      </c>
      <c r="M227" s="1" t="n">
        <v>46</v>
      </c>
      <c r="N227" s="1" t="s">
        <v>39</v>
      </c>
    </row>
    <row r="228" customFormat="false" ht="15" hidden="false" customHeight="true" outlineLevel="0" collapsed="false">
      <c r="A228" s="1" t="s">
        <v>789</v>
      </c>
      <c r="B228" s="1" t="s">
        <v>790</v>
      </c>
      <c r="C228" s="1" t="s">
        <v>791</v>
      </c>
      <c r="D228" s="1" t="s">
        <v>125</v>
      </c>
      <c r="E228" s="1" t="s">
        <v>50</v>
      </c>
      <c r="F228" s="1" t="s">
        <v>56</v>
      </c>
      <c r="G228" s="23" t="n">
        <v>45663</v>
      </c>
      <c r="H228" s="1" t="n">
        <v>117</v>
      </c>
      <c r="I228" s="24" t="n">
        <v>23.32</v>
      </c>
      <c r="J228" s="1" t="s">
        <v>121</v>
      </c>
      <c r="K228" s="1" t="s">
        <v>64</v>
      </c>
      <c r="L228" s="1" t="s">
        <v>70</v>
      </c>
      <c r="M228" s="1" t="n">
        <v>11</v>
      </c>
      <c r="N228" s="1" t="s">
        <v>39</v>
      </c>
    </row>
    <row r="229" customFormat="false" ht="15" hidden="false" customHeight="true" outlineLevel="0" collapsed="false">
      <c r="A229" s="1" t="s">
        <v>792</v>
      </c>
      <c r="B229" s="1" t="s">
        <v>793</v>
      </c>
      <c r="C229" s="1" t="s">
        <v>794</v>
      </c>
      <c r="D229" s="1" t="s">
        <v>116</v>
      </c>
      <c r="E229" s="1" t="s">
        <v>52</v>
      </c>
      <c r="F229" s="1" t="s">
        <v>60</v>
      </c>
      <c r="G229" s="23" t="n">
        <v>45688</v>
      </c>
      <c r="H229" s="1" t="n">
        <v>71</v>
      </c>
      <c r="I229" s="24" t="n">
        <v>0</v>
      </c>
      <c r="K229" s="1" t="s">
        <v>64</v>
      </c>
      <c r="L229" s="1" t="s">
        <v>69</v>
      </c>
      <c r="M229" s="1" t="n">
        <v>37</v>
      </c>
      <c r="N229" s="1" t="s">
        <v>39</v>
      </c>
    </row>
    <row r="230" customFormat="false" ht="15" hidden="false" customHeight="true" outlineLevel="0" collapsed="false">
      <c r="A230" s="1" t="s">
        <v>795</v>
      </c>
      <c r="B230" s="1" t="s">
        <v>796</v>
      </c>
      <c r="C230" s="1" t="s">
        <v>797</v>
      </c>
      <c r="D230" s="1" t="s">
        <v>165</v>
      </c>
      <c r="E230" s="1" t="s">
        <v>50</v>
      </c>
      <c r="F230" s="1" t="s">
        <v>59</v>
      </c>
      <c r="G230" s="23" t="n">
        <v>45680</v>
      </c>
      <c r="H230" s="1" t="n">
        <v>132</v>
      </c>
      <c r="I230" s="24" t="n">
        <v>0</v>
      </c>
      <c r="K230" s="1" t="s">
        <v>64</v>
      </c>
      <c r="L230" s="1" t="s">
        <v>70</v>
      </c>
      <c r="M230" s="1" t="n">
        <v>50</v>
      </c>
      <c r="N230" s="1" t="s">
        <v>39</v>
      </c>
    </row>
    <row r="231" customFormat="false" ht="15" hidden="false" customHeight="true" outlineLevel="0" collapsed="false">
      <c r="A231" s="1" t="s">
        <v>798</v>
      </c>
      <c r="B231" s="1" t="s">
        <v>799</v>
      </c>
      <c r="C231" s="1" t="s">
        <v>800</v>
      </c>
      <c r="D231" s="1" t="s">
        <v>116</v>
      </c>
      <c r="E231" s="1" t="s">
        <v>50</v>
      </c>
      <c r="F231" s="1" t="s">
        <v>59</v>
      </c>
      <c r="G231" s="23" t="n">
        <v>45779</v>
      </c>
      <c r="H231" s="1" t="n">
        <v>30</v>
      </c>
      <c r="I231" s="24" t="n">
        <v>0</v>
      </c>
      <c r="K231" s="1" t="s">
        <v>64</v>
      </c>
      <c r="L231" s="1" t="s">
        <v>69</v>
      </c>
      <c r="M231" s="1" t="n">
        <v>20</v>
      </c>
      <c r="N231" s="1" t="s">
        <v>39</v>
      </c>
    </row>
    <row r="232" customFormat="false" ht="15" hidden="false" customHeight="true" outlineLevel="0" collapsed="false">
      <c r="A232" s="1" t="s">
        <v>801</v>
      </c>
      <c r="B232" s="1" t="s">
        <v>802</v>
      </c>
      <c r="C232" s="1" t="s">
        <v>803</v>
      </c>
      <c r="D232" s="1" t="s">
        <v>165</v>
      </c>
      <c r="E232" s="1" t="s">
        <v>52</v>
      </c>
      <c r="F232" s="1" t="s">
        <v>55</v>
      </c>
      <c r="G232" s="23" t="n">
        <v>45804</v>
      </c>
      <c r="H232" s="1" t="n">
        <v>48</v>
      </c>
      <c r="I232" s="24" t="n">
        <v>0</v>
      </c>
      <c r="K232" s="1" t="s">
        <v>66</v>
      </c>
      <c r="L232" s="1" t="s">
        <v>69</v>
      </c>
      <c r="M232" s="1" t="n">
        <v>36</v>
      </c>
      <c r="N232" s="1" t="s">
        <v>39</v>
      </c>
    </row>
    <row r="233" customFormat="false" ht="15" hidden="false" customHeight="true" outlineLevel="0" collapsed="false">
      <c r="A233" s="1" t="s">
        <v>804</v>
      </c>
      <c r="B233" s="1" t="s">
        <v>805</v>
      </c>
      <c r="C233" s="1" t="s">
        <v>806</v>
      </c>
      <c r="D233" s="1" t="s">
        <v>125</v>
      </c>
      <c r="E233" s="1" t="s">
        <v>51</v>
      </c>
      <c r="F233" s="1" t="s">
        <v>55</v>
      </c>
      <c r="G233" s="23" t="n">
        <v>45795</v>
      </c>
      <c r="H233" s="1" t="n">
        <v>98</v>
      </c>
      <c r="I233" s="24" t="n">
        <v>27.66</v>
      </c>
      <c r="J233" s="1" t="s">
        <v>121</v>
      </c>
      <c r="K233" s="1" t="s">
        <v>64</v>
      </c>
      <c r="L233" s="1" t="s">
        <v>70</v>
      </c>
      <c r="M233" s="1" t="n">
        <v>27</v>
      </c>
      <c r="N233" s="1" t="s">
        <v>39</v>
      </c>
    </row>
    <row r="234" customFormat="false" ht="15" hidden="false" customHeight="true" outlineLevel="0" collapsed="false">
      <c r="A234" s="1" t="s">
        <v>807</v>
      </c>
      <c r="B234" s="1" t="s">
        <v>808</v>
      </c>
      <c r="C234" s="1" t="s">
        <v>809</v>
      </c>
      <c r="D234" s="1" t="s">
        <v>120</v>
      </c>
      <c r="E234" s="1" t="s">
        <v>50</v>
      </c>
      <c r="F234" s="1" t="s">
        <v>57</v>
      </c>
      <c r="G234" s="23" t="n">
        <v>45693</v>
      </c>
      <c r="H234" s="1" t="n">
        <v>23</v>
      </c>
      <c r="I234" s="24" t="n">
        <v>24.09</v>
      </c>
      <c r="J234" s="1" t="s">
        <v>241</v>
      </c>
      <c r="K234" s="1" t="s">
        <v>67</v>
      </c>
      <c r="L234" s="1" t="s">
        <v>70</v>
      </c>
      <c r="M234" s="1" t="n">
        <v>23</v>
      </c>
      <c r="N234" s="1" t="s">
        <v>39</v>
      </c>
    </row>
    <row r="235" customFormat="false" ht="15" hidden="false" customHeight="true" outlineLevel="0" collapsed="false">
      <c r="A235" s="1" t="s">
        <v>810</v>
      </c>
      <c r="B235" s="1" t="s">
        <v>811</v>
      </c>
      <c r="C235" s="1" t="s">
        <v>812</v>
      </c>
      <c r="D235" s="1" t="s">
        <v>120</v>
      </c>
      <c r="E235" s="1" t="s">
        <v>52</v>
      </c>
      <c r="F235" s="1" t="s">
        <v>60</v>
      </c>
      <c r="G235" s="23" t="n">
        <v>45786</v>
      </c>
      <c r="H235" s="1" t="n">
        <v>146</v>
      </c>
      <c r="I235" s="24" t="n">
        <v>43.02</v>
      </c>
      <c r="J235" s="1" t="s">
        <v>241</v>
      </c>
      <c r="K235" s="1" t="s">
        <v>64</v>
      </c>
      <c r="L235" s="1" t="s">
        <v>70</v>
      </c>
      <c r="M235" s="1" t="n">
        <v>24</v>
      </c>
      <c r="N235" s="1" t="s">
        <v>38</v>
      </c>
    </row>
    <row r="236" customFormat="false" ht="15" hidden="false" customHeight="true" outlineLevel="0" collapsed="false">
      <c r="A236" s="1" t="s">
        <v>813</v>
      </c>
      <c r="B236" s="1" t="s">
        <v>814</v>
      </c>
      <c r="C236" s="1" t="s">
        <v>815</v>
      </c>
      <c r="D236" s="1" t="s">
        <v>125</v>
      </c>
      <c r="E236" s="1" t="s">
        <v>51</v>
      </c>
      <c r="F236" s="1" t="s">
        <v>58</v>
      </c>
      <c r="G236" s="23" t="n">
        <v>45757</v>
      </c>
      <c r="H236" s="1" t="n">
        <v>55</v>
      </c>
      <c r="I236" s="24" t="n">
        <v>0</v>
      </c>
      <c r="K236" s="1" t="s">
        <v>64</v>
      </c>
      <c r="L236" s="1" t="s">
        <v>69</v>
      </c>
      <c r="M236" s="1" t="n">
        <v>20</v>
      </c>
      <c r="N236" s="1" t="s">
        <v>39</v>
      </c>
    </row>
    <row r="237" customFormat="false" ht="15" hidden="false" customHeight="true" outlineLevel="0" collapsed="false">
      <c r="A237" s="1" t="s">
        <v>816</v>
      </c>
      <c r="B237" s="1" t="s">
        <v>817</v>
      </c>
      <c r="C237" s="1" t="s">
        <v>818</v>
      </c>
      <c r="D237" s="1" t="s">
        <v>120</v>
      </c>
      <c r="E237" s="1" t="s">
        <v>50</v>
      </c>
      <c r="F237" s="1" t="s">
        <v>57</v>
      </c>
      <c r="G237" s="23" t="n">
        <v>45652</v>
      </c>
      <c r="H237" s="1" t="n">
        <v>154</v>
      </c>
      <c r="I237" s="24" t="n">
        <v>0</v>
      </c>
      <c r="K237" s="1" t="s">
        <v>64</v>
      </c>
      <c r="L237" s="1" t="s">
        <v>69</v>
      </c>
      <c r="M237" s="1" t="n">
        <v>22</v>
      </c>
      <c r="N237" s="1" t="s">
        <v>38</v>
      </c>
    </row>
    <row r="238" customFormat="false" ht="15" hidden="false" customHeight="true" outlineLevel="0" collapsed="false">
      <c r="A238" s="1" t="s">
        <v>819</v>
      </c>
      <c r="B238" s="1" t="s">
        <v>820</v>
      </c>
      <c r="C238" s="1" t="s">
        <v>821</v>
      </c>
      <c r="D238" s="1" t="s">
        <v>116</v>
      </c>
      <c r="E238" s="1" t="s">
        <v>51</v>
      </c>
      <c r="F238" s="1" t="s">
        <v>60</v>
      </c>
      <c r="G238" s="23" t="n">
        <v>45764</v>
      </c>
      <c r="H238" s="1" t="n">
        <v>163</v>
      </c>
      <c r="I238" s="24" t="n">
        <v>0</v>
      </c>
      <c r="K238" s="1" t="s">
        <v>64</v>
      </c>
      <c r="L238" s="1" t="s">
        <v>69</v>
      </c>
      <c r="M238" s="1" t="n">
        <v>46</v>
      </c>
      <c r="N238" s="1" t="s">
        <v>38</v>
      </c>
    </row>
    <row r="239" customFormat="false" ht="15" hidden="false" customHeight="true" outlineLevel="0" collapsed="false">
      <c r="A239" s="1" t="s">
        <v>822</v>
      </c>
      <c r="B239" s="1" t="s">
        <v>823</v>
      </c>
      <c r="C239" s="1" t="s">
        <v>824</v>
      </c>
      <c r="D239" s="1" t="s">
        <v>125</v>
      </c>
      <c r="E239" s="1" t="s">
        <v>51</v>
      </c>
      <c r="F239" s="1" t="s">
        <v>58</v>
      </c>
      <c r="G239" s="23" t="n">
        <v>45759</v>
      </c>
      <c r="H239" s="1" t="n">
        <v>59</v>
      </c>
      <c r="I239" s="24" t="n">
        <v>0</v>
      </c>
      <c r="K239" s="1" t="s">
        <v>65</v>
      </c>
      <c r="L239" s="1" t="s">
        <v>69</v>
      </c>
      <c r="M239" s="1" t="n">
        <v>5</v>
      </c>
      <c r="N239" s="1" t="s">
        <v>39</v>
      </c>
    </row>
    <row r="240" customFormat="false" ht="15" hidden="false" customHeight="true" outlineLevel="0" collapsed="false">
      <c r="A240" s="1" t="s">
        <v>825</v>
      </c>
      <c r="B240" s="1" t="s">
        <v>826</v>
      </c>
      <c r="C240" s="1" t="s">
        <v>827</v>
      </c>
      <c r="D240" s="1" t="s">
        <v>125</v>
      </c>
      <c r="E240" s="1" t="s">
        <v>51</v>
      </c>
      <c r="F240" s="1" t="s">
        <v>58</v>
      </c>
      <c r="G240" s="23" t="n">
        <v>45703</v>
      </c>
      <c r="H240" s="1" t="n">
        <v>26</v>
      </c>
      <c r="I240" s="24" t="n">
        <v>11.67</v>
      </c>
      <c r="J240" s="1" t="s">
        <v>121</v>
      </c>
      <c r="K240" s="1" t="s">
        <v>64</v>
      </c>
      <c r="L240" s="1" t="s">
        <v>70</v>
      </c>
      <c r="M240" s="1" t="n">
        <v>49</v>
      </c>
      <c r="N240" s="1" t="s">
        <v>39</v>
      </c>
    </row>
    <row r="241" customFormat="false" ht="15" hidden="false" customHeight="true" outlineLevel="0" collapsed="false">
      <c r="A241" s="1" t="s">
        <v>828</v>
      </c>
      <c r="B241" s="1" t="s">
        <v>829</v>
      </c>
      <c r="C241" s="1" t="s">
        <v>830</v>
      </c>
      <c r="D241" s="1" t="s">
        <v>130</v>
      </c>
      <c r="E241" s="1" t="s">
        <v>50</v>
      </c>
      <c r="F241" s="1" t="s">
        <v>57</v>
      </c>
      <c r="G241" s="23" t="n">
        <v>45715</v>
      </c>
      <c r="H241" s="1" t="n">
        <v>117</v>
      </c>
      <c r="I241" s="24" t="n">
        <v>0</v>
      </c>
      <c r="K241" s="1" t="s">
        <v>66</v>
      </c>
      <c r="L241" s="1" t="s">
        <v>69</v>
      </c>
      <c r="M241" s="1" t="n">
        <v>21</v>
      </c>
      <c r="N241" s="1" t="s">
        <v>39</v>
      </c>
    </row>
    <row r="242" customFormat="false" ht="15" hidden="false" customHeight="true" outlineLevel="0" collapsed="false">
      <c r="A242" s="1" t="s">
        <v>831</v>
      </c>
      <c r="B242" s="1" t="s">
        <v>832</v>
      </c>
      <c r="C242" s="1" t="s">
        <v>833</v>
      </c>
      <c r="D242" s="1" t="s">
        <v>125</v>
      </c>
      <c r="E242" s="1" t="s">
        <v>50</v>
      </c>
      <c r="F242" s="1" t="s">
        <v>59</v>
      </c>
      <c r="G242" s="23" t="n">
        <v>45684</v>
      </c>
      <c r="H242" s="1" t="n">
        <v>112</v>
      </c>
      <c r="I242" s="24" t="n">
        <v>2.26</v>
      </c>
      <c r="J242" s="1" t="s">
        <v>126</v>
      </c>
      <c r="K242" s="1" t="s">
        <v>64</v>
      </c>
      <c r="L242" s="1" t="s">
        <v>70</v>
      </c>
      <c r="M242" s="1" t="n">
        <v>22</v>
      </c>
      <c r="N242" s="1" t="s">
        <v>39</v>
      </c>
    </row>
    <row r="243" customFormat="false" ht="15" hidden="false" customHeight="true" outlineLevel="0" collapsed="false">
      <c r="A243" s="1" t="s">
        <v>834</v>
      </c>
      <c r="B243" s="1" t="s">
        <v>835</v>
      </c>
      <c r="C243" s="1" t="s">
        <v>836</v>
      </c>
      <c r="D243" s="1" t="s">
        <v>125</v>
      </c>
      <c r="E243" s="1" t="s">
        <v>52</v>
      </c>
      <c r="F243" s="1" t="s">
        <v>56</v>
      </c>
      <c r="G243" s="23" t="n">
        <v>45749</v>
      </c>
      <c r="H243" s="1" t="n">
        <v>116</v>
      </c>
      <c r="I243" s="24" t="n">
        <v>0</v>
      </c>
      <c r="K243" s="1" t="s">
        <v>67</v>
      </c>
      <c r="L243" s="1" t="s">
        <v>70</v>
      </c>
      <c r="M243" s="1" t="n">
        <v>11</v>
      </c>
      <c r="N243" s="1" t="s">
        <v>39</v>
      </c>
    </row>
    <row r="244" customFormat="false" ht="15" hidden="false" customHeight="true" outlineLevel="0" collapsed="false">
      <c r="A244" s="1" t="s">
        <v>837</v>
      </c>
      <c r="B244" s="1" t="s">
        <v>838</v>
      </c>
      <c r="C244" s="1" t="s">
        <v>839</v>
      </c>
      <c r="D244" s="1" t="s">
        <v>130</v>
      </c>
      <c r="E244" s="1" t="s">
        <v>52</v>
      </c>
      <c r="F244" s="1" t="s">
        <v>59</v>
      </c>
      <c r="G244" s="23" t="n">
        <v>45764</v>
      </c>
      <c r="H244" s="1" t="n">
        <v>8</v>
      </c>
      <c r="I244" s="24" t="n">
        <v>36.39</v>
      </c>
      <c r="J244" s="1" t="s">
        <v>121</v>
      </c>
      <c r="K244" s="1" t="s">
        <v>64</v>
      </c>
      <c r="L244" s="1" t="s">
        <v>70</v>
      </c>
      <c r="M244" s="1" t="n">
        <v>22</v>
      </c>
      <c r="N244" s="1" t="s">
        <v>39</v>
      </c>
    </row>
    <row r="245" customFormat="false" ht="15" hidden="false" customHeight="true" outlineLevel="0" collapsed="false">
      <c r="A245" s="1" t="s">
        <v>840</v>
      </c>
      <c r="B245" s="1" t="s">
        <v>841</v>
      </c>
      <c r="C245" s="1" t="s">
        <v>842</v>
      </c>
      <c r="D245" s="1" t="s">
        <v>120</v>
      </c>
      <c r="E245" s="1" t="s">
        <v>52</v>
      </c>
      <c r="F245" s="1" t="s">
        <v>58</v>
      </c>
      <c r="G245" s="23" t="n">
        <v>45660</v>
      </c>
      <c r="H245" s="1" t="n">
        <v>115</v>
      </c>
      <c r="I245" s="24" t="n">
        <v>0</v>
      </c>
      <c r="K245" s="1" t="s">
        <v>64</v>
      </c>
      <c r="L245" s="1" t="s">
        <v>69</v>
      </c>
      <c r="M245" s="1" t="n">
        <v>18</v>
      </c>
      <c r="N245" s="1" t="s">
        <v>39</v>
      </c>
    </row>
    <row r="246" customFormat="false" ht="15" hidden="false" customHeight="true" outlineLevel="0" collapsed="false">
      <c r="A246" s="1" t="s">
        <v>843</v>
      </c>
      <c r="B246" s="1" t="s">
        <v>844</v>
      </c>
      <c r="C246" s="1" t="s">
        <v>845</v>
      </c>
      <c r="D246" s="1" t="s">
        <v>116</v>
      </c>
      <c r="E246" s="1" t="s">
        <v>50</v>
      </c>
      <c r="F246" s="1" t="s">
        <v>57</v>
      </c>
      <c r="G246" s="23" t="n">
        <v>45803</v>
      </c>
      <c r="H246" s="1" t="n">
        <v>144</v>
      </c>
      <c r="I246" s="24" t="n">
        <v>0</v>
      </c>
      <c r="K246" s="1" t="s">
        <v>66</v>
      </c>
      <c r="L246" s="1" t="s">
        <v>69</v>
      </c>
      <c r="M246" s="1" t="n">
        <v>18</v>
      </c>
      <c r="N246" s="1" t="s">
        <v>39</v>
      </c>
    </row>
    <row r="247" customFormat="false" ht="15" hidden="false" customHeight="true" outlineLevel="0" collapsed="false">
      <c r="A247" s="1" t="s">
        <v>846</v>
      </c>
      <c r="B247" s="1" t="s">
        <v>847</v>
      </c>
      <c r="C247" s="1" t="s">
        <v>848</v>
      </c>
      <c r="D247" s="1" t="s">
        <v>165</v>
      </c>
      <c r="E247" s="1" t="s">
        <v>52</v>
      </c>
      <c r="F247" s="1" t="s">
        <v>58</v>
      </c>
      <c r="G247" s="23" t="n">
        <v>45749</v>
      </c>
      <c r="H247" s="1" t="n">
        <v>175</v>
      </c>
      <c r="I247" s="24" t="n">
        <v>7.47</v>
      </c>
      <c r="J247" s="1" t="s">
        <v>241</v>
      </c>
      <c r="K247" s="1" t="s">
        <v>64</v>
      </c>
      <c r="L247" s="1" t="s">
        <v>70</v>
      </c>
      <c r="M247" s="1" t="n">
        <v>17</v>
      </c>
      <c r="N247" s="1" t="s">
        <v>38</v>
      </c>
    </row>
    <row r="248" customFormat="false" ht="15" hidden="false" customHeight="true" outlineLevel="0" collapsed="false">
      <c r="A248" s="1" t="s">
        <v>849</v>
      </c>
      <c r="B248" s="1" t="s">
        <v>850</v>
      </c>
      <c r="C248" s="1" t="s">
        <v>851</v>
      </c>
      <c r="D248" s="1" t="s">
        <v>125</v>
      </c>
      <c r="E248" s="1" t="s">
        <v>50</v>
      </c>
      <c r="F248" s="1" t="s">
        <v>55</v>
      </c>
      <c r="G248" s="23" t="n">
        <v>45675</v>
      </c>
      <c r="H248" s="1" t="n">
        <v>142</v>
      </c>
      <c r="I248" s="24" t="n">
        <v>0</v>
      </c>
      <c r="K248" s="1" t="s">
        <v>64</v>
      </c>
      <c r="L248" s="1" t="s">
        <v>69</v>
      </c>
      <c r="M248" s="1" t="n">
        <v>11</v>
      </c>
      <c r="N248" s="1" t="s">
        <v>39</v>
      </c>
    </row>
    <row r="249" customFormat="false" ht="15" hidden="false" customHeight="true" outlineLevel="0" collapsed="false">
      <c r="A249" s="1" t="s">
        <v>852</v>
      </c>
      <c r="B249" s="1" t="s">
        <v>853</v>
      </c>
      <c r="C249" s="1" t="s">
        <v>854</v>
      </c>
      <c r="D249" s="1" t="s">
        <v>116</v>
      </c>
      <c r="E249" s="1" t="s">
        <v>52</v>
      </c>
      <c r="F249" s="1" t="s">
        <v>55</v>
      </c>
      <c r="G249" s="23" t="n">
        <v>45675</v>
      </c>
      <c r="H249" s="1" t="n">
        <v>154</v>
      </c>
      <c r="I249" s="24" t="n">
        <v>0</v>
      </c>
      <c r="K249" s="1" t="s">
        <v>64</v>
      </c>
      <c r="L249" s="1" t="s">
        <v>69</v>
      </c>
      <c r="M249" s="1" t="n">
        <v>8</v>
      </c>
      <c r="N249" s="1" t="s">
        <v>38</v>
      </c>
    </row>
    <row r="250" customFormat="false" ht="15" hidden="false" customHeight="true" outlineLevel="0" collapsed="false">
      <c r="A250" s="1" t="s">
        <v>855</v>
      </c>
      <c r="B250" s="1" t="s">
        <v>856</v>
      </c>
      <c r="C250" s="1" t="s">
        <v>857</v>
      </c>
      <c r="D250" s="1" t="s">
        <v>125</v>
      </c>
      <c r="E250" s="1" t="s">
        <v>50</v>
      </c>
      <c r="F250" s="1" t="s">
        <v>60</v>
      </c>
      <c r="G250" s="23" t="n">
        <v>45680</v>
      </c>
      <c r="H250" s="1" t="n">
        <v>33</v>
      </c>
      <c r="I250" s="24" t="n">
        <v>0</v>
      </c>
      <c r="K250" s="1" t="s">
        <v>64</v>
      </c>
      <c r="L250" s="1" t="s">
        <v>69</v>
      </c>
      <c r="M250" s="1" t="n">
        <v>9</v>
      </c>
      <c r="N250" s="1" t="s">
        <v>39</v>
      </c>
    </row>
    <row r="251" customFormat="false" ht="15" hidden="false" customHeight="true" outlineLevel="0" collapsed="false">
      <c r="A251" s="1" t="s">
        <v>858</v>
      </c>
      <c r="B251" s="1" t="s">
        <v>859</v>
      </c>
      <c r="C251" s="1" t="s">
        <v>860</v>
      </c>
      <c r="D251" s="1" t="s">
        <v>125</v>
      </c>
      <c r="E251" s="1" t="s">
        <v>50</v>
      </c>
      <c r="F251" s="1" t="s">
        <v>60</v>
      </c>
      <c r="G251" s="23" t="n">
        <v>45772</v>
      </c>
      <c r="H251" s="1" t="n">
        <v>91</v>
      </c>
      <c r="I251" s="24" t="n">
        <v>0</v>
      </c>
      <c r="K251" s="1" t="s">
        <v>66</v>
      </c>
      <c r="L251" s="1" t="s">
        <v>69</v>
      </c>
      <c r="M251" s="1" t="n">
        <v>44</v>
      </c>
      <c r="N251" s="1" t="s">
        <v>39</v>
      </c>
    </row>
    <row r="252" customFormat="false" ht="15" hidden="false" customHeight="true" outlineLevel="0" collapsed="false">
      <c r="A252" s="1" t="s">
        <v>861</v>
      </c>
      <c r="B252" s="1" t="s">
        <v>862</v>
      </c>
      <c r="C252" s="1" t="s">
        <v>863</v>
      </c>
      <c r="D252" s="1" t="s">
        <v>130</v>
      </c>
      <c r="E252" s="1" t="s">
        <v>51</v>
      </c>
      <c r="F252" s="1" t="s">
        <v>60</v>
      </c>
      <c r="G252" s="23" t="n">
        <v>45684</v>
      </c>
      <c r="H252" s="1" t="n">
        <v>36</v>
      </c>
      <c r="I252" s="24" t="n">
        <v>0</v>
      </c>
      <c r="K252" s="1" t="s">
        <v>64</v>
      </c>
      <c r="L252" s="1" t="s">
        <v>69</v>
      </c>
      <c r="M252" s="1" t="n">
        <v>36</v>
      </c>
      <c r="N252" s="1" t="s">
        <v>39</v>
      </c>
    </row>
    <row r="253" customFormat="false" ht="15" hidden="false" customHeight="true" outlineLevel="0" collapsed="false">
      <c r="A253" s="1" t="s">
        <v>864</v>
      </c>
      <c r="B253" s="1" t="s">
        <v>865</v>
      </c>
      <c r="C253" s="1" t="s">
        <v>866</v>
      </c>
      <c r="D253" s="1" t="s">
        <v>116</v>
      </c>
      <c r="E253" s="1" t="s">
        <v>50</v>
      </c>
      <c r="F253" s="1" t="s">
        <v>58</v>
      </c>
      <c r="G253" s="23" t="n">
        <v>45703</v>
      </c>
      <c r="H253" s="1" t="n">
        <v>66</v>
      </c>
      <c r="I253" s="24" t="n">
        <v>0</v>
      </c>
      <c r="K253" s="1" t="s">
        <v>67</v>
      </c>
      <c r="L253" s="1" t="s">
        <v>70</v>
      </c>
      <c r="M253" s="1" t="n">
        <v>38</v>
      </c>
      <c r="N253" s="1" t="s">
        <v>39</v>
      </c>
    </row>
    <row r="254" customFormat="false" ht="15" hidden="false" customHeight="true" outlineLevel="0" collapsed="false">
      <c r="A254" s="1" t="s">
        <v>867</v>
      </c>
      <c r="B254" s="1" t="s">
        <v>868</v>
      </c>
      <c r="C254" s="1" t="s">
        <v>869</v>
      </c>
      <c r="D254" s="1" t="s">
        <v>116</v>
      </c>
      <c r="E254" s="1" t="s">
        <v>52</v>
      </c>
      <c r="F254" s="1" t="s">
        <v>58</v>
      </c>
      <c r="G254" s="23" t="n">
        <v>45691</v>
      </c>
      <c r="H254" s="1" t="n">
        <v>38</v>
      </c>
      <c r="I254" s="24" t="n">
        <v>30.6</v>
      </c>
      <c r="J254" s="1" t="s">
        <v>126</v>
      </c>
      <c r="K254" s="1" t="s">
        <v>64</v>
      </c>
      <c r="L254" s="1" t="s">
        <v>70</v>
      </c>
      <c r="M254" s="1" t="n">
        <v>27</v>
      </c>
      <c r="N254" s="1" t="s">
        <v>39</v>
      </c>
    </row>
    <row r="255" customFormat="false" ht="15" hidden="false" customHeight="true" outlineLevel="0" collapsed="false">
      <c r="A255" s="1" t="s">
        <v>870</v>
      </c>
      <c r="B255" s="1" t="s">
        <v>871</v>
      </c>
      <c r="C255" s="1" t="s">
        <v>872</v>
      </c>
      <c r="D255" s="1" t="s">
        <v>165</v>
      </c>
      <c r="E255" s="1" t="s">
        <v>52</v>
      </c>
      <c r="F255" s="1" t="s">
        <v>57</v>
      </c>
      <c r="G255" s="23" t="n">
        <v>45639</v>
      </c>
      <c r="H255" s="1" t="n">
        <v>177</v>
      </c>
      <c r="I255" s="24" t="n">
        <v>0</v>
      </c>
      <c r="K255" s="1" t="s">
        <v>64</v>
      </c>
      <c r="L255" s="1" t="s">
        <v>69</v>
      </c>
      <c r="M255" s="1" t="n">
        <v>25</v>
      </c>
      <c r="N255" s="1" t="s">
        <v>38</v>
      </c>
    </row>
    <row r="256" customFormat="false" ht="15" hidden="false" customHeight="true" outlineLevel="0" collapsed="false">
      <c r="A256" s="1" t="s">
        <v>873</v>
      </c>
      <c r="B256" s="1" t="s">
        <v>874</v>
      </c>
      <c r="C256" s="1" t="s">
        <v>875</v>
      </c>
      <c r="D256" s="1" t="s">
        <v>165</v>
      </c>
      <c r="E256" s="1" t="s">
        <v>50</v>
      </c>
      <c r="F256" s="1" t="s">
        <v>60</v>
      </c>
      <c r="G256" s="23" t="n">
        <v>45639</v>
      </c>
      <c r="H256" s="1" t="n">
        <v>133</v>
      </c>
      <c r="I256" s="24" t="n">
        <v>8.05</v>
      </c>
      <c r="J256" s="1" t="s">
        <v>241</v>
      </c>
      <c r="K256" s="1" t="s">
        <v>64</v>
      </c>
      <c r="L256" s="1" t="s">
        <v>70</v>
      </c>
      <c r="M256" s="1" t="n">
        <v>35</v>
      </c>
      <c r="N256" s="1" t="s">
        <v>39</v>
      </c>
    </row>
    <row r="257" customFormat="false" ht="15" hidden="false" customHeight="true" outlineLevel="0" collapsed="false">
      <c r="A257" s="1" t="s">
        <v>876</v>
      </c>
      <c r="B257" s="1" t="s">
        <v>877</v>
      </c>
      <c r="C257" s="1" t="s">
        <v>878</v>
      </c>
      <c r="D257" s="1" t="s">
        <v>130</v>
      </c>
      <c r="E257" s="1" t="s">
        <v>51</v>
      </c>
      <c r="F257" s="1" t="s">
        <v>59</v>
      </c>
      <c r="G257" s="23" t="n">
        <v>45764</v>
      </c>
      <c r="H257" s="1" t="n">
        <v>116</v>
      </c>
      <c r="I257" s="24" t="n">
        <v>0</v>
      </c>
      <c r="K257" s="1" t="s">
        <v>64</v>
      </c>
      <c r="L257" s="1" t="s">
        <v>69</v>
      </c>
      <c r="M257" s="1" t="n">
        <v>40</v>
      </c>
      <c r="N257" s="1" t="s">
        <v>39</v>
      </c>
    </row>
    <row r="258" customFormat="false" ht="15" hidden="false" customHeight="true" outlineLevel="0" collapsed="false">
      <c r="A258" s="1" t="s">
        <v>879</v>
      </c>
      <c r="B258" s="1" t="s">
        <v>880</v>
      </c>
      <c r="C258" s="1" t="s">
        <v>881</v>
      </c>
      <c r="D258" s="1" t="s">
        <v>165</v>
      </c>
      <c r="E258" s="1" t="s">
        <v>51</v>
      </c>
      <c r="F258" s="1" t="s">
        <v>60</v>
      </c>
      <c r="G258" s="23" t="n">
        <v>45646</v>
      </c>
      <c r="H258" s="1" t="n">
        <v>72</v>
      </c>
      <c r="I258" s="24" t="n">
        <v>0</v>
      </c>
      <c r="K258" s="1" t="s">
        <v>64</v>
      </c>
      <c r="L258" s="1" t="s">
        <v>69</v>
      </c>
      <c r="M258" s="1" t="n">
        <v>34</v>
      </c>
      <c r="N258" s="1" t="s">
        <v>39</v>
      </c>
    </row>
    <row r="259" customFormat="false" ht="15" hidden="false" customHeight="true" outlineLevel="0" collapsed="false">
      <c r="A259" s="1" t="s">
        <v>882</v>
      </c>
      <c r="B259" s="1" t="s">
        <v>883</v>
      </c>
      <c r="C259" s="1" t="s">
        <v>884</v>
      </c>
      <c r="D259" s="1" t="s">
        <v>165</v>
      </c>
      <c r="E259" s="1" t="s">
        <v>52</v>
      </c>
      <c r="F259" s="1" t="s">
        <v>60</v>
      </c>
      <c r="G259" s="23" t="n">
        <v>45758</v>
      </c>
      <c r="H259" s="1" t="n">
        <v>51</v>
      </c>
      <c r="I259" s="24" t="n">
        <v>0</v>
      </c>
      <c r="K259" s="1" t="s">
        <v>64</v>
      </c>
      <c r="L259" s="1" t="s">
        <v>69</v>
      </c>
      <c r="M259" s="1" t="n">
        <v>30</v>
      </c>
      <c r="N259" s="1" t="s">
        <v>39</v>
      </c>
    </row>
    <row r="260" customFormat="false" ht="15" hidden="false" customHeight="true" outlineLevel="0" collapsed="false">
      <c r="A260" s="1" t="s">
        <v>885</v>
      </c>
      <c r="B260" s="1" t="s">
        <v>886</v>
      </c>
      <c r="C260" s="1" t="s">
        <v>887</v>
      </c>
      <c r="D260" s="1" t="s">
        <v>130</v>
      </c>
      <c r="E260" s="1" t="s">
        <v>50</v>
      </c>
      <c r="F260" s="1" t="s">
        <v>57</v>
      </c>
      <c r="G260" s="23" t="n">
        <v>45681</v>
      </c>
      <c r="H260" s="1" t="n">
        <v>19</v>
      </c>
      <c r="I260" s="24" t="n">
        <v>0</v>
      </c>
      <c r="K260" s="1" t="s">
        <v>64</v>
      </c>
      <c r="L260" s="1" t="s">
        <v>69</v>
      </c>
      <c r="M260" s="1" t="n">
        <v>6</v>
      </c>
      <c r="N260" s="1" t="s">
        <v>39</v>
      </c>
    </row>
    <row r="261" customFormat="false" ht="15" hidden="false" customHeight="true" outlineLevel="0" collapsed="false">
      <c r="A261" s="1" t="s">
        <v>888</v>
      </c>
      <c r="B261" s="1" t="s">
        <v>889</v>
      </c>
      <c r="C261" s="1" t="s">
        <v>890</v>
      </c>
      <c r="D261" s="1" t="s">
        <v>120</v>
      </c>
      <c r="E261" s="1" t="s">
        <v>50</v>
      </c>
      <c r="F261" s="1" t="s">
        <v>59</v>
      </c>
      <c r="G261" s="23" t="n">
        <v>45684</v>
      </c>
      <c r="H261" s="1" t="n">
        <v>142</v>
      </c>
      <c r="I261" s="24" t="n">
        <v>8.64</v>
      </c>
      <c r="J261" s="1" t="s">
        <v>121</v>
      </c>
      <c r="K261" s="1" t="s">
        <v>65</v>
      </c>
      <c r="L261" s="1" t="s">
        <v>70</v>
      </c>
      <c r="M261" s="1" t="n">
        <v>25</v>
      </c>
      <c r="N261" s="1" t="s">
        <v>39</v>
      </c>
    </row>
    <row r="262" customFormat="false" ht="15" hidden="false" customHeight="true" outlineLevel="0" collapsed="false">
      <c r="A262" s="1" t="s">
        <v>891</v>
      </c>
      <c r="B262" s="1" t="s">
        <v>892</v>
      </c>
      <c r="C262" s="1" t="s">
        <v>893</v>
      </c>
      <c r="D262" s="1" t="s">
        <v>165</v>
      </c>
      <c r="E262" s="1" t="s">
        <v>51</v>
      </c>
      <c r="F262" s="1" t="s">
        <v>57</v>
      </c>
      <c r="G262" s="23" t="n">
        <v>45753</v>
      </c>
      <c r="H262" s="1" t="n">
        <v>31</v>
      </c>
      <c r="I262" s="24" t="n">
        <v>0</v>
      </c>
      <c r="K262" s="1" t="s">
        <v>64</v>
      </c>
      <c r="L262" s="1" t="s">
        <v>69</v>
      </c>
      <c r="M262" s="1" t="n">
        <v>49</v>
      </c>
      <c r="N262" s="1" t="s">
        <v>39</v>
      </c>
    </row>
    <row r="263" customFormat="false" ht="15" hidden="false" customHeight="true" outlineLevel="0" collapsed="false">
      <c r="A263" s="1" t="s">
        <v>894</v>
      </c>
      <c r="B263" s="1" t="s">
        <v>517</v>
      </c>
      <c r="C263" s="1" t="s">
        <v>895</v>
      </c>
      <c r="D263" s="1" t="s">
        <v>120</v>
      </c>
      <c r="E263" s="1" t="s">
        <v>52</v>
      </c>
      <c r="F263" s="1" t="s">
        <v>55</v>
      </c>
      <c r="G263" s="23" t="n">
        <v>45721</v>
      </c>
      <c r="H263" s="1" t="n">
        <v>26</v>
      </c>
      <c r="I263" s="24" t="n">
        <v>0</v>
      </c>
      <c r="K263" s="1" t="s">
        <v>64</v>
      </c>
      <c r="L263" s="1" t="s">
        <v>70</v>
      </c>
      <c r="M263" s="1" t="n">
        <v>5</v>
      </c>
      <c r="N263" s="1" t="s">
        <v>39</v>
      </c>
    </row>
    <row r="264" customFormat="false" ht="15" hidden="false" customHeight="true" outlineLevel="0" collapsed="false">
      <c r="A264" s="1" t="s">
        <v>896</v>
      </c>
      <c r="B264" s="1" t="s">
        <v>897</v>
      </c>
      <c r="C264" s="1" t="s">
        <v>898</v>
      </c>
      <c r="D264" s="1" t="s">
        <v>120</v>
      </c>
      <c r="E264" s="1" t="s">
        <v>52</v>
      </c>
      <c r="F264" s="1" t="s">
        <v>56</v>
      </c>
      <c r="G264" s="23" t="n">
        <v>45815</v>
      </c>
      <c r="H264" s="1" t="n">
        <v>144</v>
      </c>
      <c r="I264" s="24" t="n">
        <v>40.29</v>
      </c>
      <c r="J264" s="1" t="s">
        <v>126</v>
      </c>
      <c r="K264" s="1" t="s">
        <v>66</v>
      </c>
      <c r="L264" s="1" t="s">
        <v>70</v>
      </c>
      <c r="M264" s="1" t="n">
        <v>1</v>
      </c>
      <c r="N264" s="1" t="s">
        <v>38</v>
      </c>
    </row>
    <row r="265" customFormat="false" ht="15" hidden="false" customHeight="true" outlineLevel="0" collapsed="false">
      <c r="A265" s="1" t="s">
        <v>899</v>
      </c>
      <c r="B265" s="1" t="s">
        <v>900</v>
      </c>
      <c r="C265" s="1" t="s">
        <v>901</v>
      </c>
      <c r="D265" s="1" t="s">
        <v>165</v>
      </c>
      <c r="E265" s="1" t="s">
        <v>51</v>
      </c>
      <c r="F265" s="1" t="s">
        <v>57</v>
      </c>
      <c r="G265" s="23" t="n">
        <v>45758</v>
      </c>
      <c r="H265" s="1" t="n">
        <v>6</v>
      </c>
      <c r="I265" s="24" t="n">
        <v>0</v>
      </c>
      <c r="K265" s="1" t="s">
        <v>64</v>
      </c>
      <c r="L265" s="1" t="s">
        <v>69</v>
      </c>
      <c r="M265" s="1" t="n">
        <v>7</v>
      </c>
      <c r="N265" s="1" t="s">
        <v>39</v>
      </c>
    </row>
    <row r="266" customFormat="false" ht="15" hidden="false" customHeight="true" outlineLevel="0" collapsed="false">
      <c r="A266" s="1" t="s">
        <v>902</v>
      </c>
      <c r="B266" s="1" t="s">
        <v>445</v>
      </c>
      <c r="C266" s="1" t="s">
        <v>903</v>
      </c>
      <c r="D266" s="1" t="s">
        <v>120</v>
      </c>
      <c r="E266" s="1" t="s">
        <v>52</v>
      </c>
      <c r="F266" s="1" t="s">
        <v>57</v>
      </c>
      <c r="G266" s="23" t="n">
        <v>45804</v>
      </c>
      <c r="H266" s="1" t="n">
        <v>176</v>
      </c>
      <c r="I266" s="24" t="n">
        <v>44.39</v>
      </c>
      <c r="J266" s="1" t="s">
        <v>140</v>
      </c>
      <c r="K266" s="1" t="s">
        <v>64</v>
      </c>
      <c r="L266" s="1" t="s">
        <v>70</v>
      </c>
      <c r="M266" s="1" t="n">
        <v>18</v>
      </c>
      <c r="N266" s="1" t="s">
        <v>38</v>
      </c>
    </row>
    <row r="267" customFormat="false" ht="15" hidden="false" customHeight="true" outlineLevel="0" collapsed="false">
      <c r="A267" s="1" t="s">
        <v>904</v>
      </c>
      <c r="B267" s="1" t="s">
        <v>905</v>
      </c>
      <c r="C267" s="1" t="s">
        <v>906</v>
      </c>
      <c r="D267" s="1" t="s">
        <v>116</v>
      </c>
      <c r="E267" s="1" t="s">
        <v>51</v>
      </c>
      <c r="F267" s="1" t="s">
        <v>56</v>
      </c>
      <c r="G267" s="23" t="n">
        <v>45650</v>
      </c>
      <c r="H267" s="1" t="n">
        <v>175</v>
      </c>
      <c r="I267" s="24" t="n">
        <v>0</v>
      </c>
      <c r="K267" s="1" t="s">
        <v>67</v>
      </c>
      <c r="L267" s="1" t="s">
        <v>69</v>
      </c>
      <c r="M267" s="1" t="n">
        <v>22</v>
      </c>
      <c r="N267" s="1" t="s">
        <v>38</v>
      </c>
    </row>
    <row r="268" customFormat="false" ht="15" hidden="false" customHeight="true" outlineLevel="0" collapsed="false">
      <c r="A268" s="1" t="s">
        <v>907</v>
      </c>
      <c r="B268" s="1" t="s">
        <v>908</v>
      </c>
      <c r="C268" s="1" t="s">
        <v>909</v>
      </c>
      <c r="D268" s="1" t="s">
        <v>125</v>
      </c>
      <c r="E268" s="1" t="s">
        <v>50</v>
      </c>
      <c r="F268" s="1" t="s">
        <v>59</v>
      </c>
      <c r="G268" s="23" t="n">
        <v>45680</v>
      </c>
      <c r="H268" s="1" t="n">
        <v>131</v>
      </c>
      <c r="I268" s="24" t="n">
        <v>0</v>
      </c>
      <c r="K268" s="1" t="s">
        <v>65</v>
      </c>
      <c r="L268" s="1" t="s">
        <v>69</v>
      </c>
      <c r="M268" s="1" t="n">
        <v>3</v>
      </c>
      <c r="N268" s="1" t="s">
        <v>39</v>
      </c>
    </row>
    <row r="269" customFormat="false" ht="15" hidden="false" customHeight="true" outlineLevel="0" collapsed="false">
      <c r="A269" s="1" t="s">
        <v>910</v>
      </c>
      <c r="B269" s="1" t="s">
        <v>911</v>
      </c>
      <c r="C269" s="1" t="s">
        <v>912</v>
      </c>
      <c r="D269" s="1" t="s">
        <v>130</v>
      </c>
      <c r="E269" s="1" t="s">
        <v>50</v>
      </c>
      <c r="F269" s="1" t="s">
        <v>60</v>
      </c>
      <c r="G269" s="23" t="n">
        <v>45768</v>
      </c>
      <c r="H269" s="1" t="n">
        <v>17</v>
      </c>
      <c r="I269" s="24" t="n">
        <v>0</v>
      </c>
      <c r="K269" s="1" t="s">
        <v>64</v>
      </c>
      <c r="L269" s="1" t="s">
        <v>70</v>
      </c>
      <c r="M269" s="1" t="n">
        <v>37</v>
      </c>
      <c r="N269" s="1" t="s">
        <v>39</v>
      </c>
    </row>
    <row r="270" customFormat="false" ht="15" hidden="false" customHeight="true" outlineLevel="0" collapsed="false">
      <c r="A270" s="1" t="s">
        <v>913</v>
      </c>
      <c r="B270" s="1" t="s">
        <v>914</v>
      </c>
      <c r="C270" s="1" t="s">
        <v>915</v>
      </c>
      <c r="D270" s="1" t="s">
        <v>165</v>
      </c>
      <c r="E270" s="1" t="s">
        <v>50</v>
      </c>
      <c r="F270" s="1" t="s">
        <v>56</v>
      </c>
      <c r="G270" s="23" t="n">
        <v>45810</v>
      </c>
      <c r="H270" s="1" t="n">
        <v>128</v>
      </c>
      <c r="I270" s="24" t="n">
        <v>0</v>
      </c>
      <c r="K270" s="1" t="s">
        <v>64</v>
      </c>
      <c r="L270" s="1" t="s">
        <v>69</v>
      </c>
      <c r="M270" s="1" t="n">
        <v>15</v>
      </c>
      <c r="N270" s="1" t="s">
        <v>39</v>
      </c>
    </row>
    <row r="271" customFormat="false" ht="15" hidden="false" customHeight="true" outlineLevel="0" collapsed="false">
      <c r="A271" s="1" t="s">
        <v>916</v>
      </c>
      <c r="B271" s="1" t="s">
        <v>917</v>
      </c>
      <c r="C271" s="1" t="s">
        <v>918</v>
      </c>
      <c r="D271" s="1" t="s">
        <v>165</v>
      </c>
      <c r="E271" s="1" t="s">
        <v>51</v>
      </c>
      <c r="F271" s="1" t="s">
        <v>57</v>
      </c>
      <c r="G271" s="23" t="n">
        <v>45780</v>
      </c>
      <c r="H271" s="1" t="n">
        <v>39</v>
      </c>
      <c r="I271" s="24" t="n">
        <v>0</v>
      </c>
      <c r="K271" s="1" t="s">
        <v>64</v>
      </c>
      <c r="L271" s="1" t="s">
        <v>69</v>
      </c>
      <c r="M271" s="1" t="n">
        <v>18</v>
      </c>
      <c r="N271" s="1" t="s">
        <v>39</v>
      </c>
    </row>
    <row r="272" customFormat="false" ht="15" hidden="false" customHeight="true" outlineLevel="0" collapsed="false">
      <c r="A272" s="1" t="s">
        <v>919</v>
      </c>
      <c r="B272" s="1" t="s">
        <v>920</v>
      </c>
      <c r="C272" s="1" t="s">
        <v>921</v>
      </c>
      <c r="D272" s="1" t="s">
        <v>120</v>
      </c>
      <c r="E272" s="1" t="s">
        <v>50</v>
      </c>
      <c r="F272" s="1" t="s">
        <v>56</v>
      </c>
      <c r="G272" s="23" t="n">
        <v>45794</v>
      </c>
      <c r="H272" s="1" t="n">
        <v>122</v>
      </c>
      <c r="I272" s="24" t="n">
        <v>0</v>
      </c>
      <c r="K272" s="1" t="s">
        <v>64</v>
      </c>
      <c r="L272" s="1" t="s">
        <v>69</v>
      </c>
      <c r="M272" s="1" t="n">
        <v>28</v>
      </c>
      <c r="N272" s="1" t="s">
        <v>39</v>
      </c>
    </row>
    <row r="273" customFormat="false" ht="15" hidden="false" customHeight="true" outlineLevel="0" collapsed="false">
      <c r="A273" s="1" t="s">
        <v>922</v>
      </c>
      <c r="B273" s="1" t="s">
        <v>923</v>
      </c>
      <c r="C273" s="1" t="s">
        <v>924</v>
      </c>
      <c r="D273" s="1" t="s">
        <v>130</v>
      </c>
      <c r="E273" s="1" t="s">
        <v>51</v>
      </c>
      <c r="F273" s="1" t="s">
        <v>60</v>
      </c>
      <c r="G273" s="23" t="n">
        <v>45673</v>
      </c>
      <c r="H273" s="1" t="n">
        <v>15</v>
      </c>
      <c r="I273" s="24" t="n">
        <v>0</v>
      </c>
      <c r="K273" s="1" t="s">
        <v>64</v>
      </c>
      <c r="L273" s="1" t="s">
        <v>70</v>
      </c>
      <c r="M273" s="1" t="n">
        <v>47</v>
      </c>
      <c r="N273" s="1" t="s">
        <v>39</v>
      </c>
    </row>
    <row r="274" customFormat="false" ht="15" hidden="false" customHeight="true" outlineLevel="0" collapsed="false">
      <c r="A274" s="1" t="s">
        <v>925</v>
      </c>
      <c r="B274" s="1" t="s">
        <v>926</v>
      </c>
      <c r="C274" s="1" t="s">
        <v>927</v>
      </c>
      <c r="D274" s="1" t="s">
        <v>120</v>
      </c>
      <c r="E274" s="1" t="s">
        <v>52</v>
      </c>
      <c r="F274" s="1" t="s">
        <v>57</v>
      </c>
      <c r="G274" s="23" t="n">
        <v>45758</v>
      </c>
      <c r="H274" s="1" t="n">
        <v>166</v>
      </c>
      <c r="I274" s="24" t="n">
        <v>47.72</v>
      </c>
      <c r="J274" s="1" t="s">
        <v>241</v>
      </c>
      <c r="K274" s="1" t="s">
        <v>64</v>
      </c>
      <c r="L274" s="1" t="s">
        <v>70</v>
      </c>
      <c r="M274" s="1" t="n">
        <v>40</v>
      </c>
      <c r="N274" s="1" t="s">
        <v>38</v>
      </c>
    </row>
    <row r="275" customFormat="false" ht="15" hidden="false" customHeight="true" outlineLevel="0" collapsed="false">
      <c r="A275" s="1" t="s">
        <v>928</v>
      </c>
      <c r="B275" s="1" t="s">
        <v>929</v>
      </c>
      <c r="C275" s="1" t="s">
        <v>930</v>
      </c>
      <c r="D275" s="1" t="s">
        <v>125</v>
      </c>
      <c r="E275" s="1" t="s">
        <v>51</v>
      </c>
      <c r="F275" s="1" t="s">
        <v>57</v>
      </c>
      <c r="G275" s="23" t="n">
        <v>45721</v>
      </c>
      <c r="H275" s="1" t="n">
        <v>91</v>
      </c>
      <c r="I275" s="24" t="n">
        <v>45.51</v>
      </c>
      <c r="J275" s="1" t="s">
        <v>241</v>
      </c>
      <c r="K275" s="1" t="s">
        <v>64</v>
      </c>
      <c r="L275" s="1" t="s">
        <v>70</v>
      </c>
      <c r="M275" s="1" t="n">
        <v>8</v>
      </c>
      <c r="N275" s="1" t="s">
        <v>38</v>
      </c>
    </row>
    <row r="276" customFormat="false" ht="15" hidden="false" customHeight="true" outlineLevel="0" collapsed="false">
      <c r="A276" s="1" t="s">
        <v>931</v>
      </c>
      <c r="B276" s="1" t="s">
        <v>932</v>
      </c>
      <c r="C276" s="1" t="s">
        <v>933</v>
      </c>
      <c r="D276" s="1" t="s">
        <v>116</v>
      </c>
      <c r="E276" s="1" t="s">
        <v>51</v>
      </c>
      <c r="F276" s="1" t="s">
        <v>57</v>
      </c>
      <c r="G276" s="23" t="n">
        <v>45770</v>
      </c>
      <c r="H276" s="1" t="n">
        <v>52</v>
      </c>
      <c r="I276" s="24" t="n">
        <v>0</v>
      </c>
      <c r="K276" s="1" t="s">
        <v>64</v>
      </c>
      <c r="L276" s="1" t="s">
        <v>69</v>
      </c>
      <c r="M276" s="1" t="n">
        <v>3</v>
      </c>
      <c r="N276" s="1" t="s">
        <v>39</v>
      </c>
    </row>
    <row r="277" customFormat="false" ht="15" hidden="false" customHeight="true" outlineLevel="0" collapsed="false">
      <c r="A277" s="1" t="s">
        <v>934</v>
      </c>
      <c r="B277" s="1" t="s">
        <v>935</v>
      </c>
      <c r="C277" s="1" t="s">
        <v>936</v>
      </c>
      <c r="D277" s="1" t="s">
        <v>165</v>
      </c>
      <c r="E277" s="1" t="s">
        <v>51</v>
      </c>
      <c r="F277" s="1" t="s">
        <v>57</v>
      </c>
      <c r="G277" s="23" t="n">
        <v>45670</v>
      </c>
      <c r="H277" s="1" t="n">
        <v>130</v>
      </c>
      <c r="I277" s="24" t="n">
        <v>0</v>
      </c>
      <c r="K277" s="1" t="s">
        <v>64</v>
      </c>
      <c r="L277" s="1" t="s">
        <v>69</v>
      </c>
      <c r="M277" s="1" t="n">
        <v>49</v>
      </c>
      <c r="N277" s="1" t="s">
        <v>39</v>
      </c>
    </row>
    <row r="278" customFormat="false" ht="15" hidden="false" customHeight="true" outlineLevel="0" collapsed="false">
      <c r="A278" s="1" t="s">
        <v>937</v>
      </c>
      <c r="B278" s="1" t="s">
        <v>938</v>
      </c>
      <c r="C278" s="1" t="s">
        <v>939</v>
      </c>
      <c r="D278" s="1" t="s">
        <v>165</v>
      </c>
      <c r="E278" s="1" t="s">
        <v>50</v>
      </c>
      <c r="F278" s="1" t="s">
        <v>55</v>
      </c>
      <c r="G278" s="23" t="n">
        <v>45750</v>
      </c>
      <c r="H278" s="1" t="n">
        <v>87</v>
      </c>
      <c r="I278" s="24" t="n">
        <v>0</v>
      </c>
      <c r="K278" s="1" t="s">
        <v>64</v>
      </c>
      <c r="L278" s="1" t="s">
        <v>69</v>
      </c>
      <c r="M278" s="1" t="n">
        <v>33</v>
      </c>
      <c r="N278" s="1" t="s">
        <v>39</v>
      </c>
    </row>
    <row r="279" customFormat="false" ht="15" hidden="false" customHeight="true" outlineLevel="0" collapsed="false">
      <c r="A279" s="1" t="s">
        <v>940</v>
      </c>
      <c r="B279" s="1" t="s">
        <v>941</v>
      </c>
      <c r="C279" s="1" t="s">
        <v>942</v>
      </c>
      <c r="D279" s="1" t="s">
        <v>120</v>
      </c>
      <c r="E279" s="1" t="s">
        <v>51</v>
      </c>
      <c r="F279" s="1" t="s">
        <v>57</v>
      </c>
      <c r="G279" s="23" t="n">
        <v>45738</v>
      </c>
      <c r="H279" s="1" t="n">
        <v>71</v>
      </c>
      <c r="I279" s="24" t="n">
        <v>0</v>
      </c>
      <c r="K279" s="1" t="s">
        <v>64</v>
      </c>
      <c r="L279" s="1" t="s">
        <v>69</v>
      </c>
      <c r="M279" s="1" t="n">
        <v>38</v>
      </c>
      <c r="N279" s="1" t="s">
        <v>39</v>
      </c>
    </row>
    <row r="280" customFormat="false" ht="15" hidden="false" customHeight="true" outlineLevel="0" collapsed="false">
      <c r="A280" s="1" t="s">
        <v>943</v>
      </c>
      <c r="B280" s="1" t="s">
        <v>944</v>
      </c>
      <c r="C280" s="1" t="s">
        <v>945</v>
      </c>
      <c r="D280" s="1" t="s">
        <v>120</v>
      </c>
      <c r="E280" s="1" t="s">
        <v>50</v>
      </c>
      <c r="F280" s="1" t="s">
        <v>57</v>
      </c>
      <c r="G280" s="23" t="n">
        <v>45735</v>
      </c>
      <c r="H280" s="1" t="n">
        <v>63</v>
      </c>
      <c r="I280" s="24" t="n">
        <v>0</v>
      </c>
      <c r="K280" s="1" t="s">
        <v>64</v>
      </c>
      <c r="L280" s="1" t="s">
        <v>69</v>
      </c>
      <c r="M280" s="1" t="n">
        <v>49</v>
      </c>
      <c r="N280" s="1" t="s">
        <v>39</v>
      </c>
    </row>
    <row r="281" customFormat="false" ht="15" hidden="false" customHeight="true" outlineLevel="0" collapsed="false">
      <c r="A281" s="1" t="s">
        <v>946</v>
      </c>
      <c r="B281" s="1" t="s">
        <v>947</v>
      </c>
      <c r="C281" s="1" t="s">
        <v>948</v>
      </c>
      <c r="D281" s="1" t="s">
        <v>120</v>
      </c>
      <c r="E281" s="1" t="s">
        <v>52</v>
      </c>
      <c r="F281" s="1" t="s">
        <v>57</v>
      </c>
      <c r="G281" s="23" t="n">
        <v>45744</v>
      </c>
      <c r="H281" s="1" t="n">
        <v>175</v>
      </c>
      <c r="I281" s="24" t="n">
        <v>0</v>
      </c>
      <c r="K281" s="1" t="s">
        <v>65</v>
      </c>
      <c r="L281" s="1" t="s">
        <v>69</v>
      </c>
      <c r="M281" s="1" t="n">
        <v>33</v>
      </c>
      <c r="N281" s="1" t="s">
        <v>38</v>
      </c>
    </row>
    <row r="282" customFormat="false" ht="15" hidden="false" customHeight="true" outlineLevel="0" collapsed="false">
      <c r="A282" s="1" t="s">
        <v>949</v>
      </c>
      <c r="B282" s="1" t="s">
        <v>950</v>
      </c>
      <c r="C282" s="1" t="s">
        <v>951</v>
      </c>
      <c r="D282" s="1" t="s">
        <v>165</v>
      </c>
      <c r="E282" s="1" t="s">
        <v>51</v>
      </c>
      <c r="F282" s="1" t="s">
        <v>59</v>
      </c>
      <c r="G282" s="23" t="n">
        <v>45690</v>
      </c>
      <c r="H282" s="1" t="n">
        <v>91</v>
      </c>
      <c r="I282" s="24" t="n">
        <v>0</v>
      </c>
      <c r="K282" s="1" t="s">
        <v>64</v>
      </c>
      <c r="L282" s="1" t="s">
        <v>69</v>
      </c>
      <c r="M282" s="1" t="n">
        <v>22</v>
      </c>
      <c r="N282" s="1" t="s">
        <v>39</v>
      </c>
    </row>
    <row r="283" customFormat="false" ht="15" hidden="false" customHeight="true" outlineLevel="0" collapsed="false">
      <c r="A283" s="1" t="s">
        <v>952</v>
      </c>
      <c r="B283" s="1" t="s">
        <v>953</v>
      </c>
      <c r="C283" s="1" t="s">
        <v>954</v>
      </c>
      <c r="D283" s="1" t="s">
        <v>116</v>
      </c>
      <c r="E283" s="1" t="s">
        <v>52</v>
      </c>
      <c r="F283" s="1" t="s">
        <v>57</v>
      </c>
      <c r="G283" s="23" t="n">
        <v>45708</v>
      </c>
      <c r="H283" s="1" t="n">
        <v>127</v>
      </c>
      <c r="I283" s="24" t="n">
        <v>40.21</v>
      </c>
      <c r="J283" s="1" t="s">
        <v>140</v>
      </c>
      <c r="K283" s="1" t="s">
        <v>64</v>
      </c>
      <c r="L283" s="1" t="s">
        <v>70</v>
      </c>
      <c r="M283" s="1" t="n">
        <v>38</v>
      </c>
      <c r="N283" s="1" t="s">
        <v>38</v>
      </c>
    </row>
    <row r="284" customFormat="false" ht="15" hidden="false" customHeight="true" outlineLevel="0" collapsed="false">
      <c r="A284" s="1" t="s">
        <v>955</v>
      </c>
      <c r="B284" s="1" t="s">
        <v>956</v>
      </c>
      <c r="C284" s="1" t="s">
        <v>957</v>
      </c>
      <c r="D284" s="1" t="s">
        <v>120</v>
      </c>
      <c r="E284" s="1" t="s">
        <v>52</v>
      </c>
      <c r="F284" s="1" t="s">
        <v>58</v>
      </c>
      <c r="G284" s="23" t="n">
        <v>45671</v>
      </c>
      <c r="H284" s="1" t="n">
        <v>179</v>
      </c>
      <c r="I284" s="24" t="n">
        <v>0</v>
      </c>
      <c r="K284" s="1" t="s">
        <v>64</v>
      </c>
      <c r="L284" s="1" t="s">
        <v>70</v>
      </c>
      <c r="M284" s="1" t="n">
        <v>34</v>
      </c>
      <c r="N284" s="1" t="s">
        <v>38</v>
      </c>
    </row>
    <row r="285" customFormat="false" ht="15" hidden="false" customHeight="true" outlineLevel="0" collapsed="false">
      <c r="A285" s="1" t="s">
        <v>958</v>
      </c>
      <c r="B285" s="1" t="s">
        <v>959</v>
      </c>
      <c r="C285" s="1" t="s">
        <v>960</v>
      </c>
      <c r="D285" s="1" t="s">
        <v>125</v>
      </c>
      <c r="E285" s="1" t="s">
        <v>50</v>
      </c>
      <c r="F285" s="1" t="s">
        <v>55</v>
      </c>
      <c r="G285" s="23" t="n">
        <v>45727</v>
      </c>
      <c r="H285" s="1" t="n">
        <v>160</v>
      </c>
      <c r="I285" s="24" t="n">
        <v>0</v>
      </c>
      <c r="K285" s="1" t="s">
        <v>64</v>
      </c>
      <c r="L285" s="1" t="s">
        <v>69</v>
      </c>
      <c r="M285" s="1" t="n">
        <v>1</v>
      </c>
      <c r="N285" s="1" t="s">
        <v>38</v>
      </c>
    </row>
    <row r="286" customFormat="false" ht="15" hidden="false" customHeight="true" outlineLevel="0" collapsed="false">
      <c r="A286" s="1" t="s">
        <v>961</v>
      </c>
      <c r="B286" s="1" t="s">
        <v>962</v>
      </c>
      <c r="C286" s="1" t="s">
        <v>963</v>
      </c>
      <c r="D286" s="1" t="s">
        <v>116</v>
      </c>
      <c r="E286" s="1" t="s">
        <v>51</v>
      </c>
      <c r="F286" s="1" t="s">
        <v>60</v>
      </c>
      <c r="G286" s="23" t="n">
        <v>45762</v>
      </c>
      <c r="H286" s="1" t="n">
        <v>175</v>
      </c>
      <c r="I286" s="24" t="n">
        <v>0</v>
      </c>
      <c r="K286" s="1" t="s">
        <v>64</v>
      </c>
      <c r="L286" s="1" t="s">
        <v>69</v>
      </c>
      <c r="M286" s="1" t="n">
        <v>1</v>
      </c>
      <c r="N286" s="1" t="s">
        <v>38</v>
      </c>
    </row>
    <row r="287" customFormat="false" ht="15" hidden="false" customHeight="true" outlineLevel="0" collapsed="false">
      <c r="A287" s="1" t="s">
        <v>964</v>
      </c>
      <c r="B287" s="1" t="s">
        <v>965</v>
      </c>
      <c r="C287" s="1" t="s">
        <v>966</v>
      </c>
      <c r="D287" s="1" t="s">
        <v>125</v>
      </c>
      <c r="E287" s="1" t="s">
        <v>51</v>
      </c>
      <c r="F287" s="1" t="s">
        <v>57</v>
      </c>
      <c r="G287" s="23" t="n">
        <v>45708</v>
      </c>
      <c r="H287" s="1" t="n">
        <v>112</v>
      </c>
      <c r="I287" s="24" t="n">
        <v>13.89</v>
      </c>
      <c r="J287" s="1" t="s">
        <v>140</v>
      </c>
      <c r="K287" s="1" t="s">
        <v>65</v>
      </c>
      <c r="L287" s="1" t="s">
        <v>70</v>
      </c>
      <c r="M287" s="1" t="n">
        <v>25</v>
      </c>
      <c r="N287" s="1" t="s">
        <v>39</v>
      </c>
    </row>
    <row r="288" customFormat="false" ht="15" hidden="false" customHeight="true" outlineLevel="0" collapsed="false">
      <c r="A288" s="1" t="s">
        <v>967</v>
      </c>
      <c r="B288" s="1" t="s">
        <v>968</v>
      </c>
      <c r="C288" s="1" t="s">
        <v>969</v>
      </c>
      <c r="D288" s="1" t="s">
        <v>116</v>
      </c>
      <c r="E288" s="1" t="s">
        <v>52</v>
      </c>
      <c r="F288" s="1" t="s">
        <v>58</v>
      </c>
      <c r="G288" s="23" t="n">
        <v>45811</v>
      </c>
      <c r="H288" s="1" t="n">
        <v>85</v>
      </c>
      <c r="I288" s="24" t="n">
        <v>0</v>
      </c>
      <c r="K288" s="1" t="s">
        <v>66</v>
      </c>
      <c r="L288" s="1" t="s">
        <v>69</v>
      </c>
      <c r="M288" s="1" t="n">
        <v>24</v>
      </c>
      <c r="N288" s="1" t="s">
        <v>39</v>
      </c>
    </row>
    <row r="289" customFormat="false" ht="15" hidden="false" customHeight="true" outlineLevel="0" collapsed="false">
      <c r="A289" s="1" t="s">
        <v>970</v>
      </c>
      <c r="B289" s="1" t="s">
        <v>971</v>
      </c>
      <c r="C289" s="1" t="s">
        <v>972</v>
      </c>
      <c r="D289" s="1" t="s">
        <v>130</v>
      </c>
      <c r="E289" s="1" t="s">
        <v>51</v>
      </c>
      <c r="F289" s="1" t="s">
        <v>58</v>
      </c>
      <c r="G289" s="23" t="n">
        <v>45664</v>
      </c>
      <c r="H289" s="1" t="n">
        <v>16</v>
      </c>
      <c r="I289" s="24" t="n">
        <v>0</v>
      </c>
      <c r="K289" s="1" t="s">
        <v>65</v>
      </c>
      <c r="L289" s="1" t="s">
        <v>69</v>
      </c>
      <c r="M289" s="1" t="n">
        <v>6</v>
      </c>
      <c r="N289" s="1" t="s">
        <v>39</v>
      </c>
    </row>
    <row r="290" customFormat="false" ht="15" hidden="false" customHeight="true" outlineLevel="0" collapsed="false">
      <c r="A290" s="1" t="s">
        <v>973</v>
      </c>
      <c r="B290" s="1" t="s">
        <v>974</v>
      </c>
      <c r="C290" s="1" t="s">
        <v>975</v>
      </c>
      <c r="D290" s="1" t="s">
        <v>130</v>
      </c>
      <c r="E290" s="1" t="s">
        <v>51</v>
      </c>
      <c r="F290" s="1" t="s">
        <v>57</v>
      </c>
      <c r="G290" s="23" t="n">
        <v>45704</v>
      </c>
      <c r="H290" s="1" t="n">
        <v>80</v>
      </c>
      <c r="I290" s="24" t="n">
        <v>0</v>
      </c>
      <c r="K290" s="1" t="s">
        <v>64</v>
      </c>
      <c r="L290" s="1" t="s">
        <v>69</v>
      </c>
      <c r="M290" s="1" t="n">
        <v>16</v>
      </c>
      <c r="N290" s="1" t="s">
        <v>39</v>
      </c>
    </row>
    <row r="291" customFormat="false" ht="15" hidden="false" customHeight="true" outlineLevel="0" collapsed="false">
      <c r="A291" s="1" t="s">
        <v>976</v>
      </c>
      <c r="B291" s="1" t="s">
        <v>977</v>
      </c>
      <c r="C291" s="1" t="s">
        <v>978</v>
      </c>
      <c r="D291" s="1" t="s">
        <v>116</v>
      </c>
      <c r="E291" s="1" t="s">
        <v>50</v>
      </c>
      <c r="F291" s="1" t="s">
        <v>55</v>
      </c>
      <c r="G291" s="23" t="n">
        <v>45746</v>
      </c>
      <c r="H291" s="1" t="n">
        <v>69</v>
      </c>
      <c r="I291" s="24" t="n">
        <v>0</v>
      </c>
      <c r="K291" s="1" t="s">
        <v>67</v>
      </c>
      <c r="L291" s="1" t="s">
        <v>70</v>
      </c>
      <c r="M291" s="1" t="n">
        <v>17</v>
      </c>
      <c r="N291" s="1" t="s">
        <v>39</v>
      </c>
    </row>
    <row r="292" customFormat="false" ht="15" hidden="false" customHeight="true" outlineLevel="0" collapsed="false">
      <c r="A292" s="1" t="s">
        <v>979</v>
      </c>
      <c r="B292" s="1" t="s">
        <v>980</v>
      </c>
      <c r="C292" s="1" t="s">
        <v>981</v>
      </c>
      <c r="D292" s="1" t="s">
        <v>125</v>
      </c>
      <c r="E292" s="1" t="s">
        <v>52</v>
      </c>
      <c r="F292" s="1" t="s">
        <v>55</v>
      </c>
      <c r="G292" s="23" t="n">
        <v>45719</v>
      </c>
      <c r="H292" s="1" t="n">
        <v>25</v>
      </c>
      <c r="I292" s="24" t="n">
        <v>0</v>
      </c>
      <c r="K292" s="1" t="s">
        <v>64</v>
      </c>
      <c r="L292" s="1" t="s">
        <v>69</v>
      </c>
      <c r="M292" s="1" t="n">
        <v>34</v>
      </c>
      <c r="N292" s="1" t="s">
        <v>39</v>
      </c>
    </row>
    <row r="293" customFormat="false" ht="15" hidden="false" customHeight="true" outlineLevel="0" collapsed="false">
      <c r="A293" s="1" t="s">
        <v>982</v>
      </c>
      <c r="B293" s="1" t="s">
        <v>983</v>
      </c>
      <c r="C293" s="1" t="s">
        <v>984</v>
      </c>
      <c r="D293" s="1" t="s">
        <v>130</v>
      </c>
      <c r="E293" s="1" t="s">
        <v>51</v>
      </c>
      <c r="F293" s="1" t="s">
        <v>60</v>
      </c>
      <c r="G293" s="23" t="n">
        <v>45652</v>
      </c>
      <c r="H293" s="1" t="n">
        <v>154</v>
      </c>
      <c r="I293" s="24" t="n">
        <v>0</v>
      </c>
      <c r="K293" s="1" t="s">
        <v>64</v>
      </c>
      <c r="L293" s="1" t="s">
        <v>70</v>
      </c>
      <c r="M293" s="1" t="n">
        <v>14</v>
      </c>
      <c r="N293" s="1" t="s">
        <v>38</v>
      </c>
    </row>
    <row r="294" customFormat="false" ht="15" hidden="false" customHeight="true" outlineLevel="0" collapsed="false">
      <c r="A294" s="1" t="s">
        <v>985</v>
      </c>
      <c r="B294" s="1" t="s">
        <v>986</v>
      </c>
      <c r="C294" s="1" t="s">
        <v>987</v>
      </c>
      <c r="D294" s="1" t="s">
        <v>125</v>
      </c>
      <c r="E294" s="1" t="s">
        <v>51</v>
      </c>
      <c r="F294" s="1" t="s">
        <v>58</v>
      </c>
      <c r="G294" s="23" t="n">
        <v>45771</v>
      </c>
      <c r="H294" s="1" t="n">
        <v>66</v>
      </c>
      <c r="I294" s="24" t="n">
        <v>0</v>
      </c>
      <c r="K294" s="1" t="s">
        <v>66</v>
      </c>
      <c r="L294" s="1" t="s">
        <v>69</v>
      </c>
      <c r="M294" s="1" t="n">
        <v>4</v>
      </c>
      <c r="N294" s="1" t="s">
        <v>39</v>
      </c>
    </row>
    <row r="295" customFormat="false" ht="15" hidden="false" customHeight="true" outlineLevel="0" collapsed="false">
      <c r="A295" s="1" t="s">
        <v>988</v>
      </c>
      <c r="B295" s="1" t="s">
        <v>989</v>
      </c>
      <c r="C295" s="1" t="s">
        <v>990</v>
      </c>
      <c r="D295" s="1" t="s">
        <v>120</v>
      </c>
      <c r="E295" s="1" t="s">
        <v>52</v>
      </c>
      <c r="F295" s="1" t="s">
        <v>57</v>
      </c>
      <c r="G295" s="23" t="n">
        <v>45797</v>
      </c>
      <c r="H295" s="1" t="n">
        <v>164</v>
      </c>
      <c r="I295" s="24" t="n">
        <v>14.33</v>
      </c>
      <c r="J295" s="1" t="s">
        <v>241</v>
      </c>
      <c r="K295" s="1" t="s">
        <v>64</v>
      </c>
      <c r="L295" s="1" t="s">
        <v>70</v>
      </c>
      <c r="M295" s="1" t="n">
        <v>4</v>
      </c>
      <c r="N295" s="1" t="s">
        <v>38</v>
      </c>
    </row>
    <row r="296" customFormat="false" ht="15" hidden="false" customHeight="true" outlineLevel="0" collapsed="false">
      <c r="A296" s="1" t="s">
        <v>991</v>
      </c>
      <c r="B296" s="1" t="s">
        <v>992</v>
      </c>
      <c r="C296" s="1" t="s">
        <v>993</v>
      </c>
      <c r="D296" s="1" t="s">
        <v>165</v>
      </c>
      <c r="E296" s="1" t="s">
        <v>52</v>
      </c>
      <c r="F296" s="1" t="s">
        <v>56</v>
      </c>
      <c r="G296" s="23" t="n">
        <v>45811</v>
      </c>
      <c r="H296" s="1" t="n">
        <v>9</v>
      </c>
      <c r="I296" s="24" t="n">
        <v>0</v>
      </c>
      <c r="K296" s="1" t="s">
        <v>64</v>
      </c>
      <c r="L296" s="1" t="s">
        <v>69</v>
      </c>
      <c r="M296" s="1" t="n">
        <v>10</v>
      </c>
      <c r="N296" s="1" t="s">
        <v>39</v>
      </c>
    </row>
    <row r="297" customFormat="false" ht="15" hidden="false" customHeight="true" outlineLevel="0" collapsed="false">
      <c r="A297" s="1" t="s">
        <v>994</v>
      </c>
      <c r="B297" s="1" t="s">
        <v>995</v>
      </c>
      <c r="C297" s="1" t="s">
        <v>996</v>
      </c>
      <c r="D297" s="1" t="s">
        <v>116</v>
      </c>
      <c r="E297" s="1" t="s">
        <v>50</v>
      </c>
      <c r="F297" s="1" t="s">
        <v>56</v>
      </c>
      <c r="G297" s="23" t="n">
        <v>45788</v>
      </c>
      <c r="H297" s="1" t="n">
        <v>31</v>
      </c>
      <c r="I297" s="24" t="n">
        <v>0</v>
      </c>
      <c r="K297" s="1" t="s">
        <v>65</v>
      </c>
      <c r="L297" s="1" t="s">
        <v>69</v>
      </c>
      <c r="M297" s="1" t="n">
        <v>23</v>
      </c>
      <c r="N297" s="1" t="s">
        <v>39</v>
      </c>
    </row>
    <row r="298" customFormat="false" ht="15" hidden="false" customHeight="true" outlineLevel="0" collapsed="false">
      <c r="A298" s="1" t="s">
        <v>997</v>
      </c>
      <c r="B298" s="1" t="s">
        <v>998</v>
      </c>
      <c r="C298" s="1" t="s">
        <v>999</v>
      </c>
      <c r="D298" s="1" t="s">
        <v>165</v>
      </c>
      <c r="E298" s="1" t="s">
        <v>50</v>
      </c>
      <c r="F298" s="1" t="s">
        <v>55</v>
      </c>
      <c r="G298" s="23" t="n">
        <v>45669</v>
      </c>
      <c r="H298" s="1" t="n">
        <v>61</v>
      </c>
      <c r="I298" s="24" t="n">
        <v>0</v>
      </c>
      <c r="K298" s="1" t="s">
        <v>64</v>
      </c>
      <c r="L298" s="1" t="s">
        <v>69</v>
      </c>
      <c r="M298" s="1" t="n">
        <v>30</v>
      </c>
      <c r="N298" s="1" t="s">
        <v>39</v>
      </c>
    </row>
    <row r="299" customFormat="false" ht="15" hidden="false" customHeight="true" outlineLevel="0" collapsed="false">
      <c r="A299" s="1" t="s">
        <v>1000</v>
      </c>
      <c r="B299" s="1" t="s">
        <v>1001</v>
      </c>
      <c r="C299" s="1" t="s">
        <v>1002</v>
      </c>
      <c r="D299" s="1" t="s">
        <v>165</v>
      </c>
      <c r="E299" s="1" t="s">
        <v>51</v>
      </c>
      <c r="F299" s="1" t="s">
        <v>59</v>
      </c>
      <c r="G299" s="23" t="n">
        <v>45719</v>
      </c>
      <c r="H299" s="1" t="n">
        <v>178</v>
      </c>
      <c r="I299" s="24" t="n">
        <v>0</v>
      </c>
      <c r="K299" s="1" t="s">
        <v>64</v>
      </c>
      <c r="L299" s="1" t="s">
        <v>69</v>
      </c>
      <c r="M299" s="1" t="n">
        <v>30</v>
      </c>
      <c r="N299" s="1" t="s">
        <v>38</v>
      </c>
    </row>
    <row r="300" customFormat="false" ht="15" hidden="false" customHeight="true" outlineLevel="0" collapsed="false">
      <c r="A300" s="1" t="s">
        <v>1003</v>
      </c>
      <c r="B300" s="1" t="s">
        <v>1004</v>
      </c>
      <c r="C300" s="1" t="s">
        <v>1005</v>
      </c>
      <c r="D300" s="1" t="s">
        <v>116</v>
      </c>
      <c r="E300" s="1" t="s">
        <v>51</v>
      </c>
      <c r="F300" s="1" t="s">
        <v>56</v>
      </c>
      <c r="G300" s="23" t="n">
        <v>45782</v>
      </c>
      <c r="H300" s="1" t="n">
        <v>68</v>
      </c>
      <c r="I300" s="24" t="n">
        <v>0</v>
      </c>
      <c r="K300" s="1" t="s">
        <v>64</v>
      </c>
      <c r="L300" s="1" t="s">
        <v>69</v>
      </c>
      <c r="M300" s="1" t="n">
        <v>21</v>
      </c>
      <c r="N300" s="1" t="s">
        <v>39</v>
      </c>
    </row>
    <row r="301" customFormat="false" ht="15" hidden="false" customHeight="true" outlineLevel="0" collapsed="false">
      <c r="A301" s="1" t="s">
        <v>1006</v>
      </c>
      <c r="B301" s="1" t="s">
        <v>1007</v>
      </c>
      <c r="C301" s="1" t="s">
        <v>1008</v>
      </c>
      <c r="D301" s="1" t="s">
        <v>125</v>
      </c>
      <c r="E301" s="1" t="s">
        <v>51</v>
      </c>
      <c r="F301" s="1" t="s">
        <v>56</v>
      </c>
      <c r="G301" s="23" t="n">
        <v>45644</v>
      </c>
      <c r="H301" s="1" t="n">
        <v>174</v>
      </c>
      <c r="I301" s="24" t="n">
        <v>0</v>
      </c>
      <c r="K301" s="1" t="s">
        <v>66</v>
      </c>
      <c r="L301" s="1" t="s">
        <v>69</v>
      </c>
      <c r="M301" s="1" t="n">
        <v>50</v>
      </c>
      <c r="N301" s="1" t="s">
        <v>38</v>
      </c>
    </row>
    <row r="302" customFormat="false" ht="15" hidden="false" customHeight="true" outlineLevel="0" collapsed="false">
      <c r="A302" s="1" t="s">
        <v>1009</v>
      </c>
      <c r="B302" s="1" t="s">
        <v>1010</v>
      </c>
      <c r="C302" s="1" t="s">
        <v>1011</v>
      </c>
      <c r="D302" s="1" t="s">
        <v>125</v>
      </c>
      <c r="E302" s="1" t="s">
        <v>50</v>
      </c>
      <c r="F302" s="1" t="s">
        <v>59</v>
      </c>
      <c r="G302" s="23" t="n">
        <v>45705</v>
      </c>
      <c r="H302" s="1" t="n">
        <v>42</v>
      </c>
      <c r="I302" s="24" t="n">
        <v>0</v>
      </c>
      <c r="K302" s="1" t="s">
        <v>64</v>
      </c>
      <c r="L302" s="1" t="s">
        <v>69</v>
      </c>
      <c r="M302" s="1" t="n">
        <v>15</v>
      </c>
      <c r="N302" s="1" t="s">
        <v>39</v>
      </c>
    </row>
    <row r="303" customFormat="false" ht="15" hidden="false" customHeight="true" outlineLevel="0" collapsed="false">
      <c r="A303" s="1" t="s">
        <v>1012</v>
      </c>
      <c r="B303" s="1" t="s">
        <v>1013</v>
      </c>
      <c r="C303" s="1" t="s">
        <v>1014</v>
      </c>
      <c r="D303" s="1" t="s">
        <v>120</v>
      </c>
      <c r="E303" s="1" t="s">
        <v>52</v>
      </c>
      <c r="F303" s="1" t="s">
        <v>56</v>
      </c>
      <c r="G303" s="23" t="n">
        <v>45664</v>
      </c>
      <c r="H303" s="1" t="n">
        <v>90</v>
      </c>
      <c r="I303" s="24" t="n">
        <v>0</v>
      </c>
      <c r="K303" s="1" t="s">
        <v>66</v>
      </c>
      <c r="L303" s="1" t="s">
        <v>69</v>
      </c>
      <c r="M303" s="1" t="n">
        <v>3</v>
      </c>
      <c r="N303" s="1" t="s">
        <v>39</v>
      </c>
    </row>
    <row r="304" customFormat="false" ht="15" hidden="false" customHeight="true" outlineLevel="0" collapsed="false">
      <c r="A304" s="1" t="s">
        <v>1015</v>
      </c>
      <c r="B304" s="1" t="s">
        <v>1016</v>
      </c>
      <c r="C304" s="1" t="s">
        <v>1017</v>
      </c>
      <c r="D304" s="1" t="s">
        <v>165</v>
      </c>
      <c r="E304" s="1" t="s">
        <v>50</v>
      </c>
      <c r="F304" s="1" t="s">
        <v>55</v>
      </c>
      <c r="G304" s="23" t="n">
        <v>45708</v>
      </c>
      <c r="H304" s="1" t="n">
        <v>70</v>
      </c>
      <c r="I304" s="24" t="n">
        <v>19.62</v>
      </c>
      <c r="J304" s="1" t="s">
        <v>241</v>
      </c>
      <c r="K304" s="1" t="s">
        <v>64</v>
      </c>
      <c r="L304" s="1" t="s">
        <v>70</v>
      </c>
      <c r="M304" s="1" t="n">
        <v>47</v>
      </c>
      <c r="N304" s="1" t="s">
        <v>39</v>
      </c>
    </row>
    <row r="305" customFormat="false" ht="15" hidden="false" customHeight="true" outlineLevel="0" collapsed="false">
      <c r="A305" s="1" t="s">
        <v>1018</v>
      </c>
      <c r="B305" s="1" t="s">
        <v>1019</v>
      </c>
      <c r="C305" s="1" t="s">
        <v>1020</v>
      </c>
      <c r="D305" s="1" t="s">
        <v>130</v>
      </c>
      <c r="E305" s="1" t="s">
        <v>50</v>
      </c>
      <c r="F305" s="1" t="s">
        <v>57</v>
      </c>
      <c r="G305" s="23" t="n">
        <v>45748</v>
      </c>
      <c r="H305" s="1" t="n">
        <v>93</v>
      </c>
      <c r="I305" s="24" t="n">
        <v>0</v>
      </c>
      <c r="K305" s="1" t="s">
        <v>64</v>
      </c>
      <c r="L305" s="1" t="s">
        <v>69</v>
      </c>
      <c r="M305" s="1" t="n">
        <v>47</v>
      </c>
      <c r="N305" s="1" t="s">
        <v>39</v>
      </c>
    </row>
    <row r="306" customFormat="false" ht="15" hidden="false" customHeight="true" outlineLevel="0" collapsed="false">
      <c r="A306" s="1" t="s">
        <v>1021</v>
      </c>
      <c r="B306" s="1" t="s">
        <v>1022</v>
      </c>
      <c r="C306" s="1" t="s">
        <v>1023</v>
      </c>
      <c r="D306" s="1" t="s">
        <v>116</v>
      </c>
      <c r="E306" s="1" t="s">
        <v>51</v>
      </c>
      <c r="F306" s="1" t="s">
        <v>56</v>
      </c>
      <c r="G306" s="23" t="n">
        <v>45801</v>
      </c>
      <c r="H306" s="1" t="n">
        <v>155</v>
      </c>
      <c r="I306" s="24" t="n">
        <v>31.24</v>
      </c>
      <c r="J306" s="1" t="s">
        <v>140</v>
      </c>
      <c r="K306" s="1" t="s">
        <v>64</v>
      </c>
      <c r="L306" s="1" t="s">
        <v>70</v>
      </c>
      <c r="M306" s="1" t="n">
        <v>33</v>
      </c>
      <c r="N306" s="1" t="s">
        <v>38</v>
      </c>
    </row>
    <row r="307" customFormat="false" ht="15" hidden="false" customHeight="true" outlineLevel="0" collapsed="false">
      <c r="A307" s="1" t="s">
        <v>1024</v>
      </c>
      <c r="B307" s="1" t="s">
        <v>1025</v>
      </c>
      <c r="C307" s="1" t="s">
        <v>1026</v>
      </c>
      <c r="D307" s="1" t="s">
        <v>130</v>
      </c>
      <c r="E307" s="1" t="s">
        <v>50</v>
      </c>
      <c r="F307" s="1" t="s">
        <v>57</v>
      </c>
      <c r="G307" s="23" t="n">
        <v>45785</v>
      </c>
      <c r="H307" s="1" t="n">
        <v>122</v>
      </c>
      <c r="I307" s="24" t="n">
        <v>40.31</v>
      </c>
      <c r="J307" s="1" t="s">
        <v>140</v>
      </c>
      <c r="K307" s="1" t="s">
        <v>64</v>
      </c>
      <c r="L307" s="1" t="s">
        <v>70</v>
      </c>
      <c r="M307" s="1" t="n">
        <v>33</v>
      </c>
      <c r="N307" s="1" t="s">
        <v>38</v>
      </c>
    </row>
    <row r="308" customFormat="false" ht="15" hidden="false" customHeight="true" outlineLevel="0" collapsed="false">
      <c r="A308" s="1" t="s">
        <v>1027</v>
      </c>
      <c r="B308" s="1" t="s">
        <v>1028</v>
      </c>
      <c r="C308" s="1" t="s">
        <v>1029</v>
      </c>
      <c r="D308" s="1" t="s">
        <v>165</v>
      </c>
      <c r="E308" s="1" t="s">
        <v>52</v>
      </c>
      <c r="F308" s="1" t="s">
        <v>57</v>
      </c>
      <c r="G308" s="23" t="n">
        <v>45719</v>
      </c>
      <c r="H308" s="1" t="n">
        <v>62</v>
      </c>
      <c r="I308" s="24" t="n">
        <v>0</v>
      </c>
      <c r="K308" s="1" t="s">
        <v>67</v>
      </c>
      <c r="L308" s="1" t="s">
        <v>69</v>
      </c>
      <c r="M308" s="1" t="n">
        <v>19</v>
      </c>
      <c r="N308" s="1" t="s">
        <v>39</v>
      </c>
    </row>
    <row r="309" customFormat="false" ht="15" hidden="false" customHeight="true" outlineLevel="0" collapsed="false">
      <c r="A309" s="1" t="s">
        <v>1030</v>
      </c>
      <c r="B309" s="1" t="s">
        <v>1031</v>
      </c>
      <c r="C309" s="1" t="s">
        <v>1032</v>
      </c>
      <c r="D309" s="1" t="s">
        <v>165</v>
      </c>
      <c r="E309" s="1" t="s">
        <v>51</v>
      </c>
      <c r="F309" s="1" t="s">
        <v>56</v>
      </c>
      <c r="G309" s="23" t="n">
        <v>45794</v>
      </c>
      <c r="H309" s="1" t="n">
        <v>31</v>
      </c>
      <c r="I309" s="24" t="n">
        <v>0</v>
      </c>
      <c r="K309" s="1" t="s">
        <v>64</v>
      </c>
      <c r="L309" s="1" t="s">
        <v>69</v>
      </c>
      <c r="M309" s="1" t="n">
        <v>18</v>
      </c>
      <c r="N309" s="1" t="s">
        <v>39</v>
      </c>
    </row>
    <row r="310" customFormat="false" ht="15" hidden="false" customHeight="true" outlineLevel="0" collapsed="false">
      <c r="A310" s="1" t="s">
        <v>1033</v>
      </c>
      <c r="B310" s="1" t="s">
        <v>1034</v>
      </c>
      <c r="C310" s="1" t="s">
        <v>1035</v>
      </c>
      <c r="D310" s="1" t="s">
        <v>116</v>
      </c>
      <c r="E310" s="1" t="s">
        <v>50</v>
      </c>
      <c r="F310" s="1" t="s">
        <v>58</v>
      </c>
      <c r="G310" s="23" t="n">
        <v>45759</v>
      </c>
      <c r="H310" s="1" t="n">
        <v>109</v>
      </c>
      <c r="I310" s="24" t="n">
        <v>0</v>
      </c>
      <c r="K310" s="1" t="s">
        <v>64</v>
      </c>
      <c r="L310" s="1" t="s">
        <v>69</v>
      </c>
      <c r="M310" s="1" t="n">
        <v>40</v>
      </c>
      <c r="N310" s="1" t="s">
        <v>39</v>
      </c>
    </row>
    <row r="311" customFormat="false" ht="15" hidden="false" customHeight="true" outlineLevel="0" collapsed="false">
      <c r="A311" s="1" t="s">
        <v>1036</v>
      </c>
      <c r="B311" s="1" t="s">
        <v>1037</v>
      </c>
      <c r="C311" s="1" t="s">
        <v>1038</v>
      </c>
      <c r="D311" s="1" t="s">
        <v>125</v>
      </c>
      <c r="E311" s="1" t="s">
        <v>52</v>
      </c>
      <c r="F311" s="1" t="s">
        <v>56</v>
      </c>
      <c r="G311" s="23" t="n">
        <v>45708</v>
      </c>
      <c r="H311" s="1" t="n">
        <v>178</v>
      </c>
      <c r="I311" s="24" t="n">
        <v>38.37</v>
      </c>
      <c r="J311" s="1" t="s">
        <v>140</v>
      </c>
      <c r="K311" s="1" t="s">
        <v>64</v>
      </c>
      <c r="L311" s="1" t="s">
        <v>70</v>
      </c>
      <c r="M311" s="1" t="n">
        <v>32</v>
      </c>
      <c r="N311" s="1" t="s">
        <v>38</v>
      </c>
    </row>
    <row r="312" customFormat="false" ht="15" hidden="false" customHeight="true" outlineLevel="0" collapsed="false">
      <c r="A312" s="1" t="s">
        <v>1039</v>
      </c>
      <c r="B312" s="1" t="s">
        <v>1040</v>
      </c>
      <c r="C312" s="1" t="s">
        <v>1041</v>
      </c>
      <c r="D312" s="1" t="s">
        <v>116</v>
      </c>
      <c r="E312" s="1" t="s">
        <v>50</v>
      </c>
      <c r="F312" s="1" t="s">
        <v>58</v>
      </c>
      <c r="G312" s="23" t="n">
        <v>45666</v>
      </c>
      <c r="H312" s="1" t="n">
        <v>34</v>
      </c>
      <c r="I312" s="24" t="n">
        <v>0</v>
      </c>
      <c r="K312" s="1" t="s">
        <v>64</v>
      </c>
      <c r="L312" s="1" t="s">
        <v>69</v>
      </c>
      <c r="M312" s="1" t="n">
        <v>12</v>
      </c>
      <c r="N312" s="1" t="s">
        <v>39</v>
      </c>
    </row>
    <row r="313" customFormat="false" ht="15" hidden="false" customHeight="true" outlineLevel="0" collapsed="false">
      <c r="A313" s="1" t="s">
        <v>1042</v>
      </c>
      <c r="B313" s="1" t="s">
        <v>1043</v>
      </c>
      <c r="C313" s="1" t="s">
        <v>1044</v>
      </c>
      <c r="D313" s="1" t="s">
        <v>130</v>
      </c>
      <c r="E313" s="1" t="s">
        <v>52</v>
      </c>
      <c r="F313" s="1" t="s">
        <v>56</v>
      </c>
      <c r="G313" s="23" t="n">
        <v>45812</v>
      </c>
      <c r="H313" s="1" t="n">
        <v>139</v>
      </c>
      <c r="I313" s="24" t="n">
        <v>0</v>
      </c>
      <c r="K313" s="1" t="s">
        <v>64</v>
      </c>
      <c r="L313" s="1" t="s">
        <v>69</v>
      </c>
      <c r="M313" s="1" t="n">
        <v>1</v>
      </c>
      <c r="N313" s="1" t="s">
        <v>39</v>
      </c>
    </row>
    <row r="314" customFormat="false" ht="15" hidden="false" customHeight="true" outlineLevel="0" collapsed="false">
      <c r="A314" s="1" t="s">
        <v>1045</v>
      </c>
      <c r="B314" s="1" t="s">
        <v>1046</v>
      </c>
      <c r="C314" s="1" t="s">
        <v>1047</v>
      </c>
      <c r="D314" s="1" t="s">
        <v>116</v>
      </c>
      <c r="E314" s="1" t="s">
        <v>50</v>
      </c>
      <c r="F314" s="1" t="s">
        <v>58</v>
      </c>
      <c r="G314" s="23" t="n">
        <v>45682</v>
      </c>
      <c r="H314" s="1" t="n">
        <v>81</v>
      </c>
      <c r="I314" s="24" t="n">
        <v>0</v>
      </c>
      <c r="K314" s="1" t="s">
        <v>67</v>
      </c>
      <c r="L314" s="1" t="s">
        <v>69</v>
      </c>
      <c r="M314" s="1" t="n">
        <v>21</v>
      </c>
      <c r="N314" s="1" t="s">
        <v>39</v>
      </c>
    </row>
    <row r="315" customFormat="false" ht="15" hidden="false" customHeight="true" outlineLevel="0" collapsed="false">
      <c r="A315" s="1" t="s">
        <v>1048</v>
      </c>
      <c r="B315" s="1" t="s">
        <v>1049</v>
      </c>
      <c r="C315" s="1" t="s">
        <v>1050</v>
      </c>
      <c r="D315" s="1" t="s">
        <v>116</v>
      </c>
      <c r="E315" s="1" t="s">
        <v>50</v>
      </c>
      <c r="F315" s="1" t="s">
        <v>59</v>
      </c>
      <c r="G315" s="23" t="n">
        <v>45647</v>
      </c>
      <c r="H315" s="1" t="n">
        <v>13</v>
      </c>
      <c r="I315" s="24" t="n">
        <v>0</v>
      </c>
      <c r="K315" s="1" t="s">
        <v>64</v>
      </c>
      <c r="L315" s="1" t="s">
        <v>69</v>
      </c>
      <c r="M315" s="1" t="n">
        <v>12</v>
      </c>
      <c r="N315" s="1" t="s">
        <v>39</v>
      </c>
    </row>
    <row r="316" customFormat="false" ht="15" hidden="false" customHeight="true" outlineLevel="0" collapsed="false">
      <c r="A316" s="1" t="s">
        <v>1051</v>
      </c>
      <c r="B316" s="1" t="s">
        <v>1052</v>
      </c>
      <c r="C316" s="1" t="s">
        <v>1053</v>
      </c>
      <c r="D316" s="1" t="s">
        <v>116</v>
      </c>
      <c r="E316" s="1" t="s">
        <v>51</v>
      </c>
      <c r="F316" s="1" t="s">
        <v>60</v>
      </c>
      <c r="G316" s="23" t="n">
        <v>45664</v>
      </c>
      <c r="H316" s="1" t="n">
        <v>85</v>
      </c>
      <c r="I316" s="24" t="n">
        <v>0</v>
      </c>
      <c r="K316" s="1" t="s">
        <v>64</v>
      </c>
      <c r="L316" s="1" t="s">
        <v>69</v>
      </c>
      <c r="M316" s="1" t="n">
        <v>28</v>
      </c>
      <c r="N316" s="1" t="s">
        <v>39</v>
      </c>
    </row>
    <row r="317" customFormat="false" ht="15" hidden="false" customHeight="true" outlineLevel="0" collapsed="false">
      <c r="A317" s="1" t="s">
        <v>1054</v>
      </c>
      <c r="B317" s="1" t="s">
        <v>1055</v>
      </c>
      <c r="C317" s="1" t="s">
        <v>1056</v>
      </c>
      <c r="D317" s="1" t="s">
        <v>125</v>
      </c>
      <c r="E317" s="1" t="s">
        <v>52</v>
      </c>
      <c r="F317" s="1" t="s">
        <v>59</v>
      </c>
      <c r="G317" s="23" t="n">
        <v>45727</v>
      </c>
      <c r="H317" s="1" t="n">
        <v>158</v>
      </c>
      <c r="I317" s="24" t="n">
        <v>0</v>
      </c>
      <c r="K317" s="1" t="s">
        <v>65</v>
      </c>
      <c r="L317" s="1" t="s">
        <v>69</v>
      </c>
      <c r="M317" s="1" t="n">
        <v>22</v>
      </c>
      <c r="N317" s="1" t="s">
        <v>38</v>
      </c>
    </row>
    <row r="318" customFormat="false" ht="15" hidden="false" customHeight="true" outlineLevel="0" collapsed="false">
      <c r="A318" s="1" t="s">
        <v>1057</v>
      </c>
      <c r="B318" s="1" t="s">
        <v>1058</v>
      </c>
      <c r="C318" s="1" t="s">
        <v>1059</v>
      </c>
      <c r="D318" s="1" t="s">
        <v>116</v>
      </c>
      <c r="E318" s="1" t="s">
        <v>52</v>
      </c>
      <c r="F318" s="1" t="s">
        <v>57</v>
      </c>
      <c r="G318" s="23" t="n">
        <v>45776</v>
      </c>
      <c r="H318" s="1" t="n">
        <v>140</v>
      </c>
      <c r="I318" s="24" t="n">
        <v>0</v>
      </c>
      <c r="K318" s="1" t="s">
        <v>64</v>
      </c>
      <c r="L318" s="1" t="s">
        <v>69</v>
      </c>
      <c r="M318" s="1" t="n">
        <v>1</v>
      </c>
      <c r="N318" s="1" t="s">
        <v>39</v>
      </c>
    </row>
    <row r="319" customFormat="false" ht="15" hidden="false" customHeight="true" outlineLevel="0" collapsed="false">
      <c r="A319" s="1" t="s">
        <v>1060</v>
      </c>
      <c r="B319" s="1" t="s">
        <v>1061</v>
      </c>
      <c r="C319" s="1" t="s">
        <v>1062</v>
      </c>
      <c r="D319" s="1" t="s">
        <v>130</v>
      </c>
      <c r="E319" s="1" t="s">
        <v>51</v>
      </c>
      <c r="F319" s="1" t="s">
        <v>60</v>
      </c>
      <c r="G319" s="23" t="n">
        <v>45747</v>
      </c>
      <c r="H319" s="1" t="n">
        <v>179</v>
      </c>
      <c r="I319" s="24" t="n">
        <v>0</v>
      </c>
      <c r="K319" s="1" t="s">
        <v>64</v>
      </c>
      <c r="L319" s="1" t="s">
        <v>69</v>
      </c>
      <c r="M319" s="1" t="n">
        <v>5</v>
      </c>
      <c r="N319" s="1" t="s">
        <v>38</v>
      </c>
    </row>
    <row r="320" customFormat="false" ht="15" hidden="false" customHeight="true" outlineLevel="0" collapsed="false">
      <c r="A320" s="1" t="s">
        <v>1063</v>
      </c>
      <c r="B320" s="1" t="s">
        <v>1064</v>
      </c>
      <c r="C320" s="1" t="s">
        <v>1065</v>
      </c>
      <c r="D320" s="1" t="s">
        <v>125</v>
      </c>
      <c r="E320" s="1" t="s">
        <v>51</v>
      </c>
      <c r="F320" s="1" t="s">
        <v>59</v>
      </c>
      <c r="G320" s="23" t="n">
        <v>45666</v>
      </c>
      <c r="H320" s="1" t="n">
        <v>73</v>
      </c>
      <c r="I320" s="24" t="n">
        <v>0</v>
      </c>
      <c r="K320" s="1" t="s">
        <v>67</v>
      </c>
      <c r="L320" s="1" t="s">
        <v>69</v>
      </c>
      <c r="M320" s="1" t="n">
        <v>15</v>
      </c>
      <c r="N320" s="1" t="s">
        <v>39</v>
      </c>
    </row>
    <row r="321" customFormat="false" ht="15" hidden="false" customHeight="true" outlineLevel="0" collapsed="false">
      <c r="A321" s="1" t="s">
        <v>1066</v>
      </c>
      <c r="B321" s="1" t="s">
        <v>1067</v>
      </c>
      <c r="C321" s="1" t="s">
        <v>1068</v>
      </c>
      <c r="D321" s="1" t="s">
        <v>165</v>
      </c>
      <c r="E321" s="1" t="s">
        <v>51</v>
      </c>
      <c r="F321" s="1" t="s">
        <v>56</v>
      </c>
      <c r="G321" s="23" t="n">
        <v>45747</v>
      </c>
      <c r="H321" s="1" t="n">
        <v>83</v>
      </c>
      <c r="I321" s="24" t="n">
        <v>0</v>
      </c>
      <c r="K321" s="1" t="s">
        <v>64</v>
      </c>
      <c r="L321" s="1" t="s">
        <v>69</v>
      </c>
      <c r="M321" s="1" t="n">
        <v>1</v>
      </c>
      <c r="N321" s="1" t="s">
        <v>39</v>
      </c>
    </row>
    <row r="322" customFormat="false" ht="15" hidden="false" customHeight="true" outlineLevel="0" collapsed="false">
      <c r="A322" s="1" t="s">
        <v>1069</v>
      </c>
      <c r="B322" s="1" t="s">
        <v>1070</v>
      </c>
      <c r="C322" s="1" t="s">
        <v>1071</v>
      </c>
      <c r="D322" s="1" t="s">
        <v>120</v>
      </c>
      <c r="E322" s="1" t="s">
        <v>51</v>
      </c>
      <c r="F322" s="1" t="s">
        <v>57</v>
      </c>
      <c r="G322" s="23" t="n">
        <v>45678</v>
      </c>
      <c r="H322" s="1" t="n">
        <v>152</v>
      </c>
      <c r="I322" s="24" t="n">
        <v>0</v>
      </c>
      <c r="K322" s="1" t="s">
        <v>64</v>
      </c>
      <c r="L322" s="1" t="s">
        <v>69</v>
      </c>
      <c r="M322" s="1" t="n">
        <v>31</v>
      </c>
      <c r="N322" s="1" t="s">
        <v>38</v>
      </c>
    </row>
    <row r="323" customFormat="false" ht="15" hidden="false" customHeight="true" outlineLevel="0" collapsed="false">
      <c r="A323" s="1" t="s">
        <v>1072</v>
      </c>
      <c r="B323" s="1" t="s">
        <v>1073</v>
      </c>
      <c r="C323" s="1" t="s">
        <v>1074</v>
      </c>
      <c r="D323" s="1" t="s">
        <v>116</v>
      </c>
      <c r="E323" s="1" t="s">
        <v>51</v>
      </c>
      <c r="F323" s="1" t="s">
        <v>55</v>
      </c>
      <c r="G323" s="23" t="n">
        <v>45688</v>
      </c>
      <c r="H323" s="1" t="n">
        <v>156</v>
      </c>
      <c r="I323" s="24" t="n">
        <v>0</v>
      </c>
      <c r="K323" s="1" t="s">
        <v>65</v>
      </c>
      <c r="L323" s="1" t="s">
        <v>69</v>
      </c>
      <c r="M323" s="1" t="n">
        <v>14</v>
      </c>
      <c r="N323" s="1" t="s">
        <v>38</v>
      </c>
    </row>
    <row r="324" customFormat="false" ht="15" hidden="false" customHeight="true" outlineLevel="0" collapsed="false">
      <c r="A324" s="1" t="s">
        <v>1075</v>
      </c>
      <c r="B324" s="1" t="s">
        <v>1076</v>
      </c>
      <c r="C324" s="1" t="s">
        <v>1077</v>
      </c>
      <c r="D324" s="1" t="s">
        <v>120</v>
      </c>
      <c r="E324" s="1" t="s">
        <v>50</v>
      </c>
      <c r="F324" s="1" t="s">
        <v>60</v>
      </c>
      <c r="G324" s="23" t="n">
        <v>45788</v>
      </c>
      <c r="H324" s="1" t="n">
        <v>33</v>
      </c>
      <c r="I324" s="24" t="n">
        <v>0</v>
      </c>
      <c r="K324" s="1" t="s">
        <v>65</v>
      </c>
      <c r="L324" s="1" t="s">
        <v>69</v>
      </c>
      <c r="M324" s="1" t="n">
        <v>7</v>
      </c>
      <c r="N324" s="1" t="s">
        <v>39</v>
      </c>
    </row>
    <row r="325" customFormat="false" ht="15" hidden="false" customHeight="true" outlineLevel="0" collapsed="false">
      <c r="A325" s="1" t="s">
        <v>1078</v>
      </c>
      <c r="B325" s="1" t="s">
        <v>1079</v>
      </c>
      <c r="C325" s="1" t="s">
        <v>1080</v>
      </c>
      <c r="D325" s="1" t="s">
        <v>116</v>
      </c>
      <c r="E325" s="1" t="s">
        <v>51</v>
      </c>
      <c r="F325" s="1" t="s">
        <v>59</v>
      </c>
      <c r="G325" s="23" t="n">
        <v>45678</v>
      </c>
      <c r="H325" s="1" t="n">
        <v>128</v>
      </c>
      <c r="I325" s="24" t="n">
        <v>0</v>
      </c>
      <c r="K325" s="1" t="s">
        <v>64</v>
      </c>
      <c r="L325" s="1" t="s">
        <v>69</v>
      </c>
      <c r="M325" s="1" t="n">
        <v>35</v>
      </c>
      <c r="N325" s="1" t="s">
        <v>39</v>
      </c>
    </row>
    <row r="326" customFormat="false" ht="15" hidden="false" customHeight="true" outlineLevel="0" collapsed="false">
      <c r="A326" s="1" t="s">
        <v>1081</v>
      </c>
      <c r="B326" s="1" t="s">
        <v>1082</v>
      </c>
      <c r="C326" s="1" t="s">
        <v>1083</v>
      </c>
      <c r="D326" s="1" t="s">
        <v>116</v>
      </c>
      <c r="E326" s="1" t="s">
        <v>50</v>
      </c>
      <c r="F326" s="1" t="s">
        <v>59</v>
      </c>
      <c r="G326" s="23" t="n">
        <v>45694</v>
      </c>
      <c r="H326" s="1" t="n">
        <v>58</v>
      </c>
      <c r="I326" s="24" t="n">
        <v>0</v>
      </c>
      <c r="K326" s="1" t="s">
        <v>67</v>
      </c>
      <c r="L326" s="1" t="s">
        <v>69</v>
      </c>
      <c r="M326" s="1" t="n">
        <v>15</v>
      </c>
      <c r="N326" s="1" t="s">
        <v>39</v>
      </c>
    </row>
    <row r="327" customFormat="false" ht="15" hidden="false" customHeight="true" outlineLevel="0" collapsed="false">
      <c r="A327" s="1" t="s">
        <v>1084</v>
      </c>
      <c r="B327" s="1" t="s">
        <v>1085</v>
      </c>
      <c r="C327" s="1" t="s">
        <v>1086</v>
      </c>
      <c r="D327" s="1" t="s">
        <v>125</v>
      </c>
      <c r="E327" s="1" t="s">
        <v>50</v>
      </c>
      <c r="F327" s="1" t="s">
        <v>59</v>
      </c>
      <c r="G327" s="23" t="n">
        <v>45647</v>
      </c>
      <c r="H327" s="1" t="n">
        <v>77</v>
      </c>
      <c r="I327" s="24" t="n">
        <v>0</v>
      </c>
      <c r="K327" s="1" t="s">
        <v>64</v>
      </c>
      <c r="L327" s="1" t="s">
        <v>69</v>
      </c>
      <c r="M327" s="1" t="n">
        <v>11</v>
      </c>
      <c r="N327" s="1" t="s">
        <v>39</v>
      </c>
    </row>
    <row r="328" customFormat="false" ht="15" hidden="false" customHeight="true" outlineLevel="0" collapsed="false">
      <c r="A328" s="1" t="s">
        <v>1087</v>
      </c>
      <c r="B328" s="1" t="s">
        <v>1088</v>
      </c>
      <c r="C328" s="1" t="s">
        <v>1089</v>
      </c>
      <c r="D328" s="1" t="s">
        <v>130</v>
      </c>
      <c r="E328" s="1" t="s">
        <v>52</v>
      </c>
      <c r="F328" s="1" t="s">
        <v>59</v>
      </c>
      <c r="G328" s="23" t="n">
        <v>45641</v>
      </c>
      <c r="H328" s="1" t="n">
        <v>175</v>
      </c>
      <c r="I328" s="24" t="n">
        <v>0</v>
      </c>
      <c r="K328" s="1" t="s">
        <v>65</v>
      </c>
      <c r="L328" s="1" t="s">
        <v>70</v>
      </c>
      <c r="M328" s="1" t="n">
        <v>10</v>
      </c>
      <c r="N328" s="1" t="s">
        <v>38</v>
      </c>
    </row>
    <row r="329" customFormat="false" ht="15" hidden="false" customHeight="true" outlineLevel="0" collapsed="false">
      <c r="A329" s="1" t="s">
        <v>1090</v>
      </c>
      <c r="B329" s="1" t="s">
        <v>1091</v>
      </c>
      <c r="C329" s="1" t="s">
        <v>1092</v>
      </c>
      <c r="D329" s="1" t="s">
        <v>130</v>
      </c>
      <c r="E329" s="1" t="s">
        <v>51</v>
      </c>
      <c r="F329" s="1" t="s">
        <v>57</v>
      </c>
      <c r="G329" s="23" t="n">
        <v>45727</v>
      </c>
      <c r="H329" s="1" t="n">
        <v>90</v>
      </c>
      <c r="I329" s="24" t="n">
        <v>0</v>
      </c>
      <c r="K329" s="1" t="s">
        <v>64</v>
      </c>
      <c r="L329" s="1" t="s">
        <v>69</v>
      </c>
      <c r="M329" s="1" t="n">
        <v>50</v>
      </c>
      <c r="N329" s="1" t="s">
        <v>39</v>
      </c>
    </row>
    <row r="330" customFormat="false" ht="15" hidden="false" customHeight="true" outlineLevel="0" collapsed="false">
      <c r="A330" s="1" t="s">
        <v>1093</v>
      </c>
      <c r="B330" s="1" t="s">
        <v>1094</v>
      </c>
      <c r="C330" s="1" t="s">
        <v>1095</v>
      </c>
      <c r="D330" s="1" t="s">
        <v>165</v>
      </c>
      <c r="E330" s="1" t="s">
        <v>50</v>
      </c>
      <c r="F330" s="1" t="s">
        <v>55</v>
      </c>
      <c r="G330" s="23" t="n">
        <v>45793</v>
      </c>
      <c r="H330" s="1" t="n">
        <v>142</v>
      </c>
      <c r="I330" s="24" t="n">
        <v>0</v>
      </c>
      <c r="K330" s="1" t="s">
        <v>67</v>
      </c>
      <c r="L330" s="1" t="s">
        <v>69</v>
      </c>
      <c r="M330" s="1" t="n">
        <v>49</v>
      </c>
      <c r="N330" s="1" t="s">
        <v>39</v>
      </c>
    </row>
    <row r="331" customFormat="false" ht="15" hidden="false" customHeight="true" outlineLevel="0" collapsed="false">
      <c r="A331" s="1" t="s">
        <v>1096</v>
      </c>
      <c r="B331" s="1" t="s">
        <v>1097</v>
      </c>
      <c r="C331" s="1" t="s">
        <v>1098</v>
      </c>
      <c r="D331" s="1" t="s">
        <v>120</v>
      </c>
      <c r="E331" s="1" t="s">
        <v>51</v>
      </c>
      <c r="F331" s="1" t="s">
        <v>60</v>
      </c>
      <c r="G331" s="23" t="n">
        <v>45801</v>
      </c>
      <c r="H331" s="1" t="n">
        <v>102</v>
      </c>
      <c r="I331" s="24" t="n">
        <v>0</v>
      </c>
      <c r="K331" s="1" t="s">
        <v>64</v>
      </c>
      <c r="L331" s="1" t="s">
        <v>70</v>
      </c>
      <c r="M331" s="1" t="n">
        <v>44</v>
      </c>
      <c r="N331" s="1" t="s">
        <v>39</v>
      </c>
    </row>
    <row r="332" customFormat="false" ht="15" hidden="false" customHeight="true" outlineLevel="0" collapsed="false">
      <c r="A332" s="1" t="s">
        <v>1099</v>
      </c>
      <c r="B332" s="1" t="s">
        <v>1100</v>
      </c>
      <c r="C332" s="1" t="s">
        <v>1101</v>
      </c>
      <c r="D332" s="1" t="s">
        <v>116</v>
      </c>
      <c r="E332" s="1" t="s">
        <v>50</v>
      </c>
      <c r="F332" s="1" t="s">
        <v>57</v>
      </c>
      <c r="G332" s="23" t="n">
        <v>45737</v>
      </c>
      <c r="H332" s="1" t="n">
        <v>47</v>
      </c>
      <c r="I332" s="24" t="n">
        <v>0</v>
      </c>
      <c r="K332" s="1" t="s">
        <v>64</v>
      </c>
      <c r="L332" s="1" t="s">
        <v>70</v>
      </c>
      <c r="M332" s="1" t="n">
        <v>49</v>
      </c>
      <c r="N332" s="1" t="s">
        <v>39</v>
      </c>
    </row>
    <row r="333" customFormat="false" ht="15" hidden="false" customHeight="true" outlineLevel="0" collapsed="false">
      <c r="A333" s="1" t="s">
        <v>1102</v>
      </c>
      <c r="B333" s="1" t="s">
        <v>1103</v>
      </c>
      <c r="C333" s="1" t="s">
        <v>1104</v>
      </c>
      <c r="D333" s="1" t="s">
        <v>116</v>
      </c>
      <c r="E333" s="1" t="s">
        <v>52</v>
      </c>
      <c r="F333" s="1" t="s">
        <v>55</v>
      </c>
      <c r="G333" s="23" t="n">
        <v>45799</v>
      </c>
      <c r="H333" s="1" t="n">
        <v>100</v>
      </c>
      <c r="I333" s="24" t="n">
        <v>0</v>
      </c>
      <c r="K333" s="1" t="s">
        <v>64</v>
      </c>
      <c r="L333" s="1" t="s">
        <v>69</v>
      </c>
      <c r="M333" s="1" t="n">
        <v>25</v>
      </c>
      <c r="N333" s="1" t="s">
        <v>39</v>
      </c>
    </row>
    <row r="334" customFormat="false" ht="15" hidden="false" customHeight="true" outlineLevel="0" collapsed="false">
      <c r="A334" s="1" t="s">
        <v>1105</v>
      </c>
      <c r="B334" s="1" t="s">
        <v>1106</v>
      </c>
      <c r="C334" s="1" t="s">
        <v>1107</v>
      </c>
      <c r="D334" s="1" t="s">
        <v>116</v>
      </c>
      <c r="E334" s="1" t="s">
        <v>51</v>
      </c>
      <c r="F334" s="1" t="s">
        <v>59</v>
      </c>
      <c r="G334" s="23" t="n">
        <v>45702</v>
      </c>
      <c r="H334" s="1" t="n">
        <v>30</v>
      </c>
      <c r="I334" s="24" t="n">
        <v>36.8</v>
      </c>
      <c r="J334" s="1" t="s">
        <v>241</v>
      </c>
      <c r="K334" s="1" t="s">
        <v>66</v>
      </c>
      <c r="L334" s="1" t="s">
        <v>70</v>
      </c>
      <c r="M334" s="1" t="n">
        <v>24</v>
      </c>
      <c r="N334" s="1" t="s">
        <v>39</v>
      </c>
    </row>
    <row r="335" customFormat="false" ht="15" hidden="false" customHeight="true" outlineLevel="0" collapsed="false">
      <c r="A335" s="1" t="s">
        <v>1108</v>
      </c>
      <c r="B335" s="1" t="s">
        <v>1109</v>
      </c>
      <c r="C335" s="1" t="s">
        <v>1110</v>
      </c>
      <c r="D335" s="1" t="s">
        <v>125</v>
      </c>
      <c r="E335" s="1" t="s">
        <v>52</v>
      </c>
      <c r="F335" s="1" t="s">
        <v>56</v>
      </c>
      <c r="G335" s="23" t="n">
        <v>45734</v>
      </c>
      <c r="H335" s="1" t="n">
        <v>180</v>
      </c>
      <c r="I335" s="24" t="n">
        <v>0</v>
      </c>
      <c r="K335" s="1" t="s">
        <v>64</v>
      </c>
      <c r="L335" s="1" t="s">
        <v>69</v>
      </c>
      <c r="M335" s="1" t="n">
        <v>18</v>
      </c>
      <c r="N335" s="1" t="s">
        <v>38</v>
      </c>
    </row>
    <row r="336" customFormat="false" ht="15" hidden="false" customHeight="true" outlineLevel="0" collapsed="false">
      <c r="A336" s="1" t="s">
        <v>1111</v>
      </c>
      <c r="B336" s="1" t="s">
        <v>1112</v>
      </c>
      <c r="C336" s="1" t="s">
        <v>1113</v>
      </c>
      <c r="D336" s="1" t="s">
        <v>165</v>
      </c>
      <c r="E336" s="1" t="s">
        <v>52</v>
      </c>
      <c r="F336" s="1" t="s">
        <v>57</v>
      </c>
      <c r="G336" s="23" t="n">
        <v>45657</v>
      </c>
      <c r="H336" s="1" t="n">
        <v>18</v>
      </c>
      <c r="I336" s="24" t="n">
        <v>36.07</v>
      </c>
      <c r="J336" s="1" t="s">
        <v>140</v>
      </c>
      <c r="K336" s="1" t="s">
        <v>64</v>
      </c>
      <c r="L336" s="1" t="s">
        <v>70</v>
      </c>
      <c r="M336" s="1" t="n">
        <v>4</v>
      </c>
      <c r="N336" s="1" t="s">
        <v>39</v>
      </c>
    </row>
    <row r="337" customFormat="false" ht="15" hidden="false" customHeight="true" outlineLevel="0" collapsed="false">
      <c r="A337" s="1" t="s">
        <v>1114</v>
      </c>
      <c r="B337" s="1" t="s">
        <v>1115</v>
      </c>
      <c r="C337" s="1" t="s">
        <v>1116</v>
      </c>
      <c r="D337" s="1" t="s">
        <v>116</v>
      </c>
      <c r="E337" s="1" t="s">
        <v>52</v>
      </c>
      <c r="F337" s="1" t="s">
        <v>55</v>
      </c>
      <c r="G337" s="23" t="n">
        <v>45676</v>
      </c>
      <c r="H337" s="1" t="n">
        <v>5</v>
      </c>
      <c r="I337" s="24" t="n">
        <v>14.86</v>
      </c>
      <c r="J337" s="1" t="s">
        <v>140</v>
      </c>
      <c r="K337" s="1" t="s">
        <v>67</v>
      </c>
      <c r="L337" s="1" t="s">
        <v>70</v>
      </c>
      <c r="M337" s="1" t="n">
        <v>23</v>
      </c>
      <c r="N337" s="1" t="s">
        <v>39</v>
      </c>
    </row>
    <row r="338" customFormat="false" ht="15" hidden="false" customHeight="true" outlineLevel="0" collapsed="false">
      <c r="A338" s="1" t="s">
        <v>1117</v>
      </c>
      <c r="B338" s="1" t="s">
        <v>1118</v>
      </c>
      <c r="C338" s="1" t="s">
        <v>1119</v>
      </c>
      <c r="D338" s="1" t="s">
        <v>165</v>
      </c>
      <c r="E338" s="1" t="s">
        <v>51</v>
      </c>
      <c r="F338" s="1" t="s">
        <v>56</v>
      </c>
      <c r="G338" s="23" t="n">
        <v>45665</v>
      </c>
      <c r="H338" s="1" t="n">
        <v>159</v>
      </c>
      <c r="I338" s="24" t="n">
        <v>0</v>
      </c>
      <c r="K338" s="1" t="s">
        <v>64</v>
      </c>
      <c r="L338" s="1" t="s">
        <v>69</v>
      </c>
      <c r="M338" s="1" t="n">
        <v>20</v>
      </c>
      <c r="N338" s="1" t="s">
        <v>38</v>
      </c>
    </row>
    <row r="339" customFormat="false" ht="15" hidden="false" customHeight="true" outlineLevel="0" collapsed="false">
      <c r="A339" s="1" t="s">
        <v>1120</v>
      </c>
      <c r="B339" s="1" t="s">
        <v>1121</v>
      </c>
      <c r="C339" s="1" t="s">
        <v>1122</v>
      </c>
      <c r="D339" s="1" t="s">
        <v>165</v>
      </c>
      <c r="E339" s="1" t="s">
        <v>51</v>
      </c>
      <c r="F339" s="1" t="s">
        <v>56</v>
      </c>
      <c r="G339" s="23" t="n">
        <v>45732</v>
      </c>
      <c r="H339" s="1" t="n">
        <v>161</v>
      </c>
      <c r="I339" s="24" t="n">
        <v>45.73</v>
      </c>
      <c r="J339" s="1" t="s">
        <v>121</v>
      </c>
      <c r="K339" s="1" t="s">
        <v>64</v>
      </c>
      <c r="L339" s="1" t="s">
        <v>70</v>
      </c>
      <c r="M339" s="1" t="n">
        <v>4</v>
      </c>
      <c r="N339" s="1" t="s">
        <v>38</v>
      </c>
    </row>
    <row r="340" customFormat="false" ht="15" hidden="false" customHeight="true" outlineLevel="0" collapsed="false">
      <c r="A340" s="1" t="s">
        <v>1123</v>
      </c>
      <c r="B340" s="1" t="s">
        <v>1124</v>
      </c>
      <c r="C340" s="1" t="s">
        <v>1125</v>
      </c>
      <c r="D340" s="1" t="s">
        <v>120</v>
      </c>
      <c r="E340" s="1" t="s">
        <v>52</v>
      </c>
      <c r="F340" s="1" t="s">
        <v>56</v>
      </c>
      <c r="G340" s="23" t="n">
        <v>45723</v>
      </c>
      <c r="H340" s="1" t="n">
        <v>13</v>
      </c>
      <c r="I340" s="24" t="n">
        <v>0</v>
      </c>
      <c r="K340" s="1" t="s">
        <v>66</v>
      </c>
      <c r="L340" s="1" t="s">
        <v>69</v>
      </c>
      <c r="M340" s="1" t="n">
        <v>49</v>
      </c>
      <c r="N340" s="1" t="s">
        <v>39</v>
      </c>
    </row>
    <row r="341" customFormat="false" ht="15" hidden="false" customHeight="true" outlineLevel="0" collapsed="false">
      <c r="A341" s="1" t="s">
        <v>1126</v>
      </c>
      <c r="B341" s="1" t="s">
        <v>1127</v>
      </c>
      <c r="C341" s="1" t="s">
        <v>1128</v>
      </c>
      <c r="D341" s="1" t="s">
        <v>125</v>
      </c>
      <c r="E341" s="1" t="s">
        <v>51</v>
      </c>
      <c r="F341" s="1" t="s">
        <v>59</v>
      </c>
      <c r="G341" s="23" t="n">
        <v>45759</v>
      </c>
      <c r="H341" s="1" t="n">
        <v>110</v>
      </c>
      <c r="I341" s="24" t="n">
        <v>0</v>
      </c>
      <c r="K341" s="1" t="s">
        <v>64</v>
      </c>
      <c r="L341" s="1" t="s">
        <v>69</v>
      </c>
      <c r="M341" s="1" t="n">
        <v>40</v>
      </c>
      <c r="N341" s="1" t="s">
        <v>39</v>
      </c>
    </row>
    <row r="342" customFormat="false" ht="15" hidden="false" customHeight="true" outlineLevel="0" collapsed="false">
      <c r="A342" s="1" t="s">
        <v>1129</v>
      </c>
      <c r="B342" s="1" t="s">
        <v>1130</v>
      </c>
      <c r="C342" s="1" t="s">
        <v>1131</v>
      </c>
      <c r="D342" s="1" t="s">
        <v>165</v>
      </c>
      <c r="E342" s="1" t="s">
        <v>51</v>
      </c>
      <c r="F342" s="1" t="s">
        <v>60</v>
      </c>
      <c r="G342" s="23" t="n">
        <v>45703</v>
      </c>
      <c r="H342" s="1" t="n">
        <v>22</v>
      </c>
      <c r="I342" s="24" t="n">
        <v>0</v>
      </c>
      <c r="K342" s="1" t="s">
        <v>64</v>
      </c>
      <c r="L342" s="1" t="s">
        <v>69</v>
      </c>
      <c r="M342" s="1" t="n">
        <v>34</v>
      </c>
      <c r="N342" s="1" t="s">
        <v>39</v>
      </c>
    </row>
    <row r="343" customFormat="false" ht="15" hidden="false" customHeight="true" outlineLevel="0" collapsed="false">
      <c r="A343" s="1" t="s">
        <v>1132</v>
      </c>
      <c r="B343" s="1" t="s">
        <v>1133</v>
      </c>
      <c r="C343" s="1" t="s">
        <v>1134</v>
      </c>
      <c r="D343" s="1" t="s">
        <v>120</v>
      </c>
      <c r="E343" s="1" t="s">
        <v>52</v>
      </c>
      <c r="F343" s="1" t="s">
        <v>59</v>
      </c>
      <c r="G343" s="23" t="n">
        <v>45789</v>
      </c>
      <c r="H343" s="1" t="n">
        <v>168</v>
      </c>
      <c r="I343" s="24" t="n">
        <v>33.73</v>
      </c>
      <c r="J343" s="1" t="s">
        <v>140</v>
      </c>
      <c r="K343" s="1" t="s">
        <v>64</v>
      </c>
      <c r="L343" s="1" t="s">
        <v>70</v>
      </c>
      <c r="M343" s="1" t="n">
        <v>48</v>
      </c>
      <c r="N343" s="1" t="s">
        <v>38</v>
      </c>
    </row>
    <row r="344" customFormat="false" ht="15" hidden="false" customHeight="true" outlineLevel="0" collapsed="false">
      <c r="A344" s="1" t="s">
        <v>1135</v>
      </c>
      <c r="B344" s="1" t="s">
        <v>1136</v>
      </c>
      <c r="C344" s="1" t="s">
        <v>1137</v>
      </c>
      <c r="D344" s="1" t="s">
        <v>125</v>
      </c>
      <c r="E344" s="1" t="s">
        <v>51</v>
      </c>
      <c r="F344" s="1" t="s">
        <v>55</v>
      </c>
      <c r="G344" s="23" t="n">
        <v>45668</v>
      </c>
      <c r="H344" s="1" t="n">
        <v>24</v>
      </c>
      <c r="I344" s="24" t="n">
        <v>0</v>
      </c>
      <c r="K344" s="1" t="s">
        <v>64</v>
      </c>
      <c r="L344" s="1" t="s">
        <v>69</v>
      </c>
      <c r="M344" s="1" t="n">
        <v>41</v>
      </c>
      <c r="N344" s="1" t="s">
        <v>39</v>
      </c>
    </row>
    <row r="345" customFormat="false" ht="15" hidden="false" customHeight="true" outlineLevel="0" collapsed="false">
      <c r="A345" s="1" t="s">
        <v>1138</v>
      </c>
      <c r="B345" s="1" t="s">
        <v>1139</v>
      </c>
      <c r="C345" s="1" t="s">
        <v>1140</v>
      </c>
      <c r="D345" s="1" t="s">
        <v>130</v>
      </c>
      <c r="E345" s="1" t="s">
        <v>50</v>
      </c>
      <c r="F345" s="1" t="s">
        <v>56</v>
      </c>
      <c r="G345" s="23" t="n">
        <v>45655</v>
      </c>
      <c r="H345" s="1" t="n">
        <v>166</v>
      </c>
      <c r="I345" s="24" t="n">
        <v>0</v>
      </c>
      <c r="K345" s="1" t="s">
        <v>67</v>
      </c>
      <c r="L345" s="1" t="s">
        <v>69</v>
      </c>
      <c r="M345" s="1" t="n">
        <v>30</v>
      </c>
      <c r="N345" s="1" t="s">
        <v>38</v>
      </c>
    </row>
    <row r="346" customFormat="false" ht="15" hidden="false" customHeight="true" outlineLevel="0" collapsed="false">
      <c r="A346" s="1" t="s">
        <v>1141</v>
      </c>
      <c r="B346" s="1" t="s">
        <v>1142</v>
      </c>
      <c r="C346" s="1" t="s">
        <v>1143</v>
      </c>
      <c r="D346" s="1" t="s">
        <v>165</v>
      </c>
      <c r="E346" s="1" t="s">
        <v>51</v>
      </c>
      <c r="F346" s="1" t="s">
        <v>56</v>
      </c>
      <c r="G346" s="23" t="n">
        <v>45756</v>
      </c>
      <c r="H346" s="1" t="n">
        <v>42</v>
      </c>
      <c r="I346" s="24" t="n">
        <v>0</v>
      </c>
      <c r="K346" s="1" t="s">
        <v>64</v>
      </c>
      <c r="L346" s="1" t="s">
        <v>70</v>
      </c>
      <c r="M346" s="1" t="n">
        <v>12</v>
      </c>
      <c r="N346" s="1" t="s">
        <v>39</v>
      </c>
    </row>
    <row r="347" customFormat="false" ht="15" hidden="false" customHeight="true" outlineLevel="0" collapsed="false">
      <c r="A347" s="1" t="s">
        <v>1144</v>
      </c>
      <c r="B347" s="1" t="s">
        <v>1145</v>
      </c>
      <c r="C347" s="1" t="s">
        <v>1146</v>
      </c>
      <c r="D347" s="1" t="s">
        <v>165</v>
      </c>
      <c r="E347" s="1" t="s">
        <v>51</v>
      </c>
      <c r="F347" s="1" t="s">
        <v>59</v>
      </c>
      <c r="G347" s="23" t="n">
        <v>45780</v>
      </c>
      <c r="H347" s="1" t="n">
        <v>39</v>
      </c>
      <c r="I347" s="24" t="n">
        <v>0</v>
      </c>
      <c r="K347" s="1" t="s">
        <v>64</v>
      </c>
      <c r="L347" s="1" t="s">
        <v>69</v>
      </c>
      <c r="M347" s="1" t="n">
        <v>49</v>
      </c>
      <c r="N347" s="1" t="s">
        <v>39</v>
      </c>
    </row>
    <row r="348" customFormat="false" ht="15" hidden="false" customHeight="true" outlineLevel="0" collapsed="false">
      <c r="A348" s="1" t="s">
        <v>1147</v>
      </c>
      <c r="B348" s="1" t="s">
        <v>1148</v>
      </c>
      <c r="C348" s="1" t="s">
        <v>1149</v>
      </c>
      <c r="D348" s="1" t="s">
        <v>130</v>
      </c>
      <c r="E348" s="1" t="s">
        <v>50</v>
      </c>
      <c r="F348" s="1" t="s">
        <v>58</v>
      </c>
      <c r="G348" s="23" t="n">
        <v>45766</v>
      </c>
      <c r="H348" s="1" t="n">
        <v>91</v>
      </c>
      <c r="I348" s="24" t="n">
        <v>13.08</v>
      </c>
      <c r="J348" s="1" t="s">
        <v>241</v>
      </c>
      <c r="K348" s="1" t="s">
        <v>64</v>
      </c>
      <c r="L348" s="1" t="s">
        <v>70</v>
      </c>
      <c r="M348" s="1" t="n">
        <v>17</v>
      </c>
      <c r="N348" s="1" t="s">
        <v>39</v>
      </c>
    </row>
    <row r="349" customFormat="false" ht="15" hidden="false" customHeight="true" outlineLevel="0" collapsed="false">
      <c r="A349" s="1" t="s">
        <v>1150</v>
      </c>
      <c r="B349" s="1" t="s">
        <v>1151</v>
      </c>
      <c r="C349" s="1" t="s">
        <v>1152</v>
      </c>
      <c r="D349" s="1" t="s">
        <v>120</v>
      </c>
      <c r="E349" s="1" t="s">
        <v>50</v>
      </c>
      <c r="F349" s="1" t="s">
        <v>55</v>
      </c>
      <c r="G349" s="23" t="n">
        <v>45782</v>
      </c>
      <c r="H349" s="1" t="n">
        <v>30</v>
      </c>
      <c r="I349" s="24" t="n">
        <v>0</v>
      </c>
      <c r="K349" s="1" t="s">
        <v>67</v>
      </c>
      <c r="L349" s="1" t="s">
        <v>69</v>
      </c>
      <c r="M349" s="1" t="n">
        <v>42</v>
      </c>
      <c r="N349" s="1" t="s">
        <v>39</v>
      </c>
    </row>
    <row r="350" customFormat="false" ht="15" hidden="false" customHeight="true" outlineLevel="0" collapsed="false">
      <c r="A350" s="1" t="s">
        <v>1153</v>
      </c>
      <c r="B350" s="1" t="s">
        <v>1154</v>
      </c>
      <c r="C350" s="1" t="s">
        <v>1155</v>
      </c>
      <c r="D350" s="1" t="s">
        <v>116</v>
      </c>
      <c r="E350" s="1" t="s">
        <v>50</v>
      </c>
      <c r="F350" s="1" t="s">
        <v>58</v>
      </c>
      <c r="G350" s="23" t="n">
        <v>45639</v>
      </c>
      <c r="H350" s="1" t="n">
        <v>44</v>
      </c>
      <c r="I350" s="24" t="n">
        <v>0</v>
      </c>
      <c r="K350" s="1" t="s">
        <v>64</v>
      </c>
      <c r="L350" s="1" t="s">
        <v>69</v>
      </c>
      <c r="M350" s="1" t="n">
        <v>19</v>
      </c>
      <c r="N350" s="1" t="s">
        <v>39</v>
      </c>
    </row>
    <row r="351" customFormat="false" ht="15" hidden="false" customHeight="true" outlineLevel="0" collapsed="false">
      <c r="A351" s="1" t="s">
        <v>1156</v>
      </c>
      <c r="B351" s="1" t="s">
        <v>1157</v>
      </c>
      <c r="C351" s="1" t="s">
        <v>1158</v>
      </c>
      <c r="D351" s="1" t="s">
        <v>120</v>
      </c>
      <c r="E351" s="1" t="s">
        <v>51</v>
      </c>
      <c r="F351" s="1" t="s">
        <v>60</v>
      </c>
      <c r="G351" s="23" t="n">
        <v>45730</v>
      </c>
      <c r="H351" s="1" t="n">
        <v>57</v>
      </c>
      <c r="I351" s="24" t="n">
        <v>0</v>
      </c>
      <c r="K351" s="1" t="s">
        <v>64</v>
      </c>
      <c r="L351" s="1" t="s">
        <v>70</v>
      </c>
      <c r="M351" s="1" t="n">
        <v>29</v>
      </c>
      <c r="N351" s="1" t="s">
        <v>39</v>
      </c>
    </row>
    <row r="352" customFormat="false" ht="15" hidden="false" customHeight="true" outlineLevel="0" collapsed="false">
      <c r="A352" s="1" t="s">
        <v>1159</v>
      </c>
      <c r="B352" s="1" t="s">
        <v>1160</v>
      </c>
      <c r="C352" s="1" t="s">
        <v>1161</v>
      </c>
      <c r="D352" s="1" t="s">
        <v>116</v>
      </c>
      <c r="E352" s="1" t="s">
        <v>52</v>
      </c>
      <c r="F352" s="1" t="s">
        <v>59</v>
      </c>
      <c r="G352" s="23" t="n">
        <v>45807</v>
      </c>
      <c r="H352" s="1" t="n">
        <v>165</v>
      </c>
      <c r="I352" s="24" t="n">
        <v>0</v>
      </c>
      <c r="K352" s="1" t="s">
        <v>64</v>
      </c>
      <c r="L352" s="1" t="s">
        <v>69</v>
      </c>
      <c r="M352" s="1" t="n">
        <v>15</v>
      </c>
      <c r="N352" s="1" t="s">
        <v>38</v>
      </c>
    </row>
    <row r="353" customFormat="false" ht="15" hidden="false" customHeight="true" outlineLevel="0" collapsed="false">
      <c r="A353" s="1" t="s">
        <v>1162</v>
      </c>
      <c r="B353" s="1" t="s">
        <v>1163</v>
      </c>
      <c r="C353" s="1" t="s">
        <v>1164</v>
      </c>
      <c r="D353" s="1" t="s">
        <v>125</v>
      </c>
      <c r="E353" s="1" t="s">
        <v>52</v>
      </c>
      <c r="F353" s="1" t="s">
        <v>56</v>
      </c>
      <c r="G353" s="23" t="n">
        <v>45712</v>
      </c>
      <c r="H353" s="1" t="n">
        <v>22</v>
      </c>
      <c r="I353" s="24" t="n">
        <v>0</v>
      </c>
      <c r="K353" s="1" t="s">
        <v>64</v>
      </c>
      <c r="L353" s="1" t="s">
        <v>69</v>
      </c>
      <c r="M353" s="1" t="n">
        <v>22</v>
      </c>
      <c r="N353" s="1" t="s">
        <v>39</v>
      </c>
    </row>
    <row r="354" customFormat="false" ht="15" hidden="false" customHeight="true" outlineLevel="0" collapsed="false">
      <c r="A354" s="1" t="s">
        <v>1165</v>
      </c>
      <c r="B354" s="1" t="s">
        <v>1166</v>
      </c>
      <c r="C354" s="1" t="s">
        <v>1167</v>
      </c>
      <c r="D354" s="1" t="s">
        <v>125</v>
      </c>
      <c r="E354" s="1" t="s">
        <v>52</v>
      </c>
      <c r="F354" s="1" t="s">
        <v>60</v>
      </c>
      <c r="G354" s="23" t="n">
        <v>45696</v>
      </c>
      <c r="H354" s="1" t="n">
        <v>21</v>
      </c>
      <c r="I354" s="24" t="n">
        <v>0</v>
      </c>
      <c r="K354" s="1" t="s">
        <v>64</v>
      </c>
      <c r="L354" s="1" t="s">
        <v>69</v>
      </c>
      <c r="M354" s="1" t="n">
        <v>46</v>
      </c>
      <c r="N354" s="1" t="s">
        <v>39</v>
      </c>
    </row>
    <row r="355" customFormat="false" ht="15" hidden="false" customHeight="true" outlineLevel="0" collapsed="false">
      <c r="A355" s="1" t="s">
        <v>1168</v>
      </c>
      <c r="B355" s="1" t="s">
        <v>1169</v>
      </c>
      <c r="C355" s="1" t="s">
        <v>1170</v>
      </c>
      <c r="D355" s="1" t="s">
        <v>120</v>
      </c>
      <c r="E355" s="1" t="s">
        <v>50</v>
      </c>
      <c r="F355" s="1" t="s">
        <v>58</v>
      </c>
      <c r="G355" s="23" t="n">
        <v>45731</v>
      </c>
      <c r="H355" s="1" t="n">
        <v>127</v>
      </c>
      <c r="I355" s="24" t="n">
        <v>0</v>
      </c>
      <c r="K355" s="1" t="s">
        <v>64</v>
      </c>
      <c r="L355" s="1" t="s">
        <v>69</v>
      </c>
      <c r="M355" s="1" t="n">
        <v>13</v>
      </c>
      <c r="N355" s="1" t="s">
        <v>39</v>
      </c>
    </row>
    <row r="356" customFormat="false" ht="15" hidden="false" customHeight="true" outlineLevel="0" collapsed="false">
      <c r="A356" s="1" t="s">
        <v>1171</v>
      </c>
      <c r="B356" s="1" t="s">
        <v>1172</v>
      </c>
      <c r="C356" s="1" t="s">
        <v>1173</v>
      </c>
      <c r="D356" s="1" t="s">
        <v>130</v>
      </c>
      <c r="E356" s="1" t="s">
        <v>50</v>
      </c>
      <c r="F356" s="1" t="s">
        <v>60</v>
      </c>
      <c r="G356" s="23" t="n">
        <v>45711</v>
      </c>
      <c r="H356" s="1" t="n">
        <v>21</v>
      </c>
      <c r="I356" s="24" t="n">
        <v>0</v>
      </c>
      <c r="K356" s="1" t="s">
        <v>64</v>
      </c>
      <c r="L356" s="1" t="s">
        <v>69</v>
      </c>
      <c r="M356" s="1" t="n">
        <v>2</v>
      </c>
      <c r="N356" s="1" t="s">
        <v>39</v>
      </c>
    </row>
    <row r="357" customFormat="false" ht="15" hidden="false" customHeight="true" outlineLevel="0" collapsed="false">
      <c r="A357" s="1" t="s">
        <v>1174</v>
      </c>
      <c r="B357" s="1" t="s">
        <v>1175</v>
      </c>
      <c r="C357" s="1" t="s">
        <v>1176</v>
      </c>
      <c r="D357" s="1" t="s">
        <v>165</v>
      </c>
      <c r="E357" s="1" t="s">
        <v>52</v>
      </c>
      <c r="F357" s="1" t="s">
        <v>59</v>
      </c>
      <c r="G357" s="23" t="n">
        <v>45717</v>
      </c>
      <c r="H357" s="1" t="n">
        <v>136</v>
      </c>
      <c r="I357" s="24" t="n">
        <v>0</v>
      </c>
      <c r="K357" s="1" t="s">
        <v>64</v>
      </c>
      <c r="L357" s="1" t="s">
        <v>69</v>
      </c>
      <c r="M357" s="1" t="n">
        <v>50</v>
      </c>
      <c r="N357" s="1" t="s">
        <v>39</v>
      </c>
    </row>
    <row r="358" customFormat="false" ht="15" hidden="false" customHeight="true" outlineLevel="0" collapsed="false">
      <c r="A358" s="1" t="s">
        <v>1177</v>
      </c>
      <c r="B358" s="1" t="s">
        <v>1178</v>
      </c>
      <c r="C358" s="1" t="s">
        <v>1179</v>
      </c>
      <c r="D358" s="1" t="s">
        <v>120</v>
      </c>
      <c r="E358" s="1" t="s">
        <v>52</v>
      </c>
      <c r="F358" s="1" t="s">
        <v>59</v>
      </c>
      <c r="G358" s="23" t="n">
        <v>45770</v>
      </c>
      <c r="H358" s="1" t="n">
        <v>41</v>
      </c>
      <c r="I358" s="24" t="n">
        <v>0</v>
      </c>
      <c r="K358" s="1" t="s">
        <v>64</v>
      </c>
      <c r="L358" s="1" t="s">
        <v>69</v>
      </c>
      <c r="M358" s="1" t="n">
        <v>27</v>
      </c>
      <c r="N358" s="1" t="s">
        <v>39</v>
      </c>
    </row>
    <row r="359" customFormat="false" ht="15" hidden="false" customHeight="true" outlineLevel="0" collapsed="false">
      <c r="A359" s="1" t="s">
        <v>1180</v>
      </c>
      <c r="B359" s="1" t="s">
        <v>1181</v>
      </c>
      <c r="C359" s="1" t="s">
        <v>1182</v>
      </c>
      <c r="D359" s="1" t="s">
        <v>116</v>
      </c>
      <c r="E359" s="1" t="s">
        <v>50</v>
      </c>
      <c r="F359" s="1" t="s">
        <v>55</v>
      </c>
      <c r="G359" s="23" t="n">
        <v>45798</v>
      </c>
      <c r="H359" s="1" t="n">
        <v>104</v>
      </c>
      <c r="I359" s="24" t="n">
        <v>0</v>
      </c>
      <c r="K359" s="1" t="s">
        <v>64</v>
      </c>
      <c r="L359" s="1" t="s">
        <v>69</v>
      </c>
      <c r="M359" s="1" t="n">
        <v>14</v>
      </c>
      <c r="N359" s="1" t="s">
        <v>39</v>
      </c>
    </row>
    <row r="360" customFormat="false" ht="15" hidden="false" customHeight="true" outlineLevel="0" collapsed="false">
      <c r="A360" s="1" t="s">
        <v>1183</v>
      </c>
      <c r="B360" s="1" t="s">
        <v>1184</v>
      </c>
      <c r="C360" s="1" t="s">
        <v>1185</v>
      </c>
      <c r="D360" s="1" t="s">
        <v>120</v>
      </c>
      <c r="E360" s="1" t="s">
        <v>52</v>
      </c>
      <c r="F360" s="1" t="s">
        <v>55</v>
      </c>
      <c r="G360" s="23" t="n">
        <v>45689</v>
      </c>
      <c r="H360" s="1" t="n">
        <v>84</v>
      </c>
      <c r="I360" s="24" t="n">
        <v>23.18</v>
      </c>
      <c r="J360" s="1" t="s">
        <v>126</v>
      </c>
      <c r="K360" s="1" t="s">
        <v>64</v>
      </c>
      <c r="L360" s="1" t="s">
        <v>70</v>
      </c>
      <c r="M360" s="1" t="n">
        <v>2</v>
      </c>
      <c r="N360" s="1" t="s">
        <v>39</v>
      </c>
    </row>
    <row r="361" customFormat="false" ht="15" hidden="false" customHeight="true" outlineLevel="0" collapsed="false">
      <c r="A361" s="1" t="s">
        <v>1186</v>
      </c>
      <c r="B361" s="1" t="s">
        <v>1187</v>
      </c>
      <c r="C361" s="1" t="s">
        <v>1188</v>
      </c>
      <c r="D361" s="1" t="s">
        <v>165</v>
      </c>
      <c r="E361" s="1" t="s">
        <v>51</v>
      </c>
      <c r="F361" s="1" t="s">
        <v>59</v>
      </c>
      <c r="G361" s="23" t="n">
        <v>45801</v>
      </c>
      <c r="H361" s="1" t="n">
        <v>71</v>
      </c>
      <c r="I361" s="24" t="n">
        <v>0</v>
      </c>
      <c r="K361" s="1" t="s">
        <v>64</v>
      </c>
      <c r="L361" s="1" t="s">
        <v>70</v>
      </c>
      <c r="M361" s="1" t="n">
        <v>5</v>
      </c>
      <c r="N361" s="1" t="s">
        <v>39</v>
      </c>
    </row>
    <row r="362" customFormat="false" ht="15" hidden="false" customHeight="true" outlineLevel="0" collapsed="false">
      <c r="A362" s="1" t="s">
        <v>1189</v>
      </c>
      <c r="B362" s="1" t="s">
        <v>1190</v>
      </c>
      <c r="C362" s="1" t="s">
        <v>1191</v>
      </c>
      <c r="D362" s="1" t="s">
        <v>120</v>
      </c>
      <c r="E362" s="1" t="s">
        <v>52</v>
      </c>
      <c r="F362" s="1" t="s">
        <v>55</v>
      </c>
      <c r="G362" s="23" t="n">
        <v>45690</v>
      </c>
      <c r="H362" s="1" t="n">
        <v>63</v>
      </c>
      <c r="I362" s="24" t="n">
        <v>0</v>
      </c>
      <c r="K362" s="1" t="s">
        <v>65</v>
      </c>
      <c r="L362" s="1" t="s">
        <v>69</v>
      </c>
      <c r="M362" s="1" t="n">
        <v>4</v>
      </c>
      <c r="N362" s="1" t="s">
        <v>39</v>
      </c>
    </row>
    <row r="363" customFormat="false" ht="15" hidden="false" customHeight="true" outlineLevel="0" collapsed="false">
      <c r="A363" s="1" t="s">
        <v>1192</v>
      </c>
      <c r="B363" s="1" t="s">
        <v>1193</v>
      </c>
      <c r="C363" s="1" t="s">
        <v>1194</v>
      </c>
      <c r="D363" s="1" t="s">
        <v>125</v>
      </c>
      <c r="E363" s="1" t="s">
        <v>52</v>
      </c>
      <c r="F363" s="1" t="s">
        <v>59</v>
      </c>
      <c r="G363" s="23" t="n">
        <v>45783</v>
      </c>
      <c r="H363" s="1" t="n">
        <v>63</v>
      </c>
      <c r="I363" s="24" t="n">
        <v>0</v>
      </c>
      <c r="K363" s="1" t="s">
        <v>64</v>
      </c>
      <c r="L363" s="1" t="s">
        <v>69</v>
      </c>
      <c r="M363" s="1" t="n">
        <v>15</v>
      </c>
      <c r="N363" s="1" t="s">
        <v>39</v>
      </c>
    </row>
    <row r="364" customFormat="false" ht="15" hidden="false" customHeight="true" outlineLevel="0" collapsed="false">
      <c r="A364" s="1" t="s">
        <v>1195</v>
      </c>
      <c r="B364" s="1" t="s">
        <v>1196</v>
      </c>
      <c r="C364" s="1" t="s">
        <v>1197</v>
      </c>
      <c r="D364" s="1" t="s">
        <v>120</v>
      </c>
      <c r="E364" s="1" t="s">
        <v>50</v>
      </c>
      <c r="F364" s="1" t="s">
        <v>57</v>
      </c>
      <c r="G364" s="23" t="n">
        <v>45817</v>
      </c>
      <c r="H364" s="1" t="n">
        <v>18</v>
      </c>
      <c r="I364" s="24" t="n">
        <v>0</v>
      </c>
      <c r="K364" s="1" t="s">
        <v>64</v>
      </c>
      <c r="L364" s="1" t="s">
        <v>69</v>
      </c>
      <c r="M364" s="1" t="n">
        <v>16</v>
      </c>
      <c r="N364" s="1" t="s">
        <v>39</v>
      </c>
    </row>
    <row r="365" customFormat="false" ht="15" hidden="false" customHeight="true" outlineLevel="0" collapsed="false">
      <c r="A365" s="1" t="s">
        <v>1198</v>
      </c>
      <c r="B365" s="1" t="s">
        <v>1199</v>
      </c>
      <c r="C365" s="1" t="s">
        <v>1200</v>
      </c>
      <c r="D365" s="1" t="s">
        <v>125</v>
      </c>
      <c r="E365" s="1" t="s">
        <v>50</v>
      </c>
      <c r="F365" s="1" t="s">
        <v>55</v>
      </c>
      <c r="G365" s="23" t="n">
        <v>45819</v>
      </c>
      <c r="H365" s="1" t="n">
        <v>73</v>
      </c>
      <c r="I365" s="24" t="n">
        <v>0</v>
      </c>
      <c r="K365" s="1" t="s">
        <v>64</v>
      </c>
      <c r="L365" s="1" t="s">
        <v>69</v>
      </c>
      <c r="M365" s="1" t="n">
        <v>11</v>
      </c>
      <c r="N365" s="1" t="s">
        <v>39</v>
      </c>
    </row>
    <row r="366" customFormat="false" ht="15" hidden="false" customHeight="true" outlineLevel="0" collapsed="false">
      <c r="A366" s="1" t="s">
        <v>1201</v>
      </c>
      <c r="B366" s="1" t="s">
        <v>1202</v>
      </c>
      <c r="C366" s="1" t="s">
        <v>1203</v>
      </c>
      <c r="D366" s="1" t="s">
        <v>125</v>
      </c>
      <c r="E366" s="1" t="s">
        <v>52</v>
      </c>
      <c r="F366" s="1" t="s">
        <v>60</v>
      </c>
      <c r="G366" s="23" t="n">
        <v>45671</v>
      </c>
      <c r="H366" s="1" t="n">
        <v>102</v>
      </c>
      <c r="I366" s="24" t="n">
        <v>0</v>
      </c>
      <c r="K366" s="1" t="s">
        <v>64</v>
      </c>
      <c r="L366" s="1" t="s">
        <v>69</v>
      </c>
      <c r="M366" s="1" t="n">
        <v>2</v>
      </c>
      <c r="N366" s="1" t="s">
        <v>39</v>
      </c>
    </row>
    <row r="367" customFormat="false" ht="15" hidden="false" customHeight="true" outlineLevel="0" collapsed="false">
      <c r="A367" s="1" t="s">
        <v>1204</v>
      </c>
      <c r="B367" s="1" t="s">
        <v>1205</v>
      </c>
      <c r="C367" s="1" t="s">
        <v>1206</v>
      </c>
      <c r="D367" s="1" t="s">
        <v>130</v>
      </c>
      <c r="E367" s="1" t="s">
        <v>52</v>
      </c>
      <c r="F367" s="1" t="s">
        <v>59</v>
      </c>
      <c r="G367" s="23" t="n">
        <v>45669</v>
      </c>
      <c r="H367" s="1" t="n">
        <v>91</v>
      </c>
      <c r="I367" s="24" t="n">
        <v>0</v>
      </c>
      <c r="K367" s="1" t="s">
        <v>64</v>
      </c>
      <c r="L367" s="1" t="s">
        <v>69</v>
      </c>
      <c r="M367" s="1" t="n">
        <v>31</v>
      </c>
      <c r="N367" s="1" t="s">
        <v>39</v>
      </c>
    </row>
    <row r="368" customFormat="false" ht="15" hidden="false" customHeight="true" outlineLevel="0" collapsed="false">
      <c r="A368" s="1" t="s">
        <v>1207</v>
      </c>
      <c r="B368" s="1" t="s">
        <v>1208</v>
      </c>
      <c r="C368" s="1" t="s">
        <v>1209</v>
      </c>
      <c r="D368" s="1" t="s">
        <v>125</v>
      </c>
      <c r="E368" s="1" t="s">
        <v>50</v>
      </c>
      <c r="F368" s="1" t="s">
        <v>59</v>
      </c>
      <c r="G368" s="23" t="n">
        <v>45763</v>
      </c>
      <c r="H368" s="1" t="n">
        <v>73</v>
      </c>
      <c r="I368" s="24" t="n">
        <v>0</v>
      </c>
      <c r="K368" s="1" t="s">
        <v>67</v>
      </c>
      <c r="L368" s="1" t="s">
        <v>69</v>
      </c>
      <c r="M368" s="1" t="n">
        <v>32</v>
      </c>
      <c r="N368" s="1" t="s">
        <v>39</v>
      </c>
    </row>
    <row r="369" customFormat="false" ht="15" hidden="false" customHeight="true" outlineLevel="0" collapsed="false">
      <c r="A369" s="1" t="s">
        <v>1210</v>
      </c>
      <c r="B369" s="1" t="s">
        <v>1211</v>
      </c>
      <c r="C369" s="1" t="s">
        <v>1212</v>
      </c>
      <c r="D369" s="1" t="s">
        <v>165</v>
      </c>
      <c r="E369" s="1" t="s">
        <v>50</v>
      </c>
      <c r="F369" s="1" t="s">
        <v>58</v>
      </c>
      <c r="G369" s="23" t="n">
        <v>45710</v>
      </c>
      <c r="H369" s="1" t="n">
        <v>80</v>
      </c>
      <c r="I369" s="24" t="n">
        <v>42.33</v>
      </c>
      <c r="J369" s="1" t="s">
        <v>121</v>
      </c>
      <c r="K369" s="1" t="s">
        <v>64</v>
      </c>
      <c r="L369" s="1" t="s">
        <v>70</v>
      </c>
      <c r="M369" s="1" t="n">
        <v>23</v>
      </c>
      <c r="N369" s="1" t="s">
        <v>38</v>
      </c>
    </row>
    <row r="370" customFormat="false" ht="15" hidden="false" customHeight="true" outlineLevel="0" collapsed="false">
      <c r="A370" s="1" t="s">
        <v>1213</v>
      </c>
      <c r="B370" s="1" t="s">
        <v>1214</v>
      </c>
      <c r="C370" s="1" t="s">
        <v>1215</v>
      </c>
      <c r="D370" s="1" t="s">
        <v>130</v>
      </c>
      <c r="E370" s="1" t="s">
        <v>50</v>
      </c>
      <c r="F370" s="1" t="s">
        <v>58</v>
      </c>
      <c r="G370" s="23" t="n">
        <v>45800</v>
      </c>
      <c r="H370" s="1" t="n">
        <v>6</v>
      </c>
      <c r="I370" s="24" t="n">
        <v>0</v>
      </c>
      <c r="K370" s="1" t="s">
        <v>64</v>
      </c>
      <c r="L370" s="1" t="s">
        <v>69</v>
      </c>
      <c r="M370" s="1" t="n">
        <v>12</v>
      </c>
      <c r="N370" s="1" t="s">
        <v>39</v>
      </c>
    </row>
    <row r="371" customFormat="false" ht="15" hidden="false" customHeight="true" outlineLevel="0" collapsed="false">
      <c r="A371" s="1" t="s">
        <v>1216</v>
      </c>
      <c r="B371" s="1" t="s">
        <v>1217</v>
      </c>
      <c r="C371" s="1" t="s">
        <v>1218</v>
      </c>
      <c r="D371" s="1" t="s">
        <v>116</v>
      </c>
      <c r="E371" s="1" t="s">
        <v>50</v>
      </c>
      <c r="F371" s="1" t="s">
        <v>59</v>
      </c>
      <c r="G371" s="23" t="n">
        <v>45772</v>
      </c>
      <c r="H371" s="1" t="n">
        <v>161</v>
      </c>
      <c r="I371" s="24" t="n">
        <v>0</v>
      </c>
      <c r="K371" s="1" t="s">
        <v>64</v>
      </c>
      <c r="L371" s="1" t="s">
        <v>69</v>
      </c>
      <c r="M371" s="1" t="n">
        <v>25</v>
      </c>
      <c r="N371" s="1" t="s">
        <v>38</v>
      </c>
    </row>
    <row r="372" customFormat="false" ht="15" hidden="false" customHeight="true" outlineLevel="0" collapsed="false">
      <c r="A372" s="1" t="s">
        <v>1219</v>
      </c>
      <c r="B372" s="1" t="s">
        <v>1220</v>
      </c>
      <c r="C372" s="1" t="s">
        <v>649</v>
      </c>
      <c r="D372" s="1" t="s">
        <v>125</v>
      </c>
      <c r="E372" s="1" t="s">
        <v>51</v>
      </c>
      <c r="F372" s="1" t="s">
        <v>55</v>
      </c>
      <c r="G372" s="23" t="n">
        <v>45714</v>
      </c>
      <c r="H372" s="1" t="n">
        <v>67</v>
      </c>
      <c r="I372" s="24" t="n">
        <v>0</v>
      </c>
      <c r="K372" s="1" t="s">
        <v>66</v>
      </c>
      <c r="L372" s="1" t="s">
        <v>69</v>
      </c>
      <c r="M372" s="1" t="n">
        <v>48</v>
      </c>
      <c r="N372" s="1" t="s">
        <v>39</v>
      </c>
    </row>
    <row r="373" customFormat="false" ht="15" hidden="false" customHeight="true" outlineLevel="0" collapsed="false">
      <c r="A373" s="1" t="s">
        <v>1221</v>
      </c>
      <c r="B373" s="1" t="s">
        <v>1222</v>
      </c>
      <c r="C373" s="1" t="s">
        <v>1223</v>
      </c>
      <c r="D373" s="1" t="s">
        <v>130</v>
      </c>
      <c r="E373" s="1" t="s">
        <v>50</v>
      </c>
      <c r="F373" s="1" t="s">
        <v>58</v>
      </c>
      <c r="G373" s="23" t="n">
        <v>45722</v>
      </c>
      <c r="H373" s="1" t="n">
        <v>144</v>
      </c>
      <c r="I373" s="24" t="n">
        <v>0</v>
      </c>
      <c r="K373" s="1" t="s">
        <v>66</v>
      </c>
      <c r="L373" s="1" t="s">
        <v>69</v>
      </c>
      <c r="M373" s="1" t="n">
        <v>9</v>
      </c>
      <c r="N373" s="1" t="s">
        <v>39</v>
      </c>
    </row>
    <row r="374" customFormat="false" ht="15" hidden="false" customHeight="true" outlineLevel="0" collapsed="false">
      <c r="A374" s="1" t="s">
        <v>1224</v>
      </c>
      <c r="B374" s="1" t="s">
        <v>1225</v>
      </c>
      <c r="C374" s="1" t="s">
        <v>1226</v>
      </c>
      <c r="D374" s="1" t="s">
        <v>120</v>
      </c>
      <c r="E374" s="1" t="s">
        <v>50</v>
      </c>
      <c r="F374" s="1" t="s">
        <v>57</v>
      </c>
      <c r="G374" s="23" t="n">
        <v>45754</v>
      </c>
      <c r="H374" s="1" t="n">
        <v>144</v>
      </c>
      <c r="I374" s="24" t="n">
        <v>29.52</v>
      </c>
      <c r="J374" s="1" t="s">
        <v>241</v>
      </c>
      <c r="K374" s="1" t="s">
        <v>66</v>
      </c>
      <c r="L374" s="1" t="s">
        <v>70</v>
      </c>
      <c r="M374" s="1" t="n">
        <v>36</v>
      </c>
      <c r="N374" s="1" t="s">
        <v>39</v>
      </c>
    </row>
    <row r="375" customFormat="false" ht="15" hidden="false" customHeight="true" outlineLevel="0" collapsed="false">
      <c r="A375" s="1" t="s">
        <v>1227</v>
      </c>
      <c r="B375" s="1" t="s">
        <v>1228</v>
      </c>
      <c r="C375" s="1" t="s">
        <v>1229</v>
      </c>
      <c r="D375" s="1" t="s">
        <v>120</v>
      </c>
      <c r="E375" s="1" t="s">
        <v>51</v>
      </c>
      <c r="F375" s="1" t="s">
        <v>57</v>
      </c>
      <c r="G375" s="23" t="n">
        <v>45655</v>
      </c>
      <c r="H375" s="1" t="n">
        <v>83</v>
      </c>
      <c r="I375" s="24" t="n">
        <v>0</v>
      </c>
      <c r="K375" s="1" t="s">
        <v>64</v>
      </c>
      <c r="L375" s="1" t="s">
        <v>69</v>
      </c>
      <c r="M375" s="1" t="n">
        <v>49</v>
      </c>
      <c r="N375" s="1" t="s">
        <v>39</v>
      </c>
    </row>
    <row r="376" customFormat="false" ht="15" hidden="false" customHeight="true" outlineLevel="0" collapsed="false">
      <c r="A376" s="1" t="s">
        <v>1230</v>
      </c>
      <c r="B376" s="1" t="s">
        <v>1231</v>
      </c>
      <c r="C376" s="1" t="s">
        <v>1232</v>
      </c>
      <c r="D376" s="1" t="s">
        <v>125</v>
      </c>
      <c r="E376" s="1" t="s">
        <v>51</v>
      </c>
      <c r="F376" s="1" t="s">
        <v>56</v>
      </c>
      <c r="G376" s="23" t="n">
        <v>45811</v>
      </c>
      <c r="H376" s="1" t="n">
        <v>128</v>
      </c>
      <c r="I376" s="24" t="n">
        <v>0</v>
      </c>
      <c r="K376" s="1" t="s">
        <v>64</v>
      </c>
      <c r="L376" s="1" t="s">
        <v>70</v>
      </c>
      <c r="M376" s="1" t="n">
        <v>29</v>
      </c>
      <c r="N376" s="1" t="s">
        <v>39</v>
      </c>
    </row>
    <row r="377" customFormat="false" ht="15" hidden="false" customHeight="true" outlineLevel="0" collapsed="false">
      <c r="A377" s="1" t="s">
        <v>1233</v>
      </c>
      <c r="B377" s="1" t="s">
        <v>1234</v>
      </c>
      <c r="C377" s="1" t="s">
        <v>1235</v>
      </c>
      <c r="D377" s="1" t="s">
        <v>120</v>
      </c>
      <c r="E377" s="1" t="s">
        <v>51</v>
      </c>
      <c r="F377" s="1" t="s">
        <v>60</v>
      </c>
      <c r="G377" s="23" t="n">
        <v>45775</v>
      </c>
      <c r="H377" s="1" t="n">
        <v>59</v>
      </c>
      <c r="I377" s="24" t="n">
        <v>0</v>
      </c>
      <c r="K377" s="1" t="s">
        <v>64</v>
      </c>
      <c r="L377" s="1" t="s">
        <v>69</v>
      </c>
      <c r="M377" s="1" t="n">
        <v>36</v>
      </c>
      <c r="N377" s="1" t="s">
        <v>39</v>
      </c>
    </row>
    <row r="378" customFormat="false" ht="15" hidden="false" customHeight="true" outlineLevel="0" collapsed="false">
      <c r="A378" s="1" t="s">
        <v>1236</v>
      </c>
      <c r="B378" s="1" t="s">
        <v>1237</v>
      </c>
      <c r="C378" s="1" t="s">
        <v>1238</v>
      </c>
      <c r="D378" s="1" t="s">
        <v>120</v>
      </c>
      <c r="E378" s="1" t="s">
        <v>52</v>
      </c>
      <c r="F378" s="1" t="s">
        <v>56</v>
      </c>
      <c r="G378" s="23" t="n">
        <v>45786</v>
      </c>
      <c r="H378" s="1" t="n">
        <v>79</v>
      </c>
      <c r="I378" s="24" t="n">
        <v>20.5</v>
      </c>
      <c r="J378" s="1" t="s">
        <v>121</v>
      </c>
      <c r="K378" s="1" t="s">
        <v>64</v>
      </c>
      <c r="L378" s="1" t="s">
        <v>70</v>
      </c>
      <c r="M378" s="1" t="n">
        <v>5</v>
      </c>
      <c r="N378" s="1" t="s">
        <v>39</v>
      </c>
    </row>
    <row r="379" customFormat="false" ht="15" hidden="false" customHeight="true" outlineLevel="0" collapsed="false">
      <c r="A379" s="1" t="s">
        <v>1239</v>
      </c>
      <c r="B379" s="1" t="s">
        <v>1240</v>
      </c>
      <c r="C379" s="1" t="s">
        <v>1241</v>
      </c>
      <c r="D379" s="1" t="s">
        <v>116</v>
      </c>
      <c r="E379" s="1" t="s">
        <v>51</v>
      </c>
      <c r="F379" s="1" t="s">
        <v>59</v>
      </c>
      <c r="G379" s="23" t="n">
        <v>45651</v>
      </c>
      <c r="H379" s="1" t="n">
        <v>167</v>
      </c>
      <c r="I379" s="24" t="n">
        <v>0</v>
      </c>
      <c r="K379" s="1" t="s">
        <v>64</v>
      </c>
      <c r="L379" s="1" t="s">
        <v>70</v>
      </c>
      <c r="M379" s="1" t="n">
        <v>37</v>
      </c>
      <c r="N379" s="1" t="s">
        <v>38</v>
      </c>
    </row>
    <row r="380" customFormat="false" ht="15" hidden="false" customHeight="true" outlineLevel="0" collapsed="false">
      <c r="A380" s="1" t="s">
        <v>1242</v>
      </c>
      <c r="B380" s="1" t="s">
        <v>1243</v>
      </c>
      <c r="C380" s="1" t="s">
        <v>1244</v>
      </c>
      <c r="D380" s="1" t="s">
        <v>116</v>
      </c>
      <c r="E380" s="1" t="s">
        <v>52</v>
      </c>
      <c r="F380" s="1" t="s">
        <v>59</v>
      </c>
      <c r="G380" s="23" t="n">
        <v>45765</v>
      </c>
      <c r="H380" s="1" t="n">
        <v>165</v>
      </c>
      <c r="I380" s="24" t="n">
        <v>21.99</v>
      </c>
      <c r="J380" s="1" t="s">
        <v>121</v>
      </c>
      <c r="K380" s="1" t="s">
        <v>66</v>
      </c>
      <c r="L380" s="1" t="s">
        <v>70</v>
      </c>
      <c r="M380" s="1" t="n">
        <v>45</v>
      </c>
      <c r="N380" s="1" t="s">
        <v>38</v>
      </c>
    </row>
    <row r="381" customFormat="false" ht="15" hidden="false" customHeight="true" outlineLevel="0" collapsed="false">
      <c r="A381" s="1" t="s">
        <v>1245</v>
      </c>
      <c r="B381" s="1" t="s">
        <v>1246</v>
      </c>
      <c r="C381" s="1" t="s">
        <v>1247</v>
      </c>
      <c r="D381" s="1" t="s">
        <v>116</v>
      </c>
      <c r="E381" s="1" t="s">
        <v>52</v>
      </c>
      <c r="F381" s="1" t="s">
        <v>59</v>
      </c>
      <c r="G381" s="23" t="n">
        <v>45788</v>
      </c>
      <c r="H381" s="1" t="n">
        <v>109</v>
      </c>
      <c r="I381" s="24" t="n">
        <v>39.87</v>
      </c>
      <c r="J381" s="1" t="s">
        <v>121</v>
      </c>
      <c r="K381" s="1" t="s">
        <v>64</v>
      </c>
      <c r="L381" s="1" t="s">
        <v>70</v>
      </c>
      <c r="M381" s="1" t="n">
        <v>13</v>
      </c>
      <c r="N381" s="1" t="s">
        <v>39</v>
      </c>
    </row>
    <row r="382" customFormat="false" ht="15" hidden="false" customHeight="true" outlineLevel="0" collapsed="false">
      <c r="A382" s="1" t="s">
        <v>1248</v>
      </c>
      <c r="B382" s="1" t="s">
        <v>1249</v>
      </c>
      <c r="C382" s="1" t="s">
        <v>1250</v>
      </c>
      <c r="D382" s="1" t="s">
        <v>130</v>
      </c>
      <c r="E382" s="1" t="s">
        <v>50</v>
      </c>
      <c r="F382" s="1" t="s">
        <v>59</v>
      </c>
      <c r="G382" s="23" t="n">
        <v>45733</v>
      </c>
      <c r="H382" s="1" t="n">
        <v>167</v>
      </c>
      <c r="I382" s="24" t="n">
        <v>0</v>
      </c>
      <c r="K382" s="1" t="s">
        <v>66</v>
      </c>
      <c r="L382" s="1" t="s">
        <v>70</v>
      </c>
      <c r="M382" s="1" t="n">
        <v>28</v>
      </c>
      <c r="N382" s="1" t="s">
        <v>38</v>
      </c>
    </row>
    <row r="383" customFormat="false" ht="15" hidden="false" customHeight="true" outlineLevel="0" collapsed="false">
      <c r="A383" s="1" t="s">
        <v>1251</v>
      </c>
      <c r="B383" s="1" t="s">
        <v>1252</v>
      </c>
      <c r="C383" s="1" t="s">
        <v>1253</v>
      </c>
      <c r="D383" s="1" t="s">
        <v>125</v>
      </c>
      <c r="E383" s="1" t="s">
        <v>50</v>
      </c>
      <c r="F383" s="1" t="s">
        <v>60</v>
      </c>
      <c r="G383" s="23" t="n">
        <v>45694</v>
      </c>
      <c r="H383" s="1" t="n">
        <v>36</v>
      </c>
      <c r="I383" s="24" t="n">
        <v>14.75</v>
      </c>
      <c r="J383" s="1" t="s">
        <v>140</v>
      </c>
      <c r="K383" s="1" t="s">
        <v>64</v>
      </c>
      <c r="L383" s="1" t="s">
        <v>70</v>
      </c>
      <c r="M383" s="1" t="n">
        <v>46</v>
      </c>
      <c r="N383" s="1" t="s">
        <v>39</v>
      </c>
    </row>
    <row r="384" customFormat="false" ht="15" hidden="false" customHeight="true" outlineLevel="0" collapsed="false">
      <c r="A384" s="1" t="s">
        <v>1254</v>
      </c>
      <c r="B384" s="1" t="s">
        <v>1255</v>
      </c>
      <c r="C384" s="1" t="s">
        <v>1256</v>
      </c>
      <c r="D384" s="1" t="s">
        <v>125</v>
      </c>
      <c r="E384" s="1" t="s">
        <v>50</v>
      </c>
      <c r="F384" s="1" t="s">
        <v>55</v>
      </c>
      <c r="G384" s="23" t="n">
        <v>45737</v>
      </c>
      <c r="H384" s="1" t="n">
        <v>54</v>
      </c>
      <c r="I384" s="24" t="n">
        <v>0</v>
      </c>
      <c r="K384" s="1" t="s">
        <v>64</v>
      </c>
      <c r="L384" s="1" t="s">
        <v>69</v>
      </c>
      <c r="M384" s="1" t="n">
        <v>25</v>
      </c>
      <c r="N384" s="1" t="s">
        <v>39</v>
      </c>
    </row>
    <row r="385" customFormat="false" ht="15" hidden="false" customHeight="true" outlineLevel="0" collapsed="false">
      <c r="A385" s="1" t="s">
        <v>1257</v>
      </c>
      <c r="B385" s="1" t="s">
        <v>1258</v>
      </c>
      <c r="C385" s="1" t="s">
        <v>1259</v>
      </c>
      <c r="D385" s="1" t="s">
        <v>116</v>
      </c>
      <c r="E385" s="1" t="s">
        <v>52</v>
      </c>
      <c r="F385" s="1" t="s">
        <v>57</v>
      </c>
      <c r="G385" s="23" t="n">
        <v>45656</v>
      </c>
      <c r="H385" s="1" t="n">
        <v>15</v>
      </c>
      <c r="I385" s="24" t="n">
        <v>0</v>
      </c>
      <c r="K385" s="1" t="s">
        <v>64</v>
      </c>
      <c r="L385" s="1" t="s">
        <v>69</v>
      </c>
      <c r="M385" s="1" t="n">
        <v>19</v>
      </c>
      <c r="N385" s="1" t="s">
        <v>39</v>
      </c>
    </row>
    <row r="386" customFormat="false" ht="15" hidden="false" customHeight="true" outlineLevel="0" collapsed="false">
      <c r="A386" s="1" t="s">
        <v>1260</v>
      </c>
      <c r="B386" s="1" t="s">
        <v>1261</v>
      </c>
      <c r="C386" s="1" t="s">
        <v>1262</v>
      </c>
      <c r="D386" s="1" t="s">
        <v>125</v>
      </c>
      <c r="E386" s="1" t="s">
        <v>52</v>
      </c>
      <c r="F386" s="1" t="s">
        <v>56</v>
      </c>
      <c r="G386" s="23" t="n">
        <v>45776</v>
      </c>
      <c r="H386" s="1" t="n">
        <v>101</v>
      </c>
      <c r="I386" s="24" t="n">
        <v>0</v>
      </c>
      <c r="K386" s="1" t="s">
        <v>67</v>
      </c>
      <c r="L386" s="1" t="s">
        <v>69</v>
      </c>
      <c r="M386" s="1" t="n">
        <v>41</v>
      </c>
      <c r="N386" s="1" t="s">
        <v>39</v>
      </c>
    </row>
    <row r="387" customFormat="false" ht="15" hidden="false" customHeight="true" outlineLevel="0" collapsed="false">
      <c r="A387" s="1" t="s">
        <v>1263</v>
      </c>
      <c r="B387" s="1" t="s">
        <v>1264</v>
      </c>
      <c r="C387" s="1" t="s">
        <v>1265</v>
      </c>
      <c r="D387" s="1" t="s">
        <v>125</v>
      </c>
      <c r="E387" s="1" t="s">
        <v>50</v>
      </c>
      <c r="F387" s="1" t="s">
        <v>56</v>
      </c>
      <c r="G387" s="23" t="n">
        <v>45684</v>
      </c>
      <c r="H387" s="1" t="n">
        <v>79</v>
      </c>
      <c r="I387" s="24" t="n">
        <v>0</v>
      </c>
      <c r="K387" s="1" t="s">
        <v>64</v>
      </c>
      <c r="L387" s="1" t="s">
        <v>69</v>
      </c>
      <c r="M387" s="1" t="n">
        <v>48</v>
      </c>
      <c r="N387" s="1" t="s">
        <v>39</v>
      </c>
    </row>
    <row r="388" customFormat="false" ht="15" hidden="false" customHeight="true" outlineLevel="0" collapsed="false">
      <c r="A388" s="1" t="s">
        <v>1266</v>
      </c>
      <c r="B388" s="1" t="s">
        <v>754</v>
      </c>
      <c r="C388" s="1" t="s">
        <v>1267</v>
      </c>
      <c r="D388" s="1" t="s">
        <v>130</v>
      </c>
      <c r="E388" s="1" t="s">
        <v>51</v>
      </c>
      <c r="F388" s="1" t="s">
        <v>57</v>
      </c>
      <c r="G388" s="23" t="n">
        <v>45751</v>
      </c>
      <c r="H388" s="1" t="n">
        <v>13</v>
      </c>
      <c r="I388" s="24" t="n">
        <v>0</v>
      </c>
      <c r="K388" s="1" t="s">
        <v>64</v>
      </c>
      <c r="L388" s="1" t="s">
        <v>69</v>
      </c>
      <c r="M388" s="1" t="n">
        <v>13</v>
      </c>
      <c r="N388" s="1" t="s">
        <v>39</v>
      </c>
    </row>
    <row r="389" customFormat="false" ht="15" hidden="false" customHeight="true" outlineLevel="0" collapsed="false">
      <c r="A389" s="1" t="s">
        <v>1268</v>
      </c>
      <c r="B389" s="1" t="s">
        <v>1269</v>
      </c>
      <c r="C389" s="1" t="s">
        <v>1270</v>
      </c>
      <c r="D389" s="1" t="s">
        <v>120</v>
      </c>
      <c r="E389" s="1" t="s">
        <v>52</v>
      </c>
      <c r="F389" s="1" t="s">
        <v>58</v>
      </c>
      <c r="G389" s="23" t="n">
        <v>45663</v>
      </c>
      <c r="H389" s="1" t="n">
        <v>157</v>
      </c>
      <c r="I389" s="24" t="n">
        <v>0</v>
      </c>
      <c r="K389" s="1" t="s">
        <v>64</v>
      </c>
      <c r="L389" s="1" t="s">
        <v>69</v>
      </c>
      <c r="M389" s="1" t="n">
        <v>22</v>
      </c>
      <c r="N389" s="1" t="s">
        <v>38</v>
      </c>
    </row>
    <row r="390" customFormat="false" ht="15" hidden="false" customHeight="true" outlineLevel="0" collapsed="false">
      <c r="A390" s="1" t="s">
        <v>1271</v>
      </c>
      <c r="B390" s="1" t="s">
        <v>1272</v>
      </c>
      <c r="C390" s="1" t="s">
        <v>1273</v>
      </c>
      <c r="D390" s="1" t="s">
        <v>125</v>
      </c>
      <c r="E390" s="1" t="s">
        <v>52</v>
      </c>
      <c r="F390" s="1" t="s">
        <v>58</v>
      </c>
      <c r="G390" s="23" t="n">
        <v>45813</v>
      </c>
      <c r="H390" s="1" t="n">
        <v>6</v>
      </c>
      <c r="I390" s="24" t="n">
        <v>0</v>
      </c>
      <c r="K390" s="1" t="s">
        <v>65</v>
      </c>
      <c r="L390" s="1" t="s">
        <v>69</v>
      </c>
      <c r="M390" s="1" t="n">
        <v>7</v>
      </c>
      <c r="N390" s="1" t="s">
        <v>39</v>
      </c>
    </row>
    <row r="391" customFormat="false" ht="15" hidden="false" customHeight="true" outlineLevel="0" collapsed="false">
      <c r="A391" s="1" t="s">
        <v>1274</v>
      </c>
      <c r="B391" s="1" t="s">
        <v>1275</v>
      </c>
      <c r="C391" s="1" t="s">
        <v>1276</v>
      </c>
      <c r="D391" s="1" t="s">
        <v>130</v>
      </c>
      <c r="E391" s="1" t="s">
        <v>52</v>
      </c>
      <c r="F391" s="1" t="s">
        <v>57</v>
      </c>
      <c r="G391" s="23" t="n">
        <v>45809</v>
      </c>
      <c r="H391" s="1" t="n">
        <v>134</v>
      </c>
      <c r="I391" s="24" t="n">
        <v>0</v>
      </c>
      <c r="K391" s="1" t="s">
        <v>64</v>
      </c>
      <c r="L391" s="1" t="s">
        <v>69</v>
      </c>
      <c r="M391" s="1" t="n">
        <v>28</v>
      </c>
      <c r="N391" s="1" t="s">
        <v>39</v>
      </c>
    </row>
    <row r="392" customFormat="false" ht="15" hidden="false" customHeight="true" outlineLevel="0" collapsed="false">
      <c r="A392" s="1" t="s">
        <v>1277</v>
      </c>
      <c r="B392" s="1" t="s">
        <v>1278</v>
      </c>
      <c r="C392" s="1" t="s">
        <v>1279</v>
      </c>
      <c r="D392" s="1" t="s">
        <v>165</v>
      </c>
      <c r="E392" s="1" t="s">
        <v>51</v>
      </c>
      <c r="F392" s="1" t="s">
        <v>58</v>
      </c>
      <c r="G392" s="23" t="n">
        <v>45803</v>
      </c>
      <c r="H392" s="1" t="n">
        <v>76</v>
      </c>
      <c r="I392" s="24" t="n">
        <v>37.02</v>
      </c>
      <c r="J392" s="1" t="s">
        <v>140</v>
      </c>
      <c r="K392" s="1" t="s">
        <v>64</v>
      </c>
      <c r="L392" s="1" t="s">
        <v>70</v>
      </c>
      <c r="M392" s="1" t="n">
        <v>4</v>
      </c>
      <c r="N392" s="1" t="s">
        <v>39</v>
      </c>
    </row>
    <row r="393" customFormat="false" ht="15" hidden="false" customHeight="true" outlineLevel="0" collapsed="false">
      <c r="A393" s="1" t="s">
        <v>1280</v>
      </c>
      <c r="B393" s="1" t="s">
        <v>1281</v>
      </c>
      <c r="C393" s="1" t="s">
        <v>1282</v>
      </c>
      <c r="D393" s="1" t="s">
        <v>120</v>
      </c>
      <c r="E393" s="1" t="s">
        <v>52</v>
      </c>
      <c r="F393" s="1" t="s">
        <v>60</v>
      </c>
      <c r="G393" s="23" t="n">
        <v>45783</v>
      </c>
      <c r="H393" s="1" t="n">
        <v>71</v>
      </c>
      <c r="I393" s="24" t="n">
        <v>0</v>
      </c>
      <c r="K393" s="1" t="s">
        <v>64</v>
      </c>
      <c r="L393" s="1" t="s">
        <v>69</v>
      </c>
      <c r="M393" s="1" t="n">
        <v>46</v>
      </c>
      <c r="N393" s="1" t="s">
        <v>39</v>
      </c>
    </row>
    <row r="394" customFormat="false" ht="15" hidden="false" customHeight="true" outlineLevel="0" collapsed="false">
      <c r="A394" s="1" t="s">
        <v>1283</v>
      </c>
      <c r="B394" s="1" t="s">
        <v>1284</v>
      </c>
      <c r="C394" s="1" t="s">
        <v>1285</v>
      </c>
      <c r="D394" s="1" t="s">
        <v>125</v>
      </c>
      <c r="E394" s="1" t="s">
        <v>51</v>
      </c>
      <c r="F394" s="1" t="s">
        <v>60</v>
      </c>
      <c r="G394" s="23" t="n">
        <v>45660</v>
      </c>
      <c r="H394" s="1" t="n">
        <v>49</v>
      </c>
      <c r="I394" s="24" t="n">
        <v>19.43</v>
      </c>
      <c r="J394" s="1" t="s">
        <v>140</v>
      </c>
      <c r="K394" s="1" t="s">
        <v>64</v>
      </c>
      <c r="L394" s="1" t="s">
        <v>70</v>
      </c>
      <c r="M394" s="1" t="n">
        <v>22</v>
      </c>
      <c r="N394" s="1" t="s">
        <v>39</v>
      </c>
    </row>
    <row r="395" customFormat="false" ht="15" hidden="false" customHeight="true" outlineLevel="0" collapsed="false">
      <c r="A395" s="1" t="s">
        <v>1286</v>
      </c>
      <c r="B395" s="1" t="s">
        <v>1287</v>
      </c>
      <c r="C395" s="1" t="s">
        <v>1288</v>
      </c>
      <c r="D395" s="1" t="s">
        <v>120</v>
      </c>
      <c r="E395" s="1" t="s">
        <v>50</v>
      </c>
      <c r="F395" s="1" t="s">
        <v>55</v>
      </c>
      <c r="G395" s="23" t="n">
        <v>45808</v>
      </c>
      <c r="H395" s="1" t="n">
        <v>143</v>
      </c>
      <c r="I395" s="24" t="n">
        <v>0</v>
      </c>
      <c r="K395" s="1" t="s">
        <v>67</v>
      </c>
      <c r="L395" s="1" t="s">
        <v>69</v>
      </c>
      <c r="M395" s="1" t="n">
        <v>17</v>
      </c>
      <c r="N395" s="1" t="s">
        <v>39</v>
      </c>
    </row>
    <row r="396" customFormat="false" ht="15" hidden="false" customHeight="true" outlineLevel="0" collapsed="false">
      <c r="A396" s="1" t="s">
        <v>1289</v>
      </c>
      <c r="B396" s="1" t="s">
        <v>1290</v>
      </c>
      <c r="C396" s="1" t="s">
        <v>1291</v>
      </c>
      <c r="D396" s="1" t="s">
        <v>165</v>
      </c>
      <c r="E396" s="1" t="s">
        <v>50</v>
      </c>
      <c r="F396" s="1" t="s">
        <v>60</v>
      </c>
      <c r="G396" s="23" t="n">
        <v>45703</v>
      </c>
      <c r="H396" s="1" t="n">
        <v>166</v>
      </c>
      <c r="I396" s="24" t="n">
        <v>0</v>
      </c>
      <c r="K396" s="1" t="s">
        <v>64</v>
      </c>
      <c r="L396" s="1" t="s">
        <v>69</v>
      </c>
      <c r="M396" s="1" t="n">
        <v>39</v>
      </c>
      <c r="N396" s="1" t="s">
        <v>38</v>
      </c>
    </row>
    <row r="397" customFormat="false" ht="15" hidden="false" customHeight="true" outlineLevel="0" collapsed="false">
      <c r="A397" s="1" t="s">
        <v>1292</v>
      </c>
      <c r="B397" s="1" t="s">
        <v>1293</v>
      </c>
      <c r="C397" s="1" t="s">
        <v>1294</v>
      </c>
      <c r="D397" s="1" t="s">
        <v>120</v>
      </c>
      <c r="E397" s="1" t="s">
        <v>51</v>
      </c>
      <c r="F397" s="1" t="s">
        <v>58</v>
      </c>
      <c r="G397" s="23" t="n">
        <v>45806</v>
      </c>
      <c r="H397" s="1" t="n">
        <v>34</v>
      </c>
      <c r="I397" s="24" t="n">
        <v>0</v>
      </c>
      <c r="K397" s="1" t="s">
        <v>64</v>
      </c>
      <c r="L397" s="1" t="s">
        <v>69</v>
      </c>
      <c r="M397" s="1" t="n">
        <v>45</v>
      </c>
      <c r="N397" s="1" t="s">
        <v>39</v>
      </c>
    </row>
    <row r="398" customFormat="false" ht="15" hidden="false" customHeight="true" outlineLevel="0" collapsed="false">
      <c r="A398" s="1" t="s">
        <v>1295</v>
      </c>
      <c r="B398" s="1" t="s">
        <v>1296</v>
      </c>
      <c r="C398" s="1" t="s">
        <v>1297</v>
      </c>
      <c r="D398" s="1" t="s">
        <v>165</v>
      </c>
      <c r="E398" s="1" t="s">
        <v>52</v>
      </c>
      <c r="F398" s="1" t="s">
        <v>60</v>
      </c>
      <c r="G398" s="23" t="n">
        <v>45685</v>
      </c>
      <c r="H398" s="1" t="n">
        <v>57</v>
      </c>
      <c r="I398" s="24" t="n">
        <v>0</v>
      </c>
      <c r="K398" s="1" t="s">
        <v>64</v>
      </c>
      <c r="L398" s="1" t="s">
        <v>69</v>
      </c>
      <c r="M398" s="1" t="n">
        <v>1</v>
      </c>
      <c r="N398" s="1" t="s">
        <v>39</v>
      </c>
    </row>
    <row r="399" customFormat="false" ht="15" hidden="false" customHeight="true" outlineLevel="0" collapsed="false">
      <c r="A399" s="1" t="s">
        <v>1298</v>
      </c>
      <c r="B399" s="1" t="s">
        <v>1299</v>
      </c>
      <c r="C399" s="1" t="s">
        <v>1300</v>
      </c>
      <c r="D399" s="1" t="s">
        <v>125</v>
      </c>
      <c r="E399" s="1" t="s">
        <v>50</v>
      </c>
      <c r="F399" s="1" t="s">
        <v>56</v>
      </c>
      <c r="G399" s="23" t="n">
        <v>45739</v>
      </c>
      <c r="H399" s="1" t="n">
        <v>88</v>
      </c>
      <c r="I399" s="24" t="n">
        <v>0</v>
      </c>
      <c r="K399" s="1" t="s">
        <v>64</v>
      </c>
      <c r="L399" s="1" t="s">
        <v>69</v>
      </c>
      <c r="M399" s="1" t="n">
        <v>2</v>
      </c>
      <c r="N399" s="1" t="s">
        <v>39</v>
      </c>
    </row>
    <row r="400" customFormat="false" ht="15" hidden="false" customHeight="true" outlineLevel="0" collapsed="false">
      <c r="A400" s="1" t="s">
        <v>1301</v>
      </c>
      <c r="B400" s="1" t="s">
        <v>1302</v>
      </c>
      <c r="C400" s="1" t="s">
        <v>1303</v>
      </c>
      <c r="D400" s="1" t="s">
        <v>116</v>
      </c>
      <c r="E400" s="1" t="s">
        <v>50</v>
      </c>
      <c r="F400" s="1" t="s">
        <v>57</v>
      </c>
      <c r="G400" s="23" t="n">
        <v>45784</v>
      </c>
      <c r="H400" s="1" t="n">
        <v>75</v>
      </c>
      <c r="I400" s="24" t="n">
        <v>0</v>
      </c>
      <c r="K400" s="1" t="s">
        <v>64</v>
      </c>
      <c r="L400" s="1" t="s">
        <v>69</v>
      </c>
      <c r="M400" s="1" t="n">
        <v>13</v>
      </c>
      <c r="N400" s="1" t="s">
        <v>39</v>
      </c>
    </row>
    <row r="401" customFormat="false" ht="15" hidden="false" customHeight="true" outlineLevel="0" collapsed="false">
      <c r="A401" s="1" t="s">
        <v>1304</v>
      </c>
      <c r="B401" s="1" t="s">
        <v>1305</v>
      </c>
      <c r="C401" s="1" t="s">
        <v>1306</v>
      </c>
      <c r="D401" s="1" t="s">
        <v>125</v>
      </c>
      <c r="E401" s="1" t="s">
        <v>51</v>
      </c>
      <c r="F401" s="1" t="s">
        <v>56</v>
      </c>
      <c r="G401" s="23" t="n">
        <v>45703</v>
      </c>
      <c r="H401" s="1" t="n">
        <v>129</v>
      </c>
      <c r="I401" s="24" t="n">
        <v>0</v>
      </c>
      <c r="K401" s="1" t="s">
        <v>67</v>
      </c>
      <c r="L401" s="1" t="s">
        <v>69</v>
      </c>
      <c r="M401" s="1" t="n">
        <v>37</v>
      </c>
      <c r="N401" s="1" t="s">
        <v>39</v>
      </c>
    </row>
    <row r="402" customFormat="false" ht="15" hidden="false" customHeight="true" outlineLevel="0" collapsed="false">
      <c r="A402" s="1" t="s">
        <v>1307</v>
      </c>
      <c r="B402" s="1" t="s">
        <v>1308</v>
      </c>
      <c r="C402" s="1" t="s">
        <v>1309</v>
      </c>
      <c r="D402" s="1" t="s">
        <v>120</v>
      </c>
      <c r="E402" s="1" t="s">
        <v>52</v>
      </c>
      <c r="F402" s="1" t="s">
        <v>56</v>
      </c>
      <c r="G402" s="23" t="n">
        <v>45753</v>
      </c>
      <c r="H402" s="1" t="n">
        <v>145</v>
      </c>
      <c r="I402" s="24" t="n">
        <v>0</v>
      </c>
      <c r="K402" s="1" t="s">
        <v>64</v>
      </c>
      <c r="L402" s="1" t="s">
        <v>69</v>
      </c>
      <c r="M402" s="1" t="n">
        <v>43</v>
      </c>
      <c r="N402" s="1" t="s">
        <v>39</v>
      </c>
    </row>
    <row r="403" customFormat="false" ht="15" hidden="false" customHeight="true" outlineLevel="0" collapsed="false">
      <c r="A403" s="1" t="s">
        <v>1310</v>
      </c>
      <c r="B403" s="1" t="s">
        <v>1311</v>
      </c>
      <c r="C403" s="1" t="s">
        <v>1312</v>
      </c>
      <c r="D403" s="1" t="s">
        <v>120</v>
      </c>
      <c r="E403" s="1" t="s">
        <v>52</v>
      </c>
      <c r="F403" s="1" t="s">
        <v>57</v>
      </c>
      <c r="G403" s="23" t="n">
        <v>45679</v>
      </c>
      <c r="H403" s="1" t="n">
        <v>23</v>
      </c>
      <c r="I403" s="24" t="n">
        <v>0</v>
      </c>
      <c r="K403" s="1" t="s">
        <v>64</v>
      </c>
      <c r="L403" s="1" t="s">
        <v>70</v>
      </c>
      <c r="M403" s="1" t="n">
        <v>26</v>
      </c>
      <c r="N403" s="1" t="s">
        <v>39</v>
      </c>
    </row>
    <row r="404" customFormat="false" ht="15" hidden="false" customHeight="true" outlineLevel="0" collapsed="false">
      <c r="A404" s="1" t="s">
        <v>1313</v>
      </c>
      <c r="B404" s="1" t="s">
        <v>1314</v>
      </c>
      <c r="C404" s="1" t="s">
        <v>1315</v>
      </c>
      <c r="D404" s="1" t="s">
        <v>125</v>
      </c>
      <c r="E404" s="1" t="s">
        <v>50</v>
      </c>
      <c r="F404" s="1" t="s">
        <v>57</v>
      </c>
      <c r="G404" s="23" t="n">
        <v>45803</v>
      </c>
      <c r="H404" s="1" t="n">
        <v>105</v>
      </c>
      <c r="I404" s="24" t="n">
        <v>0</v>
      </c>
      <c r="K404" s="1" t="s">
        <v>64</v>
      </c>
      <c r="L404" s="1" t="s">
        <v>69</v>
      </c>
      <c r="M404" s="1" t="n">
        <v>24</v>
      </c>
      <c r="N404" s="1" t="s">
        <v>39</v>
      </c>
    </row>
    <row r="405" customFormat="false" ht="15" hidden="false" customHeight="true" outlineLevel="0" collapsed="false">
      <c r="A405" s="1" t="s">
        <v>1316</v>
      </c>
      <c r="B405" s="1" t="s">
        <v>1317</v>
      </c>
      <c r="C405" s="1" t="s">
        <v>1318</v>
      </c>
      <c r="D405" s="1" t="s">
        <v>165</v>
      </c>
      <c r="E405" s="1" t="s">
        <v>52</v>
      </c>
      <c r="F405" s="1" t="s">
        <v>57</v>
      </c>
      <c r="G405" s="23" t="n">
        <v>45804</v>
      </c>
      <c r="H405" s="1" t="n">
        <v>22</v>
      </c>
      <c r="I405" s="24" t="n">
        <v>42.28</v>
      </c>
      <c r="J405" s="1" t="s">
        <v>126</v>
      </c>
      <c r="K405" s="1" t="s">
        <v>67</v>
      </c>
      <c r="L405" s="1" t="s">
        <v>70</v>
      </c>
      <c r="M405" s="1" t="n">
        <v>10</v>
      </c>
      <c r="N405" s="1" t="s">
        <v>38</v>
      </c>
    </row>
    <row r="406" customFormat="false" ht="15" hidden="false" customHeight="true" outlineLevel="0" collapsed="false">
      <c r="A406" s="1" t="s">
        <v>1319</v>
      </c>
      <c r="B406" s="1" t="s">
        <v>1320</v>
      </c>
      <c r="C406" s="1" t="s">
        <v>1321</v>
      </c>
      <c r="D406" s="1" t="s">
        <v>165</v>
      </c>
      <c r="E406" s="1" t="s">
        <v>50</v>
      </c>
      <c r="F406" s="1" t="s">
        <v>58</v>
      </c>
      <c r="G406" s="23" t="n">
        <v>45816</v>
      </c>
      <c r="H406" s="1" t="n">
        <v>41</v>
      </c>
      <c r="I406" s="24" t="n">
        <v>24.14</v>
      </c>
      <c r="J406" s="1" t="s">
        <v>140</v>
      </c>
      <c r="K406" s="1" t="s">
        <v>64</v>
      </c>
      <c r="L406" s="1" t="s">
        <v>70</v>
      </c>
      <c r="M406" s="1" t="n">
        <v>28</v>
      </c>
      <c r="N406" s="1" t="s">
        <v>39</v>
      </c>
    </row>
    <row r="407" customFormat="false" ht="15" hidden="false" customHeight="true" outlineLevel="0" collapsed="false">
      <c r="A407" s="1" t="s">
        <v>1322</v>
      </c>
      <c r="B407" s="1" t="s">
        <v>1323</v>
      </c>
      <c r="C407" s="1" t="s">
        <v>1324</v>
      </c>
      <c r="D407" s="1" t="s">
        <v>125</v>
      </c>
      <c r="E407" s="1" t="s">
        <v>52</v>
      </c>
      <c r="F407" s="1" t="s">
        <v>58</v>
      </c>
      <c r="G407" s="23" t="n">
        <v>45798</v>
      </c>
      <c r="H407" s="1" t="n">
        <v>9</v>
      </c>
      <c r="I407" s="24" t="n">
        <v>0</v>
      </c>
      <c r="K407" s="1" t="s">
        <v>66</v>
      </c>
      <c r="L407" s="1" t="s">
        <v>69</v>
      </c>
      <c r="M407" s="1" t="n">
        <v>40</v>
      </c>
      <c r="N407" s="1" t="s">
        <v>39</v>
      </c>
    </row>
    <row r="408" customFormat="false" ht="15" hidden="false" customHeight="true" outlineLevel="0" collapsed="false">
      <c r="A408" s="1" t="s">
        <v>1325</v>
      </c>
      <c r="B408" s="1" t="s">
        <v>1326</v>
      </c>
      <c r="C408" s="1" t="s">
        <v>1327</v>
      </c>
      <c r="D408" s="1" t="s">
        <v>130</v>
      </c>
      <c r="E408" s="1" t="s">
        <v>52</v>
      </c>
      <c r="F408" s="1" t="s">
        <v>57</v>
      </c>
      <c r="G408" s="23" t="n">
        <v>45700</v>
      </c>
      <c r="H408" s="1" t="n">
        <v>111</v>
      </c>
      <c r="I408" s="24" t="n">
        <v>0</v>
      </c>
      <c r="K408" s="1" t="s">
        <v>64</v>
      </c>
      <c r="L408" s="1" t="s">
        <v>69</v>
      </c>
      <c r="M408" s="1" t="n">
        <v>26</v>
      </c>
      <c r="N408" s="1" t="s">
        <v>39</v>
      </c>
    </row>
    <row r="409" customFormat="false" ht="15" hidden="false" customHeight="true" outlineLevel="0" collapsed="false">
      <c r="A409" s="1" t="s">
        <v>1328</v>
      </c>
      <c r="B409" s="1" t="s">
        <v>1329</v>
      </c>
      <c r="C409" s="1" t="s">
        <v>1330</v>
      </c>
      <c r="D409" s="1" t="s">
        <v>165</v>
      </c>
      <c r="E409" s="1" t="s">
        <v>51</v>
      </c>
      <c r="F409" s="1" t="s">
        <v>55</v>
      </c>
      <c r="G409" s="23" t="n">
        <v>45801</v>
      </c>
      <c r="H409" s="1" t="n">
        <v>25</v>
      </c>
      <c r="I409" s="24" t="n">
        <v>0</v>
      </c>
      <c r="K409" s="1" t="s">
        <v>64</v>
      </c>
      <c r="L409" s="1" t="s">
        <v>69</v>
      </c>
      <c r="M409" s="1" t="n">
        <v>12</v>
      </c>
      <c r="N409" s="1" t="s">
        <v>39</v>
      </c>
    </row>
    <row r="410" customFormat="false" ht="15" hidden="false" customHeight="true" outlineLevel="0" collapsed="false">
      <c r="A410" s="1" t="s">
        <v>1331</v>
      </c>
      <c r="B410" s="1" t="s">
        <v>1332</v>
      </c>
      <c r="C410" s="1" t="s">
        <v>1333</v>
      </c>
      <c r="D410" s="1" t="s">
        <v>116</v>
      </c>
      <c r="E410" s="1" t="s">
        <v>50</v>
      </c>
      <c r="F410" s="1" t="s">
        <v>58</v>
      </c>
      <c r="G410" s="23" t="n">
        <v>45701</v>
      </c>
      <c r="H410" s="1" t="n">
        <v>111</v>
      </c>
      <c r="I410" s="24" t="n">
        <v>46.08</v>
      </c>
      <c r="J410" s="1" t="s">
        <v>121</v>
      </c>
      <c r="K410" s="1" t="s">
        <v>65</v>
      </c>
      <c r="L410" s="1" t="s">
        <v>70</v>
      </c>
      <c r="M410" s="1" t="n">
        <v>15</v>
      </c>
      <c r="N410" s="1" t="s">
        <v>38</v>
      </c>
    </row>
    <row r="411" customFormat="false" ht="15" hidden="false" customHeight="true" outlineLevel="0" collapsed="false">
      <c r="A411" s="1" t="s">
        <v>1334</v>
      </c>
      <c r="B411" s="1" t="s">
        <v>1335</v>
      </c>
      <c r="C411" s="1" t="s">
        <v>1336</v>
      </c>
      <c r="D411" s="1" t="s">
        <v>125</v>
      </c>
      <c r="E411" s="1" t="s">
        <v>52</v>
      </c>
      <c r="F411" s="1" t="s">
        <v>56</v>
      </c>
      <c r="G411" s="23" t="n">
        <v>45696</v>
      </c>
      <c r="H411" s="1" t="n">
        <v>144</v>
      </c>
      <c r="I411" s="24" t="n">
        <v>0</v>
      </c>
      <c r="K411" s="1" t="s">
        <v>67</v>
      </c>
      <c r="L411" s="1" t="s">
        <v>69</v>
      </c>
      <c r="M411" s="1" t="n">
        <v>36</v>
      </c>
      <c r="N411" s="1" t="s">
        <v>39</v>
      </c>
    </row>
    <row r="412" customFormat="false" ht="15" hidden="false" customHeight="true" outlineLevel="0" collapsed="false">
      <c r="A412" s="1" t="s">
        <v>1337</v>
      </c>
      <c r="B412" s="1" t="s">
        <v>1338</v>
      </c>
      <c r="C412" s="1" t="s">
        <v>1339</v>
      </c>
      <c r="D412" s="1" t="s">
        <v>125</v>
      </c>
      <c r="E412" s="1" t="s">
        <v>50</v>
      </c>
      <c r="F412" s="1" t="s">
        <v>60</v>
      </c>
      <c r="G412" s="23" t="n">
        <v>45667</v>
      </c>
      <c r="H412" s="1" t="n">
        <v>22</v>
      </c>
      <c r="I412" s="24" t="n">
        <v>17.35</v>
      </c>
      <c r="J412" s="1" t="s">
        <v>140</v>
      </c>
      <c r="K412" s="1" t="s">
        <v>65</v>
      </c>
      <c r="L412" s="1" t="s">
        <v>70</v>
      </c>
      <c r="M412" s="1" t="n">
        <v>49</v>
      </c>
      <c r="N412" s="1" t="s">
        <v>39</v>
      </c>
    </row>
    <row r="413" customFormat="false" ht="15" hidden="false" customHeight="true" outlineLevel="0" collapsed="false">
      <c r="A413" s="1" t="s">
        <v>1340</v>
      </c>
      <c r="B413" s="1" t="s">
        <v>1341</v>
      </c>
      <c r="C413" s="1" t="s">
        <v>1342</v>
      </c>
      <c r="D413" s="1" t="s">
        <v>165</v>
      </c>
      <c r="E413" s="1" t="s">
        <v>52</v>
      </c>
      <c r="F413" s="1" t="s">
        <v>58</v>
      </c>
      <c r="G413" s="23" t="n">
        <v>45701</v>
      </c>
      <c r="H413" s="1" t="n">
        <v>154</v>
      </c>
      <c r="I413" s="24" t="n">
        <v>0</v>
      </c>
      <c r="K413" s="1" t="s">
        <v>64</v>
      </c>
      <c r="L413" s="1" t="s">
        <v>69</v>
      </c>
      <c r="M413" s="1" t="n">
        <v>27</v>
      </c>
      <c r="N413" s="1" t="s">
        <v>38</v>
      </c>
    </row>
    <row r="414" customFormat="false" ht="15" hidden="false" customHeight="true" outlineLevel="0" collapsed="false">
      <c r="A414" s="1" t="s">
        <v>1343</v>
      </c>
      <c r="B414" s="1" t="s">
        <v>1344</v>
      </c>
      <c r="C414" s="1" t="s">
        <v>1345</v>
      </c>
      <c r="D414" s="1" t="s">
        <v>130</v>
      </c>
      <c r="E414" s="1" t="s">
        <v>52</v>
      </c>
      <c r="F414" s="1" t="s">
        <v>56</v>
      </c>
      <c r="G414" s="23" t="n">
        <v>45673</v>
      </c>
      <c r="H414" s="1" t="n">
        <v>166</v>
      </c>
      <c r="I414" s="24" t="n">
        <v>0</v>
      </c>
      <c r="K414" s="1" t="s">
        <v>67</v>
      </c>
      <c r="L414" s="1" t="s">
        <v>69</v>
      </c>
      <c r="M414" s="1" t="n">
        <v>5</v>
      </c>
      <c r="N414" s="1" t="s">
        <v>38</v>
      </c>
    </row>
    <row r="415" customFormat="false" ht="15" hidden="false" customHeight="true" outlineLevel="0" collapsed="false">
      <c r="A415" s="1" t="s">
        <v>1346</v>
      </c>
      <c r="B415" s="1" t="s">
        <v>1347</v>
      </c>
      <c r="C415" s="1" t="s">
        <v>1348</v>
      </c>
      <c r="D415" s="1" t="s">
        <v>125</v>
      </c>
      <c r="E415" s="1" t="s">
        <v>52</v>
      </c>
      <c r="F415" s="1" t="s">
        <v>56</v>
      </c>
      <c r="G415" s="23" t="n">
        <v>45779</v>
      </c>
      <c r="H415" s="1" t="n">
        <v>16</v>
      </c>
      <c r="I415" s="24" t="n">
        <v>0</v>
      </c>
      <c r="K415" s="1" t="s">
        <v>64</v>
      </c>
      <c r="L415" s="1" t="s">
        <v>70</v>
      </c>
      <c r="M415" s="1" t="n">
        <v>16</v>
      </c>
      <c r="N415" s="1" t="s">
        <v>39</v>
      </c>
    </row>
    <row r="416" customFormat="false" ht="15" hidden="false" customHeight="true" outlineLevel="0" collapsed="false">
      <c r="A416" s="1" t="s">
        <v>1349</v>
      </c>
      <c r="B416" s="1" t="s">
        <v>1350</v>
      </c>
      <c r="C416" s="1" t="s">
        <v>1351</v>
      </c>
      <c r="D416" s="1" t="s">
        <v>165</v>
      </c>
      <c r="E416" s="1" t="s">
        <v>52</v>
      </c>
      <c r="F416" s="1" t="s">
        <v>58</v>
      </c>
      <c r="G416" s="23" t="n">
        <v>45677</v>
      </c>
      <c r="H416" s="1" t="n">
        <v>144</v>
      </c>
      <c r="I416" s="24" t="n">
        <v>0</v>
      </c>
      <c r="K416" s="1" t="s">
        <v>64</v>
      </c>
      <c r="L416" s="1" t="s">
        <v>69</v>
      </c>
      <c r="M416" s="1" t="n">
        <v>3</v>
      </c>
      <c r="N416" s="1" t="s">
        <v>39</v>
      </c>
    </row>
    <row r="417" customFormat="false" ht="15" hidden="false" customHeight="true" outlineLevel="0" collapsed="false">
      <c r="A417" s="1" t="s">
        <v>1352</v>
      </c>
      <c r="B417" s="1" t="s">
        <v>1353</v>
      </c>
      <c r="C417" s="1" t="s">
        <v>1354</v>
      </c>
      <c r="D417" s="1" t="s">
        <v>120</v>
      </c>
      <c r="E417" s="1" t="s">
        <v>50</v>
      </c>
      <c r="F417" s="1" t="s">
        <v>55</v>
      </c>
      <c r="G417" s="23" t="n">
        <v>45796</v>
      </c>
      <c r="H417" s="1" t="n">
        <v>58</v>
      </c>
      <c r="I417" s="24" t="n">
        <v>0</v>
      </c>
      <c r="K417" s="1" t="s">
        <v>64</v>
      </c>
      <c r="L417" s="1" t="s">
        <v>69</v>
      </c>
      <c r="M417" s="1" t="n">
        <v>43</v>
      </c>
      <c r="N417" s="1" t="s">
        <v>39</v>
      </c>
    </row>
    <row r="418" customFormat="false" ht="15" hidden="false" customHeight="true" outlineLevel="0" collapsed="false">
      <c r="A418" s="1" t="s">
        <v>1355</v>
      </c>
      <c r="B418" s="1" t="s">
        <v>1356</v>
      </c>
      <c r="C418" s="1" t="s">
        <v>1357</v>
      </c>
      <c r="D418" s="1" t="s">
        <v>130</v>
      </c>
      <c r="E418" s="1" t="s">
        <v>52</v>
      </c>
      <c r="F418" s="1" t="s">
        <v>60</v>
      </c>
      <c r="G418" s="23" t="n">
        <v>45780</v>
      </c>
      <c r="H418" s="1" t="n">
        <v>95</v>
      </c>
      <c r="I418" s="24" t="n">
        <v>35.92</v>
      </c>
      <c r="J418" s="1" t="s">
        <v>241</v>
      </c>
      <c r="K418" s="1" t="s">
        <v>66</v>
      </c>
      <c r="L418" s="1" t="s">
        <v>70</v>
      </c>
      <c r="M418" s="1" t="n">
        <v>6</v>
      </c>
      <c r="N418" s="1" t="s">
        <v>39</v>
      </c>
    </row>
    <row r="419" customFormat="false" ht="15" hidden="false" customHeight="true" outlineLevel="0" collapsed="false">
      <c r="A419" s="1" t="s">
        <v>1358</v>
      </c>
      <c r="B419" s="1" t="s">
        <v>1359</v>
      </c>
      <c r="C419" s="1" t="s">
        <v>1360</v>
      </c>
      <c r="D419" s="1" t="s">
        <v>165</v>
      </c>
      <c r="E419" s="1" t="s">
        <v>51</v>
      </c>
      <c r="F419" s="1" t="s">
        <v>58</v>
      </c>
      <c r="G419" s="23" t="n">
        <v>45657</v>
      </c>
      <c r="H419" s="1" t="n">
        <v>86</v>
      </c>
      <c r="I419" s="24" t="n">
        <v>0</v>
      </c>
      <c r="K419" s="1" t="s">
        <v>67</v>
      </c>
      <c r="L419" s="1" t="s">
        <v>70</v>
      </c>
      <c r="M419" s="1" t="n">
        <v>17</v>
      </c>
      <c r="N419" s="1" t="s">
        <v>39</v>
      </c>
    </row>
    <row r="420" customFormat="false" ht="15" hidden="false" customHeight="true" outlineLevel="0" collapsed="false">
      <c r="A420" s="1" t="s">
        <v>1361</v>
      </c>
      <c r="B420" s="1" t="s">
        <v>1362</v>
      </c>
      <c r="C420" s="1" t="s">
        <v>1363</v>
      </c>
      <c r="D420" s="1" t="s">
        <v>165</v>
      </c>
      <c r="E420" s="1" t="s">
        <v>52</v>
      </c>
      <c r="F420" s="1" t="s">
        <v>60</v>
      </c>
      <c r="G420" s="23" t="n">
        <v>45663</v>
      </c>
      <c r="H420" s="1" t="n">
        <v>12</v>
      </c>
      <c r="I420" s="24" t="n">
        <v>1.44</v>
      </c>
      <c r="J420" s="1" t="s">
        <v>121</v>
      </c>
      <c r="K420" s="1" t="s">
        <v>64</v>
      </c>
      <c r="L420" s="1" t="s">
        <v>70</v>
      </c>
      <c r="M420" s="1" t="n">
        <v>15</v>
      </c>
      <c r="N420" s="1" t="s">
        <v>39</v>
      </c>
    </row>
    <row r="421" customFormat="false" ht="15" hidden="false" customHeight="true" outlineLevel="0" collapsed="false">
      <c r="A421" s="1" t="s">
        <v>1364</v>
      </c>
      <c r="B421" s="1" t="s">
        <v>1365</v>
      </c>
      <c r="C421" s="1" t="s">
        <v>1366</v>
      </c>
      <c r="D421" s="1" t="s">
        <v>130</v>
      </c>
      <c r="E421" s="1" t="s">
        <v>51</v>
      </c>
      <c r="F421" s="1" t="s">
        <v>59</v>
      </c>
      <c r="G421" s="23" t="n">
        <v>45811</v>
      </c>
      <c r="H421" s="1" t="n">
        <v>8</v>
      </c>
      <c r="I421" s="24" t="n">
        <v>2.1</v>
      </c>
      <c r="J421" s="1" t="s">
        <v>121</v>
      </c>
      <c r="K421" s="1" t="s">
        <v>66</v>
      </c>
      <c r="L421" s="1" t="s">
        <v>70</v>
      </c>
      <c r="M421" s="1" t="n">
        <v>44</v>
      </c>
      <c r="N421" s="1" t="s">
        <v>39</v>
      </c>
    </row>
    <row r="422" customFormat="false" ht="15" hidden="false" customHeight="true" outlineLevel="0" collapsed="false">
      <c r="A422" s="1" t="s">
        <v>1367</v>
      </c>
      <c r="B422" s="1" t="s">
        <v>1368</v>
      </c>
      <c r="C422" s="1" t="s">
        <v>1369</v>
      </c>
      <c r="D422" s="1" t="s">
        <v>116</v>
      </c>
      <c r="E422" s="1" t="s">
        <v>50</v>
      </c>
      <c r="F422" s="1" t="s">
        <v>55</v>
      </c>
      <c r="G422" s="23" t="n">
        <v>45755</v>
      </c>
      <c r="H422" s="1" t="n">
        <v>180</v>
      </c>
      <c r="I422" s="24" t="n">
        <v>0</v>
      </c>
      <c r="K422" s="1" t="s">
        <v>64</v>
      </c>
      <c r="L422" s="1" t="s">
        <v>69</v>
      </c>
      <c r="M422" s="1" t="n">
        <v>8</v>
      </c>
      <c r="N422" s="1" t="s">
        <v>38</v>
      </c>
    </row>
    <row r="423" customFormat="false" ht="15" hidden="false" customHeight="true" outlineLevel="0" collapsed="false">
      <c r="A423" s="1" t="s">
        <v>1370</v>
      </c>
      <c r="B423" s="1" t="s">
        <v>1371</v>
      </c>
      <c r="C423" s="1" t="s">
        <v>1372</v>
      </c>
      <c r="D423" s="1" t="s">
        <v>130</v>
      </c>
      <c r="E423" s="1" t="s">
        <v>50</v>
      </c>
      <c r="F423" s="1" t="s">
        <v>55</v>
      </c>
      <c r="G423" s="23" t="n">
        <v>45804</v>
      </c>
      <c r="H423" s="1" t="n">
        <v>35</v>
      </c>
      <c r="I423" s="24" t="n">
        <v>13.33</v>
      </c>
      <c r="J423" s="1" t="s">
        <v>241</v>
      </c>
      <c r="K423" s="1" t="s">
        <v>64</v>
      </c>
      <c r="L423" s="1" t="s">
        <v>70</v>
      </c>
      <c r="M423" s="1" t="n">
        <v>42</v>
      </c>
      <c r="N423" s="1" t="s">
        <v>39</v>
      </c>
    </row>
    <row r="424" customFormat="false" ht="15" hidden="false" customHeight="true" outlineLevel="0" collapsed="false">
      <c r="A424" s="1" t="s">
        <v>1373</v>
      </c>
      <c r="B424" s="1" t="s">
        <v>1374</v>
      </c>
      <c r="C424" s="1" t="s">
        <v>1375</v>
      </c>
      <c r="D424" s="1" t="s">
        <v>116</v>
      </c>
      <c r="E424" s="1" t="s">
        <v>52</v>
      </c>
      <c r="F424" s="1" t="s">
        <v>59</v>
      </c>
      <c r="G424" s="23" t="n">
        <v>45767</v>
      </c>
      <c r="H424" s="1" t="n">
        <v>97</v>
      </c>
      <c r="I424" s="24" t="n">
        <v>3.6</v>
      </c>
      <c r="J424" s="1" t="s">
        <v>126</v>
      </c>
      <c r="K424" s="1" t="s">
        <v>67</v>
      </c>
      <c r="L424" s="1" t="s">
        <v>70</v>
      </c>
      <c r="M424" s="1" t="n">
        <v>14</v>
      </c>
      <c r="N424" s="1" t="s">
        <v>39</v>
      </c>
    </row>
    <row r="425" customFormat="false" ht="15" hidden="false" customHeight="true" outlineLevel="0" collapsed="false">
      <c r="A425" s="1" t="s">
        <v>1376</v>
      </c>
      <c r="B425" s="1" t="s">
        <v>1377</v>
      </c>
      <c r="C425" s="1" t="s">
        <v>1378</v>
      </c>
      <c r="D425" s="1" t="s">
        <v>165</v>
      </c>
      <c r="E425" s="1" t="s">
        <v>50</v>
      </c>
      <c r="F425" s="1" t="s">
        <v>59</v>
      </c>
      <c r="G425" s="23" t="n">
        <v>45643</v>
      </c>
      <c r="H425" s="1" t="n">
        <v>92</v>
      </c>
      <c r="I425" s="24" t="n">
        <v>0</v>
      </c>
      <c r="K425" s="1" t="s">
        <v>64</v>
      </c>
      <c r="L425" s="1" t="s">
        <v>70</v>
      </c>
      <c r="M425" s="1" t="n">
        <v>31</v>
      </c>
      <c r="N425" s="1" t="s">
        <v>39</v>
      </c>
    </row>
    <row r="426" customFormat="false" ht="15" hidden="false" customHeight="true" outlineLevel="0" collapsed="false">
      <c r="A426" s="1" t="s">
        <v>1379</v>
      </c>
      <c r="B426" s="1" t="s">
        <v>1380</v>
      </c>
      <c r="C426" s="1" t="s">
        <v>1381</v>
      </c>
      <c r="D426" s="1" t="s">
        <v>125</v>
      </c>
      <c r="E426" s="1" t="s">
        <v>52</v>
      </c>
      <c r="F426" s="1" t="s">
        <v>59</v>
      </c>
      <c r="G426" s="23" t="n">
        <v>45700</v>
      </c>
      <c r="H426" s="1" t="n">
        <v>166</v>
      </c>
      <c r="I426" s="24" t="n">
        <v>0</v>
      </c>
      <c r="K426" s="1" t="s">
        <v>64</v>
      </c>
      <c r="L426" s="1" t="s">
        <v>69</v>
      </c>
      <c r="M426" s="1" t="n">
        <v>43</v>
      </c>
      <c r="N426" s="1" t="s">
        <v>38</v>
      </c>
    </row>
    <row r="427" customFormat="false" ht="15" hidden="false" customHeight="true" outlineLevel="0" collapsed="false">
      <c r="A427" s="1" t="s">
        <v>1382</v>
      </c>
      <c r="B427" s="1" t="s">
        <v>1383</v>
      </c>
      <c r="C427" s="1" t="s">
        <v>1384</v>
      </c>
      <c r="D427" s="1" t="s">
        <v>120</v>
      </c>
      <c r="E427" s="1" t="s">
        <v>52</v>
      </c>
      <c r="F427" s="1" t="s">
        <v>59</v>
      </c>
      <c r="G427" s="23" t="n">
        <v>45676</v>
      </c>
      <c r="H427" s="1" t="n">
        <v>146</v>
      </c>
      <c r="I427" s="24" t="n">
        <v>22.51</v>
      </c>
      <c r="J427" s="1" t="s">
        <v>140</v>
      </c>
      <c r="K427" s="1" t="s">
        <v>66</v>
      </c>
      <c r="L427" s="1" t="s">
        <v>70</v>
      </c>
      <c r="M427" s="1" t="n">
        <v>25</v>
      </c>
      <c r="N427" s="1" t="s">
        <v>39</v>
      </c>
    </row>
    <row r="428" customFormat="false" ht="15" hidden="false" customHeight="true" outlineLevel="0" collapsed="false">
      <c r="A428" s="1" t="s">
        <v>1385</v>
      </c>
      <c r="B428" s="1" t="s">
        <v>1386</v>
      </c>
      <c r="C428" s="1" t="s">
        <v>1387</v>
      </c>
      <c r="D428" s="1" t="s">
        <v>116</v>
      </c>
      <c r="E428" s="1" t="s">
        <v>52</v>
      </c>
      <c r="F428" s="1" t="s">
        <v>56</v>
      </c>
      <c r="G428" s="23" t="n">
        <v>45722</v>
      </c>
      <c r="H428" s="1" t="n">
        <v>7</v>
      </c>
      <c r="I428" s="24" t="n">
        <v>29.06</v>
      </c>
      <c r="J428" s="1" t="s">
        <v>140</v>
      </c>
      <c r="K428" s="1" t="s">
        <v>64</v>
      </c>
      <c r="L428" s="1" t="s">
        <v>70</v>
      </c>
      <c r="M428" s="1" t="n">
        <v>12</v>
      </c>
      <c r="N428" s="1" t="s">
        <v>39</v>
      </c>
    </row>
    <row r="429" customFormat="false" ht="15" hidden="false" customHeight="true" outlineLevel="0" collapsed="false">
      <c r="A429" s="1" t="s">
        <v>1388</v>
      </c>
      <c r="B429" s="1" t="s">
        <v>1389</v>
      </c>
      <c r="C429" s="1" t="s">
        <v>1390</v>
      </c>
      <c r="D429" s="1" t="s">
        <v>116</v>
      </c>
      <c r="E429" s="1" t="s">
        <v>50</v>
      </c>
      <c r="F429" s="1" t="s">
        <v>57</v>
      </c>
      <c r="G429" s="23" t="n">
        <v>45669</v>
      </c>
      <c r="H429" s="1" t="n">
        <v>79</v>
      </c>
      <c r="I429" s="24" t="n">
        <v>0</v>
      </c>
      <c r="K429" s="1" t="s">
        <v>64</v>
      </c>
      <c r="L429" s="1" t="s">
        <v>69</v>
      </c>
      <c r="M429" s="1" t="n">
        <v>30</v>
      </c>
      <c r="N429" s="1" t="s">
        <v>39</v>
      </c>
    </row>
    <row r="430" customFormat="false" ht="15" hidden="false" customHeight="true" outlineLevel="0" collapsed="false">
      <c r="A430" s="1" t="s">
        <v>1391</v>
      </c>
      <c r="B430" s="1" t="s">
        <v>1392</v>
      </c>
      <c r="C430" s="1" t="s">
        <v>1393</v>
      </c>
      <c r="D430" s="1" t="s">
        <v>120</v>
      </c>
      <c r="E430" s="1" t="s">
        <v>51</v>
      </c>
      <c r="F430" s="1" t="s">
        <v>55</v>
      </c>
      <c r="G430" s="23" t="n">
        <v>45695</v>
      </c>
      <c r="H430" s="1" t="n">
        <v>39</v>
      </c>
      <c r="I430" s="24" t="n">
        <v>0</v>
      </c>
      <c r="K430" s="1" t="s">
        <v>64</v>
      </c>
      <c r="L430" s="1" t="s">
        <v>69</v>
      </c>
      <c r="M430" s="1" t="n">
        <v>12</v>
      </c>
      <c r="N430" s="1" t="s">
        <v>39</v>
      </c>
    </row>
    <row r="431" customFormat="false" ht="15" hidden="false" customHeight="true" outlineLevel="0" collapsed="false">
      <c r="A431" s="1" t="s">
        <v>1394</v>
      </c>
      <c r="B431" s="1" t="s">
        <v>1395</v>
      </c>
      <c r="C431" s="1" t="s">
        <v>1396</v>
      </c>
      <c r="D431" s="1" t="s">
        <v>120</v>
      </c>
      <c r="E431" s="1" t="s">
        <v>52</v>
      </c>
      <c r="F431" s="1" t="s">
        <v>60</v>
      </c>
      <c r="G431" s="23" t="n">
        <v>45645</v>
      </c>
      <c r="H431" s="1" t="n">
        <v>9</v>
      </c>
      <c r="I431" s="24" t="n">
        <v>0</v>
      </c>
      <c r="K431" s="1" t="s">
        <v>67</v>
      </c>
      <c r="L431" s="1" t="s">
        <v>69</v>
      </c>
      <c r="M431" s="1" t="n">
        <v>23</v>
      </c>
      <c r="N431" s="1" t="s">
        <v>39</v>
      </c>
    </row>
    <row r="432" customFormat="false" ht="15" hidden="false" customHeight="true" outlineLevel="0" collapsed="false">
      <c r="A432" s="1" t="s">
        <v>1397</v>
      </c>
      <c r="B432" s="1" t="s">
        <v>1398</v>
      </c>
      <c r="C432" s="1" t="s">
        <v>1399</v>
      </c>
      <c r="D432" s="1" t="s">
        <v>165</v>
      </c>
      <c r="E432" s="1" t="s">
        <v>51</v>
      </c>
      <c r="F432" s="1" t="s">
        <v>56</v>
      </c>
      <c r="G432" s="23" t="n">
        <v>45821</v>
      </c>
      <c r="H432" s="1" t="n">
        <v>70</v>
      </c>
      <c r="I432" s="24" t="n">
        <v>11.82</v>
      </c>
      <c r="J432" s="1" t="s">
        <v>140</v>
      </c>
      <c r="K432" s="1" t="s">
        <v>64</v>
      </c>
      <c r="L432" s="1" t="s">
        <v>70</v>
      </c>
      <c r="M432" s="1" t="n">
        <v>5</v>
      </c>
      <c r="N432" s="1" t="s">
        <v>39</v>
      </c>
    </row>
    <row r="433" customFormat="false" ht="15" hidden="false" customHeight="true" outlineLevel="0" collapsed="false">
      <c r="A433" s="1" t="s">
        <v>1400</v>
      </c>
      <c r="B433" s="1" t="s">
        <v>1401</v>
      </c>
      <c r="C433" s="1" t="s">
        <v>1402</v>
      </c>
      <c r="D433" s="1" t="s">
        <v>165</v>
      </c>
      <c r="E433" s="1" t="s">
        <v>50</v>
      </c>
      <c r="F433" s="1" t="s">
        <v>56</v>
      </c>
      <c r="G433" s="23" t="n">
        <v>45684</v>
      </c>
      <c r="H433" s="1" t="n">
        <v>156</v>
      </c>
      <c r="I433" s="24" t="n">
        <v>0</v>
      </c>
      <c r="K433" s="1" t="s">
        <v>64</v>
      </c>
      <c r="L433" s="1" t="s">
        <v>69</v>
      </c>
      <c r="M433" s="1" t="n">
        <v>6</v>
      </c>
      <c r="N433" s="1" t="s">
        <v>38</v>
      </c>
    </row>
    <row r="434" customFormat="false" ht="15" hidden="false" customHeight="true" outlineLevel="0" collapsed="false">
      <c r="A434" s="1" t="s">
        <v>1403</v>
      </c>
      <c r="B434" s="1" t="s">
        <v>1404</v>
      </c>
      <c r="C434" s="1" t="s">
        <v>1405</v>
      </c>
      <c r="D434" s="1" t="s">
        <v>120</v>
      </c>
      <c r="E434" s="1" t="s">
        <v>52</v>
      </c>
      <c r="F434" s="1" t="s">
        <v>59</v>
      </c>
      <c r="G434" s="23" t="n">
        <v>45641</v>
      </c>
      <c r="H434" s="1" t="n">
        <v>159</v>
      </c>
      <c r="I434" s="24" t="n">
        <v>0</v>
      </c>
      <c r="K434" s="1" t="s">
        <v>64</v>
      </c>
      <c r="L434" s="1" t="s">
        <v>69</v>
      </c>
      <c r="M434" s="1" t="n">
        <v>14</v>
      </c>
      <c r="N434" s="1" t="s">
        <v>38</v>
      </c>
    </row>
    <row r="435" customFormat="false" ht="15" hidden="false" customHeight="true" outlineLevel="0" collapsed="false">
      <c r="A435" s="1" t="s">
        <v>1406</v>
      </c>
      <c r="B435" s="1" t="s">
        <v>1407</v>
      </c>
      <c r="C435" s="1" t="s">
        <v>1408</v>
      </c>
      <c r="D435" s="1" t="s">
        <v>120</v>
      </c>
      <c r="E435" s="1" t="s">
        <v>51</v>
      </c>
      <c r="F435" s="1" t="s">
        <v>55</v>
      </c>
      <c r="G435" s="23" t="n">
        <v>45680</v>
      </c>
      <c r="H435" s="1" t="n">
        <v>139</v>
      </c>
      <c r="I435" s="24" t="n">
        <v>0</v>
      </c>
      <c r="K435" s="1" t="s">
        <v>64</v>
      </c>
      <c r="L435" s="1" t="s">
        <v>69</v>
      </c>
      <c r="M435" s="1" t="n">
        <v>37</v>
      </c>
      <c r="N435" s="1" t="s">
        <v>39</v>
      </c>
    </row>
    <row r="436" customFormat="false" ht="15" hidden="false" customHeight="true" outlineLevel="0" collapsed="false">
      <c r="A436" s="1" t="s">
        <v>1409</v>
      </c>
      <c r="B436" s="1" t="s">
        <v>1410</v>
      </c>
      <c r="C436" s="1" t="s">
        <v>1411</v>
      </c>
      <c r="D436" s="1" t="s">
        <v>116</v>
      </c>
      <c r="E436" s="1" t="s">
        <v>50</v>
      </c>
      <c r="F436" s="1" t="s">
        <v>55</v>
      </c>
      <c r="G436" s="23" t="n">
        <v>45778</v>
      </c>
      <c r="H436" s="1" t="n">
        <v>25</v>
      </c>
      <c r="I436" s="24" t="n">
        <v>0</v>
      </c>
      <c r="K436" s="1" t="s">
        <v>64</v>
      </c>
      <c r="L436" s="1" t="s">
        <v>70</v>
      </c>
      <c r="M436" s="1" t="n">
        <v>20</v>
      </c>
      <c r="N436" s="1" t="s">
        <v>39</v>
      </c>
    </row>
    <row r="437" customFormat="false" ht="15" hidden="false" customHeight="true" outlineLevel="0" collapsed="false">
      <c r="A437" s="1" t="s">
        <v>1412</v>
      </c>
      <c r="B437" s="1" t="s">
        <v>1413</v>
      </c>
      <c r="C437" s="1" t="s">
        <v>1414</v>
      </c>
      <c r="D437" s="1" t="s">
        <v>165</v>
      </c>
      <c r="E437" s="1" t="s">
        <v>50</v>
      </c>
      <c r="F437" s="1" t="s">
        <v>59</v>
      </c>
      <c r="G437" s="23" t="n">
        <v>45739</v>
      </c>
      <c r="H437" s="1" t="n">
        <v>80</v>
      </c>
      <c r="I437" s="24" t="n">
        <v>0</v>
      </c>
      <c r="K437" s="1" t="s">
        <v>67</v>
      </c>
      <c r="L437" s="1" t="s">
        <v>69</v>
      </c>
      <c r="M437" s="1" t="n">
        <v>3</v>
      </c>
      <c r="N437" s="1" t="s">
        <v>39</v>
      </c>
    </row>
    <row r="438" customFormat="false" ht="15" hidden="false" customHeight="true" outlineLevel="0" collapsed="false">
      <c r="A438" s="1" t="s">
        <v>1415</v>
      </c>
      <c r="B438" s="1" t="s">
        <v>1416</v>
      </c>
      <c r="C438" s="1" t="s">
        <v>1417</v>
      </c>
      <c r="D438" s="1" t="s">
        <v>120</v>
      </c>
      <c r="E438" s="1" t="s">
        <v>52</v>
      </c>
      <c r="F438" s="1" t="s">
        <v>59</v>
      </c>
      <c r="G438" s="23" t="n">
        <v>45773</v>
      </c>
      <c r="H438" s="1" t="n">
        <v>101</v>
      </c>
      <c r="I438" s="24" t="n">
        <v>0</v>
      </c>
      <c r="K438" s="1" t="s">
        <v>64</v>
      </c>
      <c r="L438" s="1" t="s">
        <v>69</v>
      </c>
      <c r="M438" s="1" t="n">
        <v>15</v>
      </c>
      <c r="N438" s="1" t="s">
        <v>39</v>
      </c>
    </row>
    <row r="439" customFormat="false" ht="15" hidden="false" customHeight="true" outlineLevel="0" collapsed="false">
      <c r="A439" s="1" t="s">
        <v>1418</v>
      </c>
      <c r="B439" s="1" t="s">
        <v>1419</v>
      </c>
      <c r="C439" s="1" t="s">
        <v>1420</v>
      </c>
      <c r="D439" s="1" t="s">
        <v>120</v>
      </c>
      <c r="E439" s="1" t="s">
        <v>52</v>
      </c>
      <c r="F439" s="1" t="s">
        <v>60</v>
      </c>
      <c r="G439" s="23" t="n">
        <v>45645</v>
      </c>
      <c r="H439" s="1" t="n">
        <v>176</v>
      </c>
      <c r="I439" s="24" t="n">
        <v>0</v>
      </c>
      <c r="K439" s="1" t="s">
        <v>64</v>
      </c>
      <c r="L439" s="1" t="s">
        <v>69</v>
      </c>
      <c r="M439" s="1" t="n">
        <v>18</v>
      </c>
      <c r="N439" s="1" t="s">
        <v>38</v>
      </c>
    </row>
    <row r="440" customFormat="false" ht="15" hidden="false" customHeight="true" outlineLevel="0" collapsed="false">
      <c r="A440" s="1" t="s">
        <v>1421</v>
      </c>
      <c r="B440" s="1" t="s">
        <v>1422</v>
      </c>
      <c r="C440" s="1" t="s">
        <v>1423</v>
      </c>
      <c r="D440" s="1" t="s">
        <v>116</v>
      </c>
      <c r="E440" s="1" t="s">
        <v>51</v>
      </c>
      <c r="F440" s="1" t="s">
        <v>55</v>
      </c>
      <c r="G440" s="23" t="n">
        <v>45708</v>
      </c>
      <c r="H440" s="1" t="n">
        <v>101</v>
      </c>
      <c r="I440" s="24" t="n">
        <v>0</v>
      </c>
      <c r="K440" s="1" t="s">
        <v>67</v>
      </c>
      <c r="L440" s="1" t="s">
        <v>69</v>
      </c>
      <c r="M440" s="1" t="n">
        <v>5</v>
      </c>
      <c r="N440" s="1" t="s">
        <v>39</v>
      </c>
    </row>
    <row r="441" customFormat="false" ht="15" hidden="false" customHeight="true" outlineLevel="0" collapsed="false">
      <c r="A441" s="1" t="s">
        <v>1424</v>
      </c>
      <c r="B441" s="1" t="s">
        <v>1425</v>
      </c>
      <c r="C441" s="1" t="s">
        <v>1426</v>
      </c>
      <c r="D441" s="1" t="s">
        <v>130</v>
      </c>
      <c r="E441" s="1" t="s">
        <v>52</v>
      </c>
      <c r="F441" s="1" t="s">
        <v>58</v>
      </c>
      <c r="G441" s="23" t="n">
        <v>45797</v>
      </c>
      <c r="H441" s="1" t="n">
        <v>147</v>
      </c>
      <c r="I441" s="24" t="n">
        <v>32.05</v>
      </c>
      <c r="J441" s="1" t="s">
        <v>126</v>
      </c>
      <c r="K441" s="1" t="s">
        <v>67</v>
      </c>
      <c r="L441" s="1" t="s">
        <v>70</v>
      </c>
      <c r="M441" s="1" t="n">
        <v>11</v>
      </c>
      <c r="N441" s="1" t="s">
        <v>39</v>
      </c>
    </row>
    <row r="442" customFormat="false" ht="15" hidden="false" customHeight="true" outlineLevel="0" collapsed="false">
      <c r="A442" s="1" t="s">
        <v>1427</v>
      </c>
      <c r="B442" s="1" t="s">
        <v>1428</v>
      </c>
      <c r="C442" s="1" t="s">
        <v>1429</v>
      </c>
      <c r="D442" s="1" t="s">
        <v>120</v>
      </c>
      <c r="E442" s="1" t="s">
        <v>50</v>
      </c>
      <c r="F442" s="1" t="s">
        <v>57</v>
      </c>
      <c r="G442" s="23" t="n">
        <v>45667</v>
      </c>
      <c r="H442" s="1" t="n">
        <v>46</v>
      </c>
      <c r="I442" s="24" t="n">
        <v>0</v>
      </c>
      <c r="K442" s="1" t="s">
        <v>64</v>
      </c>
      <c r="L442" s="1" t="s">
        <v>69</v>
      </c>
      <c r="M442" s="1" t="n">
        <v>4</v>
      </c>
      <c r="N442" s="1" t="s">
        <v>39</v>
      </c>
    </row>
    <row r="443" customFormat="false" ht="15" hidden="false" customHeight="true" outlineLevel="0" collapsed="false">
      <c r="A443" s="1" t="s">
        <v>1430</v>
      </c>
      <c r="B443" s="1" t="s">
        <v>1431</v>
      </c>
      <c r="C443" s="1" t="s">
        <v>1432</v>
      </c>
      <c r="D443" s="1" t="s">
        <v>130</v>
      </c>
      <c r="E443" s="1" t="s">
        <v>51</v>
      </c>
      <c r="F443" s="1" t="s">
        <v>60</v>
      </c>
      <c r="G443" s="23" t="n">
        <v>45810</v>
      </c>
      <c r="H443" s="1" t="n">
        <v>33</v>
      </c>
      <c r="I443" s="24" t="n">
        <v>0</v>
      </c>
      <c r="K443" s="1" t="s">
        <v>66</v>
      </c>
      <c r="L443" s="1" t="s">
        <v>69</v>
      </c>
      <c r="M443" s="1" t="n">
        <v>20</v>
      </c>
      <c r="N443" s="1" t="s">
        <v>39</v>
      </c>
    </row>
    <row r="444" customFormat="false" ht="15" hidden="false" customHeight="true" outlineLevel="0" collapsed="false">
      <c r="A444" s="1" t="s">
        <v>1433</v>
      </c>
      <c r="B444" s="1" t="s">
        <v>1434</v>
      </c>
      <c r="C444" s="1" t="s">
        <v>1435</v>
      </c>
      <c r="D444" s="1" t="s">
        <v>116</v>
      </c>
      <c r="E444" s="1" t="s">
        <v>50</v>
      </c>
      <c r="F444" s="1" t="s">
        <v>56</v>
      </c>
      <c r="G444" s="23" t="n">
        <v>45713</v>
      </c>
      <c r="H444" s="1" t="n">
        <v>150</v>
      </c>
      <c r="I444" s="24" t="n">
        <v>0</v>
      </c>
      <c r="K444" s="1" t="s">
        <v>64</v>
      </c>
      <c r="L444" s="1" t="s">
        <v>69</v>
      </c>
      <c r="M444" s="1" t="n">
        <v>46</v>
      </c>
      <c r="N444" s="1" t="s">
        <v>39</v>
      </c>
    </row>
    <row r="445" customFormat="false" ht="15" hidden="false" customHeight="true" outlineLevel="0" collapsed="false">
      <c r="A445" s="1" t="s">
        <v>1436</v>
      </c>
      <c r="B445" s="1" t="s">
        <v>1437</v>
      </c>
      <c r="C445" s="1" t="s">
        <v>1438</v>
      </c>
      <c r="D445" s="1" t="s">
        <v>116</v>
      </c>
      <c r="E445" s="1" t="s">
        <v>52</v>
      </c>
      <c r="F445" s="1" t="s">
        <v>58</v>
      </c>
      <c r="G445" s="23" t="n">
        <v>45793</v>
      </c>
      <c r="H445" s="1" t="n">
        <v>166</v>
      </c>
      <c r="I445" s="24" t="n">
        <v>0</v>
      </c>
      <c r="K445" s="1" t="s">
        <v>64</v>
      </c>
      <c r="L445" s="1" t="s">
        <v>69</v>
      </c>
      <c r="M445" s="1" t="n">
        <v>27</v>
      </c>
      <c r="N445" s="1" t="s">
        <v>38</v>
      </c>
    </row>
    <row r="446" customFormat="false" ht="15" hidden="false" customHeight="true" outlineLevel="0" collapsed="false">
      <c r="A446" s="1" t="s">
        <v>1439</v>
      </c>
      <c r="B446" s="1" t="s">
        <v>1440</v>
      </c>
      <c r="C446" s="1" t="s">
        <v>1441</v>
      </c>
      <c r="D446" s="1" t="s">
        <v>130</v>
      </c>
      <c r="E446" s="1" t="s">
        <v>50</v>
      </c>
      <c r="F446" s="1" t="s">
        <v>58</v>
      </c>
      <c r="G446" s="23" t="n">
        <v>45678</v>
      </c>
      <c r="H446" s="1" t="n">
        <v>96</v>
      </c>
      <c r="I446" s="24" t="n">
        <v>0</v>
      </c>
      <c r="K446" s="1" t="s">
        <v>64</v>
      </c>
      <c r="L446" s="1" t="s">
        <v>70</v>
      </c>
      <c r="M446" s="1" t="n">
        <v>38</v>
      </c>
      <c r="N446" s="1" t="s">
        <v>39</v>
      </c>
    </row>
    <row r="447" customFormat="false" ht="15" hidden="false" customHeight="true" outlineLevel="0" collapsed="false">
      <c r="A447" s="1" t="s">
        <v>1442</v>
      </c>
      <c r="B447" s="1" t="s">
        <v>1443</v>
      </c>
      <c r="C447" s="1" t="s">
        <v>1444</v>
      </c>
      <c r="D447" s="1" t="s">
        <v>125</v>
      </c>
      <c r="E447" s="1" t="s">
        <v>52</v>
      </c>
      <c r="F447" s="1" t="s">
        <v>59</v>
      </c>
      <c r="G447" s="23" t="n">
        <v>45795</v>
      </c>
      <c r="H447" s="1" t="n">
        <v>51</v>
      </c>
      <c r="I447" s="24" t="n">
        <v>0</v>
      </c>
      <c r="K447" s="1" t="s">
        <v>64</v>
      </c>
      <c r="L447" s="1" t="s">
        <v>69</v>
      </c>
      <c r="M447" s="1" t="n">
        <v>9</v>
      </c>
      <c r="N447" s="1" t="s">
        <v>39</v>
      </c>
    </row>
    <row r="448" customFormat="false" ht="15" hidden="false" customHeight="true" outlineLevel="0" collapsed="false">
      <c r="A448" s="1" t="s">
        <v>1445</v>
      </c>
      <c r="B448" s="1" t="s">
        <v>1446</v>
      </c>
      <c r="C448" s="1" t="s">
        <v>1447</v>
      </c>
      <c r="D448" s="1" t="s">
        <v>130</v>
      </c>
      <c r="E448" s="1" t="s">
        <v>52</v>
      </c>
      <c r="F448" s="1" t="s">
        <v>60</v>
      </c>
      <c r="G448" s="23" t="n">
        <v>45652</v>
      </c>
      <c r="H448" s="1" t="n">
        <v>96</v>
      </c>
      <c r="I448" s="24" t="n">
        <v>0</v>
      </c>
      <c r="K448" s="1" t="s">
        <v>64</v>
      </c>
      <c r="L448" s="1" t="s">
        <v>69</v>
      </c>
      <c r="M448" s="1" t="n">
        <v>49</v>
      </c>
      <c r="N448" s="1" t="s">
        <v>39</v>
      </c>
    </row>
    <row r="449" customFormat="false" ht="15" hidden="false" customHeight="true" outlineLevel="0" collapsed="false">
      <c r="A449" s="1" t="s">
        <v>1448</v>
      </c>
      <c r="B449" s="1" t="s">
        <v>1449</v>
      </c>
      <c r="C449" s="1" t="s">
        <v>1450</v>
      </c>
      <c r="D449" s="1" t="s">
        <v>116</v>
      </c>
      <c r="E449" s="1" t="s">
        <v>52</v>
      </c>
      <c r="F449" s="1" t="s">
        <v>60</v>
      </c>
      <c r="G449" s="23" t="n">
        <v>45787</v>
      </c>
      <c r="H449" s="1" t="n">
        <v>114</v>
      </c>
      <c r="I449" s="24" t="n">
        <v>0</v>
      </c>
      <c r="K449" s="1" t="s">
        <v>67</v>
      </c>
      <c r="L449" s="1" t="s">
        <v>69</v>
      </c>
      <c r="M449" s="1" t="n">
        <v>22</v>
      </c>
      <c r="N449" s="1" t="s">
        <v>39</v>
      </c>
    </row>
    <row r="450" customFormat="false" ht="15" hidden="false" customHeight="true" outlineLevel="0" collapsed="false">
      <c r="A450" s="1" t="s">
        <v>1451</v>
      </c>
      <c r="B450" s="1" t="s">
        <v>1452</v>
      </c>
      <c r="C450" s="1" t="s">
        <v>1453</v>
      </c>
      <c r="D450" s="1" t="s">
        <v>165</v>
      </c>
      <c r="E450" s="1" t="s">
        <v>50</v>
      </c>
      <c r="F450" s="1" t="s">
        <v>55</v>
      </c>
      <c r="G450" s="23" t="n">
        <v>45654</v>
      </c>
      <c r="H450" s="1" t="n">
        <v>133</v>
      </c>
      <c r="I450" s="24" t="n">
        <v>0</v>
      </c>
      <c r="K450" s="1" t="s">
        <v>66</v>
      </c>
      <c r="L450" s="1" t="s">
        <v>69</v>
      </c>
      <c r="M450" s="1" t="n">
        <v>10</v>
      </c>
      <c r="N450" s="1" t="s">
        <v>39</v>
      </c>
    </row>
    <row r="451" customFormat="false" ht="15" hidden="false" customHeight="true" outlineLevel="0" collapsed="false">
      <c r="A451" s="1" t="s">
        <v>1454</v>
      </c>
      <c r="B451" s="1" t="s">
        <v>1284</v>
      </c>
      <c r="C451" s="1" t="s">
        <v>1455</v>
      </c>
      <c r="D451" s="1" t="s">
        <v>120</v>
      </c>
      <c r="E451" s="1" t="s">
        <v>52</v>
      </c>
      <c r="F451" s="1" t="s">
        <v>57</v>
      </c>
      <c r="G451" s="23" t="n">
        <v>45755</v>
      </c>
      <c r="H451" s="1" t="n">
        <v>104</v>
      </c>
      <c r="I451" s="24" t="n">
        <v>9.94</v>
      </c>
      <c r="J451" s="1" t="s">
        <v>126</v>
      </c>
      <c r="K451" s="1" t="s">
        <v>66</v>
      </c>
      <c r="L451" s="1" t="s">
        <v>70</v>
      </c>
      <c r="M451" s="1" t="n">
        <v>21</v>
      </c>
      <c r="N451" s="1" t="s">
        <v>39</v>
      </c>
    </row>
    <row r="452" customFormat="false" ht="15" hidden="false" customHeight="true" outlineLevel="0" collapsed="false">
      <c r="A452" s="1" t="s">
        <v>1456</v>
      </c>
      <c r="B452" s="1" t="s">
        <v>1457</v>
      </c>
      <c r="C452" s="1" t="s">
        <v>1458</v>
      </c>
      <c r="D452" s="1" t="s">
        <v>116</v>
      </c>
      <c r="E452" s="1" t="s">
        <v>52</v>
      </c>
      <c r="F452" s="1" t="s">
        <v>57</v>
      </c>
      <c r="G452" s="23" t="n">
        <v>45758</v>
      </c>
      <c r="H452" s="1" t="n">
        <v>108</v>
      </c>
      <c r="I452" s="24" t="n">
        <v>0</v>
      </c>
      <c r="K452" s="1" t="s">
        <v>65</v>
      </c>
      <c r="L452" s="1" t="s">
        <v>69</v>
      </c>
      <c r="M452" s="1" t="n">
        <v>22</v>
      </c>
      <c r="N452" s="1" t="s">
        <v>39</v>
      </c>
    </row>
    <row r="453" customFormat="false" ht="15" hidden="false" customHeight="true" outlineLevel="0" collapsed="false">
      <c r="A453" s="1" t="s">
        <v>1459</v>
      </c>
      <c r="B453" s="1" t="s">
        <v>1460</v>
      </c>
      <c r="C453" s="1" t="s">
        <v>1461</v>
      </c>
      <c r="D453" s="1" t="s">
        <v>120</v>
      </c>
      <c r="E453" s="1" t="s">
        <v>50</v>
      </c>
      <c r="F453" s="1" t="s">
        <v>56</v>
      </c>
      <c r="G453" s="23" t="n">
        <v>45724</v>
      </c>
      <c r="H453" s="1" t="n">
        <v>63</v>
      </c>
      <c r="I453" s="24" t="n">
        <v>0</v>
      </c>
      <c r="K453" s="1" t="s">
        <v>64</v>
      </c>
      <c r="L453" s="1" t="s">
        <v>69</v>
      </c>
      <c r="M453" s="1" t="n">
        <v>25</v>
      </c>
      <c r="N453" s="1" t="s">
        <v>39</v>
      </c>
    </row>
    <row r="454" customFormat="false" ht="15" hidden="false" customHeight="true" outlineLevel="0" collapsed="false">
      <c r="A454" s="1" t="s">
        <v>1462</v>
      </c>
      <c r="B454" s="1" t="s">
        <v>1463</v>
      </c>
      <c r="C454" s="1" t="s">
        <v>1464</v>
      </c>
      <c r="D454" s="1" t="s">
        <v>165</v>
      </c>
      <c r="E454" s="1" t="s">
        <v>50</v>
      </c>
      <c r="F454" s="1" t="s">
        <v>57</v>
      </c>
      <c r="G454" s="23" t="n">
        <v>45660</v>
      </c>
      <c r="H454" s="1" t="n">
        <v>33</v>
      </c>
      <c r="I454" s="24" t="n">
        <v>0</v>
      </c>
      <c r="K454" s="1" t="s">
        <v>64</v>
      </c>
      <c r="L454" s="1" t="s">
        <v>69</v>
      </c>
      <c r="M454" s="1" t="n">
        <v>32</v>
      </c>
      <c r="N454" s="1" t="s">
        <v>39</v>
      </c>
    </row>
    <row r="455" customFormat="false" ht="15" hidden="false" customHeight="true" outlineLevel="0" collapsed="false">
      <c r="A455" s="1" t="s">
        <v>1465</v>
      </c>
      <c r="B455" s="1" t="s">
        <v>1466</v>
      </c>
      <c r="C455" s="1" t="s">
        <v>1467</v>
      </c>
      <c r="D455" s="1" t="s">
        <v>125</v>
      </c>
      <c r="E455" s="1" t="s">
        <v>50</v>
      </c>
      <c r="F455" s="1" t="s">
        <v>58</v>
      </c>
      <c r="G455" s="23" t="n">
        <v>45791</v>
      </c>
      <c r="H455" s="1" t="n">
        <v>39</v>
      </c>
      <c r="I455" s="24" t="n">
        <v>0</v>
      </c>
      <c r="K455" s="1" t="s">
        <v>64</v>
      </c>
      <c r="L455" s="1" t="s">
        <v>69</v>
      </c>
      <c r="M455" s="1" t="n">
        <v>42</v>
      </c>
      <c r="N455" s="1" t="s">
        <v>39</v>
      </c>
    </row>
    <row r="456" customFormat="false" ht="15" hidden="false" customHeight="true" outlineLevel="0" collapsed="false">
      <c r="A456" s="1" t="s">
        <v>1468</v>
      </c>
      <c r="B456" s="1" t="s">
        <v>1469</v>
      </c>
      <c r="C456" s="1" t="s">
        <v>1470</v>
      </c>
      <c r="D456" s="1" t="s">
        <v>165</v>
      </c>
      <c r="E456" s="1" t="s">
        <v>51</v>
      </c>
      <c r="F456" s="1" t="s">
        <v>60</v>
      </c>
      <c r="G456" s="23" t="n">
        <v>45714</v>
      </c>
      <c r="H456" s="1" t="n">
        <v>11</v>
      </c>
      <c r="I456" s="24" t="n">
        <v>0</v>
      </c>
      <c r="K456" s="1" t="s">
        <v>66</v>
      </c>
      <c r="L456" s="1" t="s">
        <v>69</v>
      </c>
      <c r="M456" s="1" t="n">
        <v>12</v>
      </c>
      <c r="N456" s="1" t="s">
        <v>39</v>
      </c>
    </row>
    <row r="457" customFormat="false" ht="15" hidden="false" customHeight="true" outlineLevel="0" collapsed="false">
      <c r="A457" s="1" t="s">
        <v>1471</v>
      </c>
      <c r="B457" s="1" t="s">
        <v>1472</v>
      </c>
      <c r="C457" s="1" t="s">
        <v>1473</v>
      </c>
      <c r="D457" s="1" t="s">
        <v>125</v>
      </c>
      <c r="E457" s="1" t="s">
        <v>50</v>
      </c>
      <c r="F457" s="1" t="s">
        <v>57</v>
      </c>
      <c r="G457" s="23" t="n">
        <v>45708</v>
      </c>
      <c r="H457" s="1" t="n">
        <v>142</v>
      </c>
      <c r="I457" s="24" t="n">
        <v>0</v>
      </c>
      <c r="K457" s="1" t="s">
        <v>64</v>
      </c>
      <c r="L457" s="1" t="s">
        <v>69</v>
      </c>
      <c r="M457" s="1" t="n">
        <v>32</v>
      </c>
      <c r="N457" s="1" t="s">
        <v>39</v>
      </c>
    </row>
    <row r="458" customFormat="false" ht="15" hidden="false" customHeight="true" outlineLevel="0" collapsed="false">
      <c r="A458" s="1" t="s">
        <v>1474</v>
      </c>
      <c r="B458" s="1" t="s">
        <v>1475</v>
      </c>
      <c r="C458" s="1" t="s">
        <v>1476</v>
      </c>
      <c r="D458" s="1" t="s">
        <v>130</v>
      </c>
      <c r="E458" s="1" t="s">
        <v>51</v>
      </c>
      <c r="F458" s="1" t="s">
        <v>55</v>
      </c>
      <c r="G458" s="23" t="n">
        <v>45669</v>
      </c>
      <c r="H458" s="1" t="n">
        <v>123</v>
      </c>
      <c r="I458" s="24" t="n">
        <v>22.4</v>
      </c>
      <c r="J458" s="1" t="s">
        <v>241</v>
      </c>
      <c r="K458" s="1" t="s">
        <v>64</v>
      </c>
      <c r="L458" s="1" t="s">
        <v>70</v>
      </c>
      <c r="M458" s="1" t="n">
        <v>33</v>
      </c>
      <c r="N458" s="1" t="s">
        <v>39</v>
      </c>
    </row>
    <row r="459" customFormat="false" ht="15" hidden="false" customHeight="true" outlineLevel="0" collapsed="false">
      <c r="A459" s="1" t="s">
        <v>1477</v>
      </c>
      <c r="B459" s="1" t="s">
        <v>1389</v>
      </c>
      <c r="C459" s="1" t="s">
        <v>1478</v>
      </c>
      <c r="D459" s="1" t="s">
        <v>116</v>
      </c>
      <c r="E459" s="1" t="s">
        <v>52</v>
      </c>
      <c r="F459" s="1" t="s">
        <v>59</v>
      </c>
      <c r="G459" s="23" t="n">
        <v>45735</v>
      </c>
      <c r="H459" s="1" t="n">
        <v>132</v>
      </c>
      <c r="I459" s="24" t="n">
        <v>28.89</v>
      </c>
      <c r="J459" s="1" t="s">
        <v>140</v>
      </c>
      <c r="K459" s="1" t="s">
        <v>64</v>
      </c>
      <c r="L459" s="1" t="s">
        <v>70</v>
      </c>
      <c r="M459" s="1" t="n">
        <v>26</v>
      </c>
      <c r="N459" s="1" t="s">
        <v>39</v>
      </c>
    </row>
    <row r="460" customFormat="false" ht="15" hidden="false" customHeight="true" outlineLevel="0" collapsed="false">
      <c r="A460" s="1" t="s">
        <v>1479</v>
      </c>
      <c r="B460" s="1" t="s">
        <v>1480</v>
      </c>
      <c r="C460" s="1" t="s">
        <v>1481</v>
      </c>
      <c r="D460" s="1" t="s">
        <v>165</v>
      </c>
      <c r="E460" s="1" t="s">
        <v>50</v>
      </c>
      <c r="F460" s="1" t="s">
        <v>58</v>
      </c>
      <c r="G460" s="23" t="n">
        <v>45655</v>
      </c>
      <c r="H460" s="1" t="n">
        <v>113</v>
      </c>
      <c r="I460" s="24" t="n">
        <v>0</v>
      </c>
      <c r="K460" s="1" t="s">
        <v>64</v>
      </c>
      <c r="L460" s="1" t="s">
        <v>69</v>
      </c>
      <c r="M460" s="1" t="n">
        <v>17</v>
      </c>
      <c r="N460" s="1" t="s">
        <v>39</v>
      </c>
    </row>
    <row r="461" customFormat="false" ht="15" hidden="false" customHeight="true" outlineLevel="0" collapsed="false">
      <c r="A461" s="1" t="s">
        <v>1482</v>
      </c>
      <c r="B461" s="1" t="s">
        <v>1483</v>
      </c>
      <c r="C461" s="1" t="s">
        <v>1484</v>
      </c>
      <c r="D461" s="1" t="s">
        <v>130</v>
      </c>
      <c r="E461" s="1" t="s">
        <v>52</v>
      </c>
      <c r="F461" s="1" t="s">
        <v>59</v>
      </c>
      <c r="G461" s="23" t="n">
        <v>45666</v>
      </c>
      <c r="H461" s="1" t="n">
        <v>92</v>
      </c>
      <c r="I461" s="24" t="n">
        <v>0</v>
      </c>
      <c r="K461" s="1" t="s">
        <v>64</v>
      </c>
      <c r="L461" s="1" t="s">
        <v>69</v>
      </c>
      <c r="M461" s="1" t="n">
        <v>33</v>
      </c>
      <c r="N461" s="1" t="s">
        <v>39</v>
      </c>
    </row>
    <row r="462" customFormat="false" ht="15" hidden="false" customHeight="true" outlineLevel="0" collapsed="false">
      <c r="A462" s="1" t="s">
        <v>1485</v>
      </c>
      <c r="B462" s="1" t="s">
        <v>1486</v>
      </c>
      <c r="C462" s="1" t="s">
        <v>1487</v>
      </c>
      <c r="D462" s="1" t="s">
        <v>130</v>
      </c>
      <c r="E462" s="1" t="s">
        <v>52</v>
      </c>
      <c r="F462" s="1" t="s">
        <v>55</v>
      </c>
      <c r="G462" s="23" t="n">
        <v>45654</v>
      </c>
      <c r="H462" s="1" t="n">
        <v>44</v>
      </c>
      <c r="I462" s="24" t="n">
        <v>0</v>
      </c>
      <c r="K462" s="1" t="s">
        <v>64</v>
      </c>
      <c r="L462" s="1" t="s">
        <v>69</v>
      </c>
      <c r="M462" s="1" t="n">
        <v>21</v>
      </c>
      <c r="N462" s="1" t="s">
        <v>39</v>
      </c>
    </row>
    <row r="463" customFormat="false" ht="15" hidden="false" customHeight="true" outlineLevel="0" collapsed="false">
      <c r="A463" s="1" t="s">
        <v>1488</v>
      </c>
      <c r="B463" s="1" t="s">
        <v>1489</v>
      </c>
      <c r="C463" s="1" t="s">
        <v>1490</v>
      </c>
      <c r="D463" s="1" t="s">
        <v>125</v>
      </c>
      <c r="E463" s="1" t="s">
        <v>50</v>
      </c>
      <c r="F463" s="1" t="s">
        <v>60</v>
      </c>
      <c r="G463" s="23" t="n">
        <v>45722</v>
      </c>
      <c r="H463" s="1" t="n">
        <v>17</v>
      </c>
      <c r="I463" s="24" t="n">
        <v>0</v>
      </c>
      <c r="K463" s="1" t="s">
        <v>64</v>
      </c>
      <c r="L463" s="1" t="s">
        <v>69</v>
      </c>
      <c r="M463" s="1" t="n">
        <v>1</v>
      </c>
      <c r="N463" s="1" t="s">
        <v>39</v>
      </c>
    </row>
    <row r="464" customFormat="false" ht="15" hidden="false" customHeight="true" outlineLevel="0" collapsed="false">
      <c r="A464" s="1" t="s">
        <v>1491</v>
      </c>
      <c r="B464" s="1" t="s">
        <v>1492</v>
      </c>
      <c r="C464" s="1" t="s">
        <v>1493</v>
      </c>
      <c r="D464" s="1" t="s">
        <v>125</v>
      </c>
      <c r="E464" s="1" t="s">
        <v>51</v>
      </c>
      <c r="F464" s="1" t="s">
        <v>56</v>
      </c>
      <c r="G464" s="23" t="n">
        <v>45690</v>
      </c>
      <c r="H464" s="1" t="n">
        <v>52</v>
      </c>
      <c r="I464" s="24" t="n">
        <v>0</v>
      </c>
      <c r="K464" s="1" t="s">
        <v>66</v>
      </c>
      <c r="L464" s="1" t="s">
        <v>69</v>
      </c>
      <c r="M464" s="1" t="n">
        <v>19</v>
      </c>
      <c r="N464" s="1" t="s">
        <v>39</v>
      </c>
    </row>
    <row r="465" customFormat="false" ht="15" hidden="false" customHeight="true" outlineLevel="0" collapsed="false">
      <c r="A465" s="1" t="s">
        <v>1494</v>
      </c>
      <c r="B465" s="1" t="s">
        <v>1495</v>
      </c>
      <c r="C465" s="1" t="s">
        <v>1496</v>
      </c>
      <c r="D465" s="1" t="s">
        <v>165</v>
      </c>
      <c r="E465" s="1" t="s">
        <v>50</v>
      </c>
      <c r="F465" s="1" t="s">
        <v>60</v>
      </c>
      <c r="G465" s="23" t="n">
        <v>45676</v>
      </c>
      <c r="H465" s="1" t="n">
        <v>51</v>
      </c>
      <c r="I465" s="24" t="n">
        <v>20.97</v>
      </c>
      <c r="J465" s="1" t="s">
        <v>241</v>
      </c>
      <c r="K465" s="1" t="s">
        <v>64</v>
      </c>
      <c r="L465" s="1" t="s">
        <v>70</v>
      </c>
      <c r="M465" s="1" t="n">
        <v>31</v>
      </c>
      <c r="N465" s="1" t="s">
        <v>39</v>
      </c>
    </row>
    <row r="466" customFormat="false" ht="15" hidden="false" customHeight="true" outlineLevel="0" collapsed="false">
      <c r="A466" s="1" t="s">
        <v>1497</v>
      </c>
      <c r="B466" s="1" t="s">
        <v>1498</v>
      </c>
      <c r="C466" s="1" t="s">
        <v>1499</v>
      </c>
      <c r="D466" s="1" t="s">
        <v>116</v>
      </c>
      <c r="E466" s="1" t="s">
        <v>51</v>
      </c>
      <c r="F466" s="1" t="s">
        <v>57</v>
      </c>
      <c r="G466" s="23" t="n">
        <v>45694</v>
      </c>
      <c r="H466" s="1" t="n">
        <v>94</v>
      </c>
      <c r="I466" s="24" t="n">
        <v>0</v>
      </c>
      <c r="K466" s="1" t="s">
        <v>64</v>
      </c>
      <c r="L466" s="1" t="s">
        <v>69</v>
      </c>
      <c r="M466" s="1" t="n">
        <v>43</v>
      </c>
      <c r="N466" s="1" t="s">
        <v>39</v>
      </c>
    </row>
    <row r="467" customFormat="false" ht="15" hidden="false" customHeight="true" outlineLevel="0" collapsed="false">
      <c r="A467" s="1" t="s">
        <v>1500</v>
      </c>
      <c r="B467" s="1" t="s">
        <v>1501</v>
      </c>
      <c r="C467" s="1" t="s">
        <v>1502</v>
      </c>
      <c r="D467" s="1" t="s">
        <v>165</v>
      </c>
      <c r="E467" s="1" t="s">
        <v>50</v>
      </c>
      <c r="F467" s="1" t="s">
        <v>60</v>
      </c>
      <c r="G467" s="23" t="n">
        <v>45782</v>
      </c>
      <c r="H467" s="1" t="n">
        <v>63</v>
      </c>
      <c r="I467" s="24" t="n">
        <v>0</v>
      </c>
      <c r="K467" s="1" t="s">
        <v>64</v>
      </c>
      <c r="L467" s="1" t="s">
        <v>70</v>
      </c>
      <c r="M467" s="1" t="n">
        <v>43</v>
      </c>
      <c r="N467" s="1" t="s">
        <v>39</v>
      </c>
    </row>
    <row r="468" customFormat="false" ht="15" hidden="false" customHeight="true" outlineLevel="0" collapsed="false">
      <c r="A468" s="1" t="s">
        <v>1503</v>
      </c>
      <c r="B468" s="1" t="s">
        <v>1504</v>
      </c>
      <c r="C468" s="1" t="s">
        <v>1505</v>
      </c>
      <c r="D468" s="1" t="s">
        <v>165</v>
      </c>
      <c r="E468" s="1" t="s">
        <v>50</v>
      </c>
      <c r="F468" s="1" t="s">
        <v>58</v>
      </c>
      <c r="G468" s="23" t="n">
        <v>45725</v>
      </c>
      <c r="H468" s="1" t="n">
        <v>172</v>
      </c>
      <c r="I468" s="24" t="n">
        <v>0</v>
      </c>
      <c r="K468" s="1" t="s">
        <v>64</v>
      </c>
      <c r="L468" s="1" t="s">
        <v>69</v>
      </c>
      <c r="M468" s="1" t="n">
        <v>15</v>
      </c>
      <c r="N468" s="1" t="s">
        <v>38</v>
      </c>
    </row>
    <row r="469" customFormat="false" ht="15" hidden="false" customHeight="true" outlineLevel="0" collapsed="false">
      <c r="A469" s="1" t="s">
        <v>1506</v>
      </c>
      <c r="B469" s="1" t="s">
        <v>1507</v>
      </c>
      <c r="C469" s="1" t="s">
        <v>1508</v>
      </c>
      <c r="D469" s="1" t="s">
        <v>120</v>
      </c>
      <c r="E469" s="1" t="s">
        <v>52</v>
      </c>
      <c r="F469" s="1" t="s">
        <v>55</v>
      </c>
      <c r="G469" s="23" t="n">
        <v>45651</v>
      </c>
      <c r="H469" s="1" t="n">
        <v>38</v>
      </c>
      <c r="I469" s="24" t="n">
        <v>0</v>
      </c>
      <c r="K469" s="1" t="s">
        <v>66</v>
      </c>
      <c r="L469" s="1" t="s">
        <v>69</v>
      </c>
      <c r="M469" s="1" t="n">
        <v>23</v>
      </c>
      <c r="N469" s="1" t="s">
        <v>39</v>
      </c>
    </row>
    <row r="470" customFormat="false" ht="15" hidden="false" customHeight="true" outlineLevel="0" collapsed="false">
      <c r="A470" s="1" t="s">
        <v>1509</v>
      </c>
      <c r="B470" s="1" t="s">
        <v>1510</v>
      </c>
      <c r="C470" s="1" t="s">
        <v>1511</v>
      </c>
      <c r="D470" s="1" t="s">
        <v>130</v>
      </c>
      <c r="E470" s="1" t="s">
        <v>52</v>
      </c>
      <c r="F470" s="1" t="s">
        <v>58</v>
      </c>
      <c r="G470" s="23" t="n">
        <v>45654</v>
      </c>
      <c r="H470" s="1" t="n">
        <v>132</v>
      </c>
      <c r="I470" s="24" t="n">
        <v>18</v>
      </c>
      <c r="J470" s="1" t="s">
        <v>140</v>
      </c>
      <c r="K470" s="1" t="s">
        <v>65</v>
      </c>
      <c r="L470" s="1" t="s">
        <v>70</v>
      </c>
      <c r="M470" s="1" t="n">
        <v>3</v>
      </c>
      <c r="N470" s="1" t="s">
        <v>39</v>
      </c>
    </row>
    <row r="471" customFormat="false" ht="15" hidden="false" customHeight="true" outlineLevel="0" collapsed="false">
      <c r="A471" s="1" t="s">
        <v>1512</v>
      </c>
      <c r="B471" s="1" t="s">
        <v>1513</v>
      </c>
      <c r="C471" s="1" t="s">
        <v>1514</v>
      </c>
      <c r="D471" s="1" t="s">
        <v>165</v>
      </c>
      <c r="E471" s="1" t="s">
        <v>50</v>
      </c>
      <c r="F471" s="1" t="s">
        <v>60</v>
      </c>
      <c r="G471" s="23" t="n">
        <v>45799</v>
      </c>
      <c r="H471" s="1" t="n">
        <v>164</v>
      </c>
      <c r="I471" s="24" t="n">
        <v>0</v>
      </c>
      <c r="K471" s="1" t="s">
        <v>67</v>
      </c>
      <c r="L471" s="1" t="s">
        <v>69</v>
      </c>
      <c r="M471" s="1" t="n">
        <v>40</v>
      </c>
      <c r="N471" s="1" t="s">
        <v>38</v>
      </c>
    </row>
    <row r="472" customFormat="false" ht="15" hidden="false" customHeight="true" outlineLevel="0" collapsed="false">
      <c r="A472" s="1" t="s">
        <v>1515</v>
      </c>
      <c r="B472" s="1" t="s">
        <v>1516</v>
      </c>
      <c r="C472" s="1" t="s">
        <v>1517</v>
      </c>
      <c r="D472" s="1" t="s">
        <v>130</v>
      </c>
      <c r="E472" s="1" t="s">
        <v>50</v>
      </c>
      <c r="F472" s="1" t="s">
        <v>56</v>
      </c>
      <c r="G472" s="23" t="n">
        <v>45665</v>
      </c>
      <c r="H472" s="1" t="n">
        <v>166</v>
      </c>
      <c r="I472" s="24" t="n">
        <v>23.59</v>
      </c>
      <c r="J472" s="1" t="s">
        <v>140</v>
      </c>
      <c r="K472" s="1" t="s">
        <v>64</v>
      </c>
      <c r="L472" s="1" t="s">
        <v>70</v>
      </c>
      <c r="M472" s="1" t="n">
        <v>19</v>
      </c>
      <c r="N472" s="1" t="s">
        <v>38</v>
      </c>
    </row>
    <row r="473" customFormat="false" ht="15" hidden="false" customHeight="true" outlineLevel="0" collapsed="false">
      <c r="A473" s="1" t="s">
        <v>1518</v>
      </c>
      <c r="B473" s="1" t="s">
        <v>1519</v>
      </c>
      <c r="C473" s="1" t="s">
        <v>1520</v>
      </c>
      <c r="D473" s="1" t="s">
        <v>165</v>
      </c>
      <c r="E473" s="1" t="s">
        <v>52</v>
      </c>
      <c r="F473" s="1" t="s">
        <v>56</v>
      </c>
      <c r="G473" s="23" t="n">
        <v>45788</v>
      </c>
      <c r="H473" s="1" t="n">
        <v>73</v>
      </c>
      <c r="I473" s="24" t="n">
        <v>0</v>
      </c>
      <c r="K473" s="1" t="s">
        <v>64</v>
      </c>
      <c r="L473" s="1" t="s">
        <v>69</v>
      </c>
      <c r="M473" s="1" t="n">
        <v>46</v>
      </c>
      <c r="N473" s="1" t="s">
        <v>39</v>
      </c>
    </row>
    <row r="474" customFormat="false" ht="15" hidden="false" customHeight="true" outlineLevel="0" collapsed="false">
      <c r="A474" s="1" t="s">
        <v>1521</v>
      </c>
      <c r="B474" s="1" t="s">
        <v>691</v>
      </c>
      <c r="C474" s="1" t="s">
        <v>1522</v>
      </c>
      <c r="D474" s="1" t="s">
        <v>116</v>
      </c>
      <c r="E474" s="1" t="s">
        <v>51</v>
      </c>
      <c r="F474" s="1" t="s">
        <v>55</v>
      </c>
      <c r="G474" s="23" t="n">
        <v>45749</v>
      </c>
      <c r="H474" s="1" t="n">
        <v>55</v>
      </c>
      <c r="I474" s="24" t="n">
        <v>40.58</v>
      </c>
      <c r="J474" s="1" t="s">
        <v>126</v>
      </c>
      <c r="K474" s="1" t="s">
        <v>64</v>
      </c>
      <c r="L474" s="1" t="s">
        <v>70</v>
      </c>
      <c r="M474" s="1" t="n">
        <v>14</v>
      </c>
      <c r="N474" s="1" t="s">
        <v>38</v>
      </c>
    </row>
    <row r="475" customFormat="false" ht="15" hidden="false" customHeight="true" outlineLevel="0" collapsed="false">
      <c r="A475" s="1" t="s">
        <v>1523</v>
      </c>
      <c r="B475" s="1" t="s">
        <v>1524</v>
      </c>
      <c r="C475" s="1" t="s">
        <v>1525</v>
      </c>
      <c r="D475" s="1" t="s">
        <v>165</v>
      </c>
      <c r="E475" s="1" t="s">
        <v>52</v>
      </c>
      <c r="F475" s="1" t="s">
        <v>59</v>
      </c>
      <c r="G475" s="23" t="n">
        <v>45808</v>
      </c>
      <c r="H475" s="1" t="n">
        <v>22</v>
      </c>
      <c r="I475" s="24" t="n">
        <v>0</v>
      </c>
      <c r="K475" s="1" t="s">
        <v>64</v>
      </c>
      <c r="L475" s="1" t="s">
        <v>69</v>
      </c>
      <c r="M475" s="1" t="n">
        <v>36</v>
      </c>
      <c r="N475" s="1" t="s">
        <v>39</v>
      </c>
    </row>
    <row r="476" customFormat="false" ht="15" hidden="false" customHeight="true" outlineLevel="0" collapsed="false">
      <c r="A476" s="1" t="s">
        <v>1526</v>
      </c>
      <c r="B476" s="1" t="s">
        <v>1527</v>
      </c>
      <c r="C476" s="1" t="s">
        <v>1528</v>
      </c>
      <c r="D476" s="1" t="s">
        <v>116</v>
      </c>
      <c r="E476" s="1" t="s">
        <v>50</v>
      </c>
      <c r="F476" s="1" t="s">
        <v>58</v>
      </c>
      <c r="G476" s="23" t="n">
        <v>45811</v>
      </c>
      <c r="H476" s="1" t="n">
        <v>56</v>
      </c>
      <c r="I476" s="24" t="n">
        <v>0</v>
      </c>
      <c r="K476" s="1" t="s">
        <v>64</v>
      </c>
      <c r="L476" s="1" t="s">
        <v>69</v>
      </c>
      <c r="M476" s="1" t="n">
        <v>34</v>
      </c>
      <c r="N476" s="1" t="s">
        <v>39</v>
      </c>
    </row>
    <row r="477" customFormat="false" ht="15" hidden="false" customHeight="true" outlineLevel="0" collapsed="false">
      <c r="A477" s="1" t="s">
        <v>1529</v>
      </c>
      <c r="B477" s="1" t="s">
        <v>1530</v>
      </c>
      <c r="C477" s="1" t="s">
        <v>1531</v>
      </c>
      <c r="D477" s="1" t="s">
        <v>125</v>
      </c>
      <c r="E477" s="1" t="s">
        <v>50</v>
      </c>
      <c r="F477" s="1" t="s">
        <v>56</v>
      </c>
      <c r="G477" s="23" t="n">
        <v>45742</v>
      </c>
      <c r="H477" s="1" t="n">
        <v>9</v>
      </c>
      <c r="I477" s="24" t="n">
        <v>0</v>
      </c>
      <c r="K477" s="1" t="s">
        <v>64</v>
      </c>
      <c r="L477" s="1" t="s">
        <v>69</v>
      </c>
      <c r="M477" s="1" t="n">
        <v>21</v>
      </c>
      <c r="N477" s="1" t="s">
        <v>39</v>
      </c>
    </row>
    <row r="478" customFormat="false" ht="15" hidden="false" customHeight="true" outlineLevel="0" collapsed="false">
      <c r="A478" s="1" t="s">
        <v>1532</v>
      </c>
      <c r="B478" s="1" t="s">
        <v>1533</v>
      </c>
      <c r="C478" s="1" t="s">
        <v>1534</v>
      </c>
      <c r="D478" s="1" t="s">
        <v>116</v>
      </c>
      <c r="E478" s="1" t="s">
        <v>50</v>
      </c>
      <c r="F478" s="1" t="s">
        <v>60</v>
      </c>
      <c r="G478" s="23" t="n">
        <v>45714</v>
      </c>
      <c r="H478" s="1" t="n">
        <v>54</v>
      </c>
      <c r="I478" s="24" t="n">
        <v>19.65</v>
      </c>
      <c r="J478" s="1" t="s">
        <v>241</v>
      </c>
      <c r="K478" s="1" t="s">
        <v>64</v>
      </c>
      <c r="L478" s="1" t="s">
        <v>70</v>
      </c>
      <c r="M478" s="1" t="n">
        <v>38</v>
      </c>
      <c r="N478" s="1" t="s">
        <v>39</v>
      </c>
    </row>
    <row r="479" customFormat="false" ht="15" hidden="false" customHeight="true" outlineLevel="0" collapsed="false">
      <c r="A479" s="1" t="s">
        <v>1535</v>
      </c>
      <c r="B479" s="1" t="s">
        <v>1536</v>
      </c>
      <c r="C479" s="1" t="s">
        <v>1537</v>
      </c>
      <c r="D479" s="1" t="s">
        <v>120</v>
      </c>
      <c r="E479" s="1" t="s">
        <v>50</v>
      </c>
      <c r="F479" s="1" t="s">
        <v>59</v>
      </c>
      <c r="G479" s="23" t="n">
        <v>45693</v>
      </c>
      <c r="H479" s="1" t="n">
        <v>85</v>
      </c>
      <c r="I479" s="24" t="n">
        <v>0</v>
      </c>
      <c r="K479" s="1" t="s">
        <v>67</v>
      </c>
      <c r="L479" s="1" t="s">
        <v>70</v>
      </c>
      <c r="M479" s="1" t="n">
        <v>12</v>
      </c>
      <c r="N479" s="1" t="s">
        <v>39</v>
      </c>
    </row>
    <row r="480" customFormat="false" ht="15" hidden="false" customHeight="true" outlineLevel="0" collapsed="false">
      <c r="A480" s="1" t="s">
        <v>1538</v>
      </c>
      <c r="B480" s="1" t="s">
        <v>1539</v>
      </c>
      <c r="C480" s="1" t="s">
        <v>1540</v>
      </c>
      <c r="D480" s="1" t="s">
        <v>116</v>
      </c>
      <c r="E480" s="1" t="s">
        <v>51</v>
      </c>
      <c r="F480" s="1" t="s">
        <v>57</v>
      </c>
      <c r="G480" s="23" t="n">
        <v>45673</v>
      </c>
      <c r="H480" s="1" t="n">
        <v>111</v>
      </c>
      <c r="I480" s="24" t="n">
        <v>0</v>
      </c>
      <c r="K480" s="1" t="s">
        <v>64</v>
      </c>
      <c r="L480" s="1" t="s">
        <v>69</v>
      </c>
      <c r="M480" s="1" t="n">
        <v>38</v>
      </c>
      <c r="N480" s="1" t="s">
        <v>39</v>
      </c>
    </row>
    <row r="481" customFormat="false" ht="15" hidden="false" customHeight="true" outlineLevel="0" collapsed="false">
      <c r="A481" s="1" t="s">
        <v>1541</v>
      </c>
      <c r="B481" s="1" t="s">
        <v>1542</v>
      </c>
      <c r="C481" s="1" t="s">
        <v>1543</v>
      </c>
      <c r="D481" s="1" t="s">
        <v>125</v>
      </c>
      <c r="E481" s="1" t="s">
        <v>52</v>
      </c>
      <c r="F481" s="1" t="s">
        <v>59</v>
      </c>
      <c r="G481" s="23" t="n">
        <v>45795</v>
      </c>
      <c r="H481" s="1" t="n">
        <v>93</v>
      </c>
      <c r="I481" s="24" t="n">
        <v>0</v>
      </c>
      <c r="K481" s="1" t="s">
        <v>64</v>
      </c>
      <c r="L481" s="1" t="s">
        <v>69</v>
      </c>
      <c r="M481" s="1" t="n">
        <v>26</v>
      </c>
      <c r="N481" s="1" t="s">
        <v>39</v>
      </c>
    </row>
    <row r="482" customFormat="false" ht="15" hidden="false" customHeight="true" outlineLevel="0" collapsed="false">
      <c r="A482" s="1" t="s">
        <v>1544</v>
      </c>
      <c r="B482" s="1" t="s">
        <v>1545</v>
      </c>
      <c r="C482" s="1" t="s">
        <v>1546</v>
      </c>
      <c r="D482" s="1" t="s">
        <v>125</v>
      </c>
      <c r="E482" s="1" t="s">
        <v>52</v>
      </c>
      <c r="F482" s="1" t="s">
        <v>55</v>
      </c>
      <c r="G482" s="23" t="n">
        <v>45800</v>
      </c>
      <c r="H482" s="1" t="n">
        <v>103</v>
      </c>
      <c r="I482" s="24" t="n">
        <v>0</v>
      </c>
      <c r="K482" s="1" t="s">
        <v>64</v>
      </c>
      <c r="L482" s="1" t="s">
        <v>69</v>
      </c>
      <c r="M482" s="1" t="n">
        <v>11</v>
      </c>
      <c r="N482" s="1" t="s">
        <v>39</v>
      </c>
    </row>
    <row r="483" customFormat="false" ht="15" hidden="false" customHeight="true" outlineLevel="0" collapsed="false">
      <c r="A483" s="1" t="s">
        <v>1547</v>
      </c>
      <c r="B483" s="1" t="s">
        <v>1548</v>
      </c>
      <c r="C483" s="1" t="s">
        <v>1549</v>
      </c>
      <c r="D483" s="1" t="s">
        <v>116</v>
      </c>
      <c r="E483" s="1" t="s">
        <v>52</v>
      </c>
      <c r="F483" s="1" t="s">
        <v>60</v>
      </c>
      <c r="G483" s="23" t="n">
        <v>45773</v>
      </c>
      <c r="H483" s="1" t="n">
        <v>44</v>
      </c>
      <c r="I483" s="24" t="n">
        <v>0</v>
      </c>
      <c r="K483" s="1" t="s">
        <v>67</v>
      </c>
      <c r="L483" s="1" t="s">
        <v>69</v>
      </c>
      <c r="M483" s="1" t="n">
        <v>29</v>
      </c>
      <c r="N483" s="1" t="s">
        <v>39</v>
      </c>
    </row>
    <row r="484" customFormat="false" ht="15" hidden="false" customHeight="true" outlineLevel="0" collapsed="false">
      <c r="A484" s="1" t="s">
        <v>1550</v>
      </c>
      <c r="B484" s="1" t="s">
        <v>1551</v>
      </c>
      <c r="C484" s="1" t="s">
        <v>1552</v>
      </c>
      <c r="D484" s="1" t="s">
        <v>165</v>
      </c>
      <c r="E484" s="1" t="s">
        <v>51</v>
      </c>
      <c r="F484" s="1" t="s">
        <v>58</v>
      </c>
      <c r="G484" s="23" t="n">
        <v>45689</v>
      </c>
      <c r="H484" s="1" t="n">
        <v>134</v>
      </c>
      <c r="I484" s="24" t="n">
        <v>0</v>
      </c>
      <c r="K484" s="1" t="s">
        <v>64</v>
      </c>
      <c r="L484" s="1" t="s">
        <v>69</v>
      </c>
      <c r="M484" s="1" t="n">
        <v>41</v>
      </c>
      <c r="N484" s="1" t="s">
        <v>39</v>
      </c>
    </row>
    <row r="485" customFormat="false" ht="15" hidden="false" customHeight="true" outlineLevel="0" collapsed="false">
      <c r="A485" s="1" t="s">
        <v>1553</v>
      </c>
      <c r="B485" s="1" t="s">
        <v>1554</v>
      </c>
      <c r="C485" s="1" t="s">
        <v>1555</v>
      </c>
      <c r="D485" s="1" t="s">
        <v>120</v>
      </c>
      <c r="E485" s="1" t="s">
        <v>50</v>
      </c>
      <c r="F485" s="1" t="s">
        <v>58</v>
      </c>
      <c r="G485" s="23" t="n">
        <v>45804</v>
      </c>
      <c r="H485" s="1" t="n">
        <v>167</v>
      </c>
      <c r="I485" s="24" t="n">
        <v>0</v>
      </c>
      <c r="K485" s="1" t="s">
        <v>64</v>
      </c>
      <c r="L485" s="1" t="s">
        <v>69</v>
      </c>
      <c r="M485" s="1" t="n">
        <v>28</v>
      </c>
      <c r="N485" s="1" t="s">
        <v>38</v>
      </c>
    </row>
    <row r="486" customFormat="false" ht="15" hidden="false" customHeight="true" outlineLevel="0" collapsed="false">
      <c r="A486" s="1" t="s">
        <v>1556</v>
      </c>
      <c r="B486" s="1" t="s">
        <v>1557</v>
      </c>
      <c r="C486" s="1" t="s">
        <v>1558</v>
      </c>
      <c r="D486" s="1" t="s">
        <v>120</v>
      </c>
      <c r="E486" s="1" t="s">
        <v>50</v>
      </c>
      <c r="F486" s="1" t="s">
        <v>58</v>
      </c>
      <c r="G486" s="23" t="n">
        <v>45717</v>
      </c>
      <c r="H486" s="1" t="n">
        <v>149</v>
      </c>
      <c r="I486" s="24" t="n">
        <v>5.05</v>
      </c>
      <c r="J486" s="1" t="s">
        <v>121</v>
      </c>
      <c r="K486" s="1" t="s">
        <v>64</v>
      </c>
      <c r="L486" s="1" t="s">
        <v>70</v>
      </c>
      <c r="M486" s="1" t="n">
        <v>44</v>
      </c>
      <c r="N486" s="1" t="s">
        <v>39</v>
      </c>
    </row>
    <row r="487" customFormat="false" ht="15" hidden="false" customHeight="true" outlineLevel="0" collapsed="false">
      <c r="A487" s="1" t="s">
        <v>1559</v>
      </c>
      <c r="B487" s="1" t="s">
        <v>1560</v>
      </c>
      <c r="C487" s="1" t="s">
        <v>1561</v>
      </c>
      <c r="D487" s="1" t="s">
        <v>116</v>
      </c>
      <c r="E487" s="1" t="s">
        <v>51</v>
      </c>
      <c r="F487" s="1" t="s">
        <v>60</v>
      </c>
      <c r="G487" s="23" t="n">
        <v>45763</v>
      </c>
      <c r="H487" s="1" t="n">
        <v>139</v>
      </c>
      <c r="I487" s="24" t="n">
        <v>0</v>
      </c>
      <c r="K487" s="1" t="s">
        <v>64</v>
      </c>
      <c r="L487" s="1" t="s">
        <v>69</v>
      </c>
      <c r="M487" s="1" t="n">
        <v>19</v>
      </c>
      <c r="N487" s="1" t="s">
        <v>39</v>
      </c>
    </row>
    <row r="488" customFormat="false" ht="15" hidden="false" customHeight="true" outlineLevel="0" collapsed="false">
      <c r="A488" s="1" t="s">
        <v>1562</v>
      </c>
      <c r="B488" s="1" t="s">
        <v>1563</v>
      </c>
      <c r="C488" s="1" t="s">
        <v>1564</v>
      </c>
      <c r="D488" s="1" t="s">
        <v>130</v>
      </c>
      <c r="E488" s="1" t="s">
        <v>50</v>
      </c>
      <c r="F488" s="1" t="s">
        <v>56</v>
      </c>
      <c r="G488" s="23" t="n">
        <v>45725</v>
      </c>
      <c r="H488" s="1" t="n">
        <v>64</v>
      </c>
      <c r="I488" s="24" t="n">
        <v>0</v>
      </c>
      <c r="K488" s="1" t="s">
        <v>65</v>
      </c>
      <c r="L488" s="1" t="s">
        <v>69</v>
      </c>
      <c r="M488" s="1" t="n">
        <v>33</v>
      </c>
      <c r="N488" s="1" t="s">
        <v>39</v>
      </c>
    </row>
    <row r="489" customFormat="false" ht="15" hidden="false" customHeight="true" outlineLevel="0" collapsed="false">
      <c r="A489" s="1" t="s">
        <v>1565</v>
      </c>
      <c r="B489" s="1" t="s">
        <v>1566</v>
      </c>
      <c r="C489" s="1" t="s">
        <v>1567</v>
      </c>
      <c r="D489" s="1" t="s">
        <v>125</v>
      </c>
      <c r="E489" s="1" t="s">
        <v>51</v>
      </c>
      <c r="F489" s="1" t="s">
        <v>56</v>
      </c>
      <c r="G489" s="23" t="n">
        <v>45748</v>
      </c>
      <c r="H489" s="1" t="n">
        <v>86</v>
      </c>
      <c r="I489" s="24" t="n">
        <v>0</v>
      </c>
      <c r="K489" s="1" t="s">
        <v>64</v>
      </c>
      <c r="L489" s="1" t="s">
        <v>69</v>
      </c>
      <c r="M489" s="1" t="n">
        <v>17</v>
      </c>
      <c r="N489" s="1" t="s">
        <v>39</v>
      </c>
    </row>
    <row r="490" customFormat="false" ht="15" hidden="false" customHeight="true" outlineLevel="0" collapsed="false">
      <c r="A490" s="1" t="s">
        <v>1568</v>
      </c>
      <c r="B490" s="1" t="s">
        <v>1569</v>
      </c>
      <c r="C490" s="1" t="s">
        <v>1570</v>
      </c>
      <c r="D490" s="1" t="s">
        <v>125</v>
      </c>
      <c r="E490" s="1" t="s">
        <v>50</v>
      </c>
      <c r="F490" s="1" t="s">
        <v>56</v>
      </c>
      <c r="G490" s="23" t="n">
        <v>45764</v>
      </c>
      <c r="H490" s="1" t="n">
        <v>13</v>
      </c>
      <c r="I490" s="24" t="n">
        <v>0</v>
      </c>
      <c r="K490" s="1" t="s">
        <v>64</v>
      </c>
      <c r="L490" s="1" t="s">
        <v>69</v>
      </c>
      <c r="M490" s="1" t="n">
        <v>47</v>
      </c>
      <c r="N490" s="1" t="s">
        <v>39</v>
      </c>
    </row>
    <row r="491" customFormat="false" ht="15" hidden="false" customHeight="true" outlineLevel="0" collapsed="false">
      <c r="A491" s="1" t="s">
        <v>1571</v>
      </c>
      <c r="B491" s="1" t="s">
        <v>1572</v>
      </c>
      <c r="C491" s="1" t="s">
        <v>1573</v>
      </c>
      <c r="D491" s="1" t="s">
        <v>125</v>
      </c>
      <c r="E491" s="1" t="s">
        <v>50</v>
      </c>
      <c r="F491" s="1" t="s">
        <v>56</v>
      </c>
      <c r="G491" s="23" t="n">
        <v>45821</v>
      </c>
      <c r="H491" s="1" t="n">
        <v>11</v>
      </c>
      <c r="I491" s="24" t="n">
        <v>20.66</v>
      </c>
      <c r="J491" s="1" t="s">
        <v>140</v>
      </c>
      <c r="K491" s="1" t="s">
        <v>64</v>
      </c>
      <c r="L491" s="1" t="s">
        <v>70</v>
      </c>
      <c r="M491" s="1" t="n">
        <v>40</v>
      </c>
      <c r="N491" s="1" t="s">
        <v>39</v>
      </c>
    </row>
    <row r="492" customFormat="false" ht="15" hidden="false" customHeight="true" outlineLevel="0" collapsed="false">
      <c r="A492" s="1" t="s">
        <v>1574</v>
      </c>
      <c r="B492" s="1" t="s">
        <v>1575</v>
      </c>
      <c r="C492" s="1" t="s">
        <v>1576</v>
      </c>
      <c r="D492" s="1" t="s">
        <v>116</v>
      </c>
      <c r="E492" s="1" t="s">
        <v>50</v>
      </c>
      <c r="F492" s="1" t="s">
        <v>59</v>
      </c>
      <c r="G492" s="23" t="n">
        <v>45662</v>
      </c>
      <c r="H492" s="1" t="n">
        <v>55</v>
      </c>
      <c r="I492" s="24" t="n">
        <v>0</v>
      </c>
      <c r="K492" s="1" t="s">
        <v>66</v>
      </c>
      <c r="L492" s="1" t="s">
        <v>69</v>
      </c>
      <c r="M492" s="1" t="n">
        <v>26</v>
      </c>
      <c r="N492" s="1" t="s">
        <v>39</v>
      </c>
    </row>
    <row r="493" customFormat="false" ht="15" hidden="false" customHeight="true" outlineLevel="0" collapsed="false">
      <c r="A493" s="1" t="s">
        <v>1577</v>
      </c>
      <c r="B493" s="1" t="s">
        <v>1578</v>
      </c>
      <c r="C493" s="1" t="s">
        <v>1579</v>
      </c>
      <c r="D493" s="1" t="s">
        <v>130</v>
      </c>
      <c r="E493" s="1" t="s">
        <v>52</v>
      </c>
      <c r="F493" s="1" t="s">
        <v>60</v>
      </c>
      <c r="G493" s="23" t="n">
        <v>45793</v>
      </c>
      <c r="H493" s="1" t="n">
        <v>146</v>
      </c>
      <c r="I493" s="24" t="n">
        <v>0</v>
      </c>
      <c r="K493" s="1" t="s">
        <v>65</v>
      </c>
      <c r="L493" s="1" t="s">
        <v>69</v>
      </c>
      <c r="M493" s="1" t="n">
        <v>2</v>
      </c>
      <c r="N493" s="1" t="s">
        <v>39</v>
      </c>
    </row>
    <row r="494" customFormat="false" ht="15" hidden="false" customHeight="true" outlineLevel="0" collapsed="false">
      <c r="A494" s="1" t="s">
        <v>1580</v>
      </c>
      <c r="B494" s="1" t="s">
        <v>1581</v>
      </c>
      <c r="C494" s="1" t="s">
        <v>1582</v>
      </c>
      <c r="D494" s="1" t="s">
        <v>130</v>
      </c>
      <c r="E494" s="1" t="s">
        <v>51</v>
      </c>
      <c r="F494" s="1" t="s">
        <v>59</v>
      </c>
      <c r="G494" s="23" t="n">
        <v>45797</v>
      </c>
      <c r="H494" s="1" t="n">
        <v>179</v>
      </c>
      <c r="I494" s="24" t="n">
        <v>0</v>
      </c>
      <c r="K494" s="1" t="s">
        <v>64</v>
      </c>
      <c r="L494" s="1" t="s">
        <v>69</v>
      </c>
      <c r="M494" s="1" t="n">
        <v>10</v>
      </c>
      <c r="N494" s="1" t="s">
        <v>38</v>
      </c>
    </row>
    <row r="495" customFormat="false" ht="15" hidden="false" customHeight="true" outlineLevel="0" collapsed="false">
      <c r="A495" s="1" t="s">
        <v>1583</v>
      </c>
      <c r="B495" s="1" t="s">
        <v>1584</v>
      </c>
      <c r="C495" s="1" t="s">
        <v>1585</v>
      </c>
      <c r="D495" s="1" t="s">
        <v>125</v>
      </c>
      <c r="E495" s="1" t="s">
        <v>51</v>
      </c>
      <c r="F495" s="1" t="s">
        <v>57</v>
      </c>
      <c r="G495" s="23" t="n">
        <v>45738</v>
      </c>
      <c r="H495" s="1" t="n">
        <v>63</v>
      </c>
      <c r="I495" s="24" t="n">
        <v>0</v>
      </c>
      <c r="K495" s="1" t="s">
        <v>64</v>
      </c>
      <c r="L495" s="1" t="s">
        <v>69</v>
      </c>
      <c r="M495" s="1" t="n">
        <v>4</v>
      </c>
      <c r="N495" s="1" t="s">
        <v>39</v>
      </c>
    </row>
    <row r="496" customFormat="false" ht="15" hidden="false" customHeight="true" outlineLevel="0" collapsed="false">
      <c r="A496" s="1" t="s">
        <v>1586</v>
      </c>
      <c r="B496" s="1" t="s">
        <v>1587</v>
      </c>
      <c r="C496" s="1" t="s">
        <v>1588</v>
      </c>
      <c r="D496" s="1" t="s">
        <v>120</v>
      </c>
      <c r="E496" s="1" t="s">
        <v>51</v>
      </c>
      <c r="F496" s="1" t="s">
        <v>56</v>
      </c>
      <c r="G496" s="23" t="n">
        <v>45777</v>
      </c>
      <c r="H496" s="1" t="n">
        <v>21</v>
      </c>
      <c r="I496" s="24" t="n">
        <v>0</v>
      </c>
      <c r="K496" s="1" t="s">
        <v>64</v>
      </c>
      <c r="L496" s="1" t="s">
        <v>69</v>
      </c>
      <c r="M496" s="1" t="n">
        <v>22</v>
      </c>
      <c r="N496" s="1" t="s">
        <v>39</v>
      </c>
    </row>
    <row r="497" customFormat="false" ht="15" hidden="false" customHeight="true" outlineLevel="0" collapsed="false">
      <c r="A497" s="1" t="s">
        <v>1589</v>
      </c>
      <c r="B497" s="1" t="s">
        <v>1590</v>
      </c>
      <c r="C497" s="1" t="s">
        <v>1591</v>
      </c>
      <c r="D497" s="1" t="s">
        <v>130</v>
      </c>
      <c r="E497" s="1" t="s">
        <v>51</v>
      </c>
      <c r="F497" s="1" t="s">
        <v>56</v>
      </c>
      <c r="G497" s="23" t="n">
        <v>45763</v>
      </c>
      <c r="H497" s="1" t="n">
        <v>56</v>
      </c>
      <c r="I497" s="24" t="n">
        <v>46.31</v>
      </c>
      <c r="J497" s="1" t="s">
        <v>241</v>
      </c>
      <c r="K497" s="1" t="s">
        <v>64</v>
      </c>
      <c r="L497" s="1" t="s">
        <v>70</v>
      </c>
      <c r="M497" s="1" t="n">
        <v>11</v>
      </c>
      <c r="N497" s="1" t="s">
        <v>38</v>
      </c>
    </row>
    <row r="498" customFormat="false" ht="15" hidden="false" customHeight="true" outlineLevel="0" collapsed="false">
      <c r="A498" s="1" t="s">
        <v>1592</v>
      </c>
      <c r="B498" s="1" t="s">
        <v>1593</v>
      </c>
      <c r="C498" s="1" t="s">
        <v>1594</v>
      </c>
      <c r="D498" s="1" t="s">
        <v>165</v>
      </c>
      <c r="E498" s="1" t="s">
        <v>52</v>
      </c>
      <c r="F498" s="1" t="s">
        <v>60</v>
      </c>
      <c r="G498" s="23" t="n">
        <v>45672</v>
      </c>
      <c r="H498" s="1" t="n">
        <v>171</v>
      </c>
      <c r="I498" s="24" t="n">
        <v>0</v>
      </c>
      <c r="K498" s="1" t="s">
        <v>64</v>
      </c>
      <c r="L498" s="1" t="s">
        <v>69</v>
      </c>
      <c r="M498" s="1" t="n">
        <v>35</v>
      </c>
      <c r="N498" s="1" t="s">
        <v>38</v>
      </c>
    </row>
    <row r="499" customFormat="false" ht="15" hidden="false" customHeight="true" outlineLevel="0" collapsed="false">
      <c r="A499" s="1" t="s">
        <v>1595</v>
      </c>
      <c r="B499" s="1" t="s">
        <v>1596</v>
      </c>
      <c r="C499" s="1" t="s">
        <v>1597</v>
      </c>
      <c r="D499" s="1" t="s">
        <v>116</v>
      </c>
      <c r="E499" s="1" t="s">
        <v>50</v>
      </c>
      <c r="F499" s="1" t="s">
        <v>57</v>
      </c>
      <c r="G499" s="23" t="n">
        <v>45743</v>
      </c>
      <c r="H499" s="1" t="n">
        <v>24</v>
      </c>
      <c r="I499" s="24" t="n">
        <v>0</v>
      </c>
      <c r="K499" s="1" t="s">
        <v>64</v>
      </c>
      <c r="L499" s="1" t="s">
        <v>70</v>
      </c>
      <c r="M499" s="1" t="n">
        <v>33</v>
      </c>
      <c r="N499" s="1" t="s">
        <v>39</v>
      </c>
    </row>
    <row r="500" customFormat="false" ht="15" hidden="false" customHeight="true" outlineLevel="0" collapsed="false">
      <c r="A500" s="1" t="s">
        <v>1598</v>
      </c>
      <c r="B500" s="1" t="s">
        <v>1599</v>
      </c>
      <c r="C500" s="1" t="s">
        <v>1600</v>
      </c>
      <c r="D500" s="1" t="s">
        <v>165</v>
      </c>
      <c r="E500" s="1" t="s">
        <v>50</v>
      </c>
      <c r="F500" s="1" t="s">
        <v>60</v>
      </c>
      <c r="G500" s="23" t="n">
        <v>45702</v>
      </c>
      <c r="H500" s="1" t="n">
        <v>157</v>
      </c>
      <c r="I500" s="24" t="n">
        <v>26.84</v>
      </c>
      <c r="J500" s="1" t="s">
        <v>121</v>
      </c>
      <c r="K500" s="1" t="s">
        <v>64</v>
      </c>
      <c r="L500" s="1" t="s">
        <v>70</v>
      </c>
      <c r="M500" s="1" t="n">
        <v>25</v>
      </c>
      <c r="N500" s="1" t="s">
        <v>38</v>
      </c>
    </row>
    <row r="501" customFormat="false" ht="15" hidden="false" customHeight="true" outlineLevel="0" collapsed="false">
      <c r="A501" s="1" t="s">
        <v>1601</v>
      </c>
      <c r="B501" s="1" t="s">
        <v>1602</v>
      </c>
      <c r="C501" s="1" t="s">
        <v>1603</v>
      </c>
      <c r="D501" s="1" t="s">
        <v>116</v>
      </c>
      <c r="E501" s="1" t="s">
        <v>51</v>
      </c>
      <c r="F501" s="1" t="s">
        <v>60</v>
      </c>
      <c r="G501" s="23" t="n">
        <v>45675</v>
      </c>
      <c r="H501" s="1" t="n">
        <v>44</v>
      </c>
      <c r="I501" s="24" t="n">
        <v>0</v>
      </c>
      <c r="K501" s="1" t="s">
        <v>64</v>
      </c>
      <c r="L501" s="1" t="s">
        <v>69</v>
      </c>
      <c r="M501" s="1" t="n">
        <v>42</v>
      </c>
      <c r="N501" s="1" t="s">
        <v>39</v>
      </c>
    </row>
    <row r="502" customFormat="false" ht="15" hidden="false" customHeight="true" outlineLevel="0" collapsed="false">
      <c r="A502" s="1" t="s">
        <v>1604</v>
      </c>
      <c r="B502" s="1" t="s">
        <v>1605</v>
      </c>
      <c r="C502" s="1" t="s">
        <v>1606</v>
      </c>
      <c r="D502" s="1" t="s">
        <v>130</v>
      </c>
      <c r="E502" s="1" t="s">
        <v>50</v>
      </c>
      <c r="F502" s="1" t="s">
        <v>59</v>
      </c>
      <c r="G502" s="23" t="n">
        <v>45660</v>
      </c>
      <c r="H502" s="1" t="n">
        <v>172</v>
      </c>
      <c r="I502" s="24" t="n">
        <v>0</v>
      </c>
      <c r="K502" s="1" t="s">
        <v>66</v>
      </c>
      <c r="L502" s="1" t="s">
        <v>69</v>
      </c>
      <c r="M502" s="1" t="n">
        <v>4</v>
      </c>
      <c r="N502" s="1" t="s">
        <v>38</v>
      </c>
    </row>
    <row r="503" customFormat="false" ht="15" hidden="false" customHeight="true" outlineLevel="0" collapsed="false">
      <c r="A503" s="1" t="s">
        <v>1607</v>
      </c>
      <c r="B503" s="1" t="s">
        <v>1608</v>
      </c>
      <c r="C503" s="1" t="s">
        <v>1609</v>
      </c>
      <c r="D503" s="1" t="s">
        <v>116</v>
      </c>
      <c r="E503" s="1" t="s">
        <v>52</v>
      </c>
      <c r="F503" s="1" t="s">
        <v>57</v>
      </c>
      <c r="G503" s="23" t="n">
        <v>45656</v>
      </c>
      <c r="H503" s="1" t="n">
        <v>20</v>
      </c>
      <c r="I503" s="24" t="n">
        <v>0</v>
      </c>
      <c r="K503" s="1" t="s">
        <v>64</v>
      </c>
      <c r="L503" s="1" t="s">
        <v>70</v>
      </c>
      <c r="M503" s="1" t="n">
        <v>30</v>
      </c>
      <c r="N503" s="1" t="s">
        <v>39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2026-08-31T07:16:56Z</dcterms:created>
  <dc:creator>openpyxl</dc:creator>
  <dc:description/>
  <dc:language>en-US</dc:language>
  <cp:lastModifiedBy/>
  <cp:lastPrinted>2026-09-10T17:53:28Z</cp:lastPrinted>
  <dcterms:modified xsi:type="dcterms:W3CDTF">2026-09-10T18:11:38Z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